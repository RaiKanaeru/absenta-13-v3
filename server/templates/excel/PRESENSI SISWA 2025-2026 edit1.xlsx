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3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4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Data Kesiswaan 2025-2025\"/>
    </mc:Choice>
  </mc:AlternateContent>
  <xr:revisionPtr revIDLastSave="0" documentId="13_ncr:1_{CA0D4D8A-F525-43CA-96B4-4E0F70B87B48}" xr6:coauthVersionLast="47" xr6:coauthVersionMax="47" xr10:uidLastSave="{00000000-0000-0000-0000-000000000000}"/>
  <bookViews>
    <workbookView xWindow="-120" yWindow="-120" windowWidth="20730" windowHeight="11160" activeTab="5" xr2:uid="{7418EE01-BE54-4A7E-91E3-99E0CD73FA9E}"/>
  </bookViews>
  <sheets>
    <sheet name="Short NIS" sheetId="25" r:id="rId1"/>
    <sheet name="Baru NIS" sheetId="9" r:id="rId2"/>
    <sheet name="Klaper" sheetId="20" r:id="rId3"/>
    <sheet name="Baru" sheetId="3" r:id="rId4"/>
    <sheet name="Harian" sheetId="26" r:id="rId5"/>
    <sheet name="Print" sheetId="4" r:id="rId6"/>
    <sheet name="Absen Kehadiran" sheetId="27" r:id="rId7"/>
    <sheet name="Penerimaan Ijazah" sheetId="28" r:id="rId8"/>
    <sheet name="Data Lulusan" sheetId="29" r:id="rId9"/>
    <sheet name="Rekap Usia" sheetId="14" r:id="rId10"/>
    <sheet name="Rekap Agama" sheetId="13" r:id="rId11"/>
  </sheets>
  <definedNames>
    <definedName name="_xlnm._FilterDatabase" localSheetId="6" hidden="1">'Absen Kehadiran'!$A$20:$V$56</definedName>
    <definedName name="_xlnm._FilterDatabase" localSheetId="3" hidden="1">Baru!$A$1:$AA$1727</definedName>
    <definedName name="_xlnm._FilterDatabase" localSheetId="1" hidden="1">'Baru NIS'!$A$1:$K$388</definedName>
    <definedName name="_xlnm._FilterDatabase" localSheetId="4" hidden="1">Harian!$A$20:$BA$56</definedName>
    <definedName name="_xlnm._FilterDatabase" localSheetId="2" hidden="1">Klaper!$A$1:$F$1319</definedName>
    <definedName name="_xlnm._FilterDatabase" localSheetId="7" hidden="1">'Penerimaan Ijazah'!$A$20:$X$55</definedName>
    <definedName name="_xlnm._FilterDatabase" localSheetId="5" hidden="1">Print!$A$20:$AN$55</definedName>
    <definedName name="_xlnm.Print_Area" localSheetId="6">'Absen Kehadiran'!$A$1:$E$56</definedName>
    <definedName name="_xlnm.Print_Area" localSheetId="3">Baru!$A$1:$AA$1373</definedName>
    <definedName name="_xlnm.Print_Area" localSheetId="4">Harian!$A$1:$AJ$64</definedName>
    <definedName name="_xlnm.Print_Area" localSheetId="2">Klaper!$A$1:$P$1349</definedName>
    <definedName name="_xlnm.Print_Area" localSheetId="7">'Penerimaan Ijazah'!$A$1:$G$64</definedName>
    <definedName name="_xlnm.Print_Area" localSheetId="5">Print!$A$11:$W$68</definedName>
    <definedName name="_xlnm.Print_Area" localSheetId="10">'Rekap Agama'!$A$1:$Q$21</definedName>
  </definedNames>
  <calcPr calcId="191029"/>
</workbook>
</file>

<file path=xl/calcChain.xml><?xml version="1.0" encoding="utf-8"?>
<calcChain xmlns="http://schemas.openxmlformats.org/spreadsheetml/2006/main">
  <c r="H228" i="3" l="1"/>
  <c r="B8" i="14"/>
  <c r="C120" i="3" l="1"/>
  <c r="D120" i="3"/>
  <c r="E120" i="3"/>
  <c r="F120" i="3"/>
  <c r="G120" i="3"/>
  <c r="K120" i="3" s="1"/>
  <c r="H120" i="3"/>
  <c r="D710" i="3"/>
  <c r="C710" i="3"/>
  <c r="F427" i="9"/>
  <c r="G427" i="9"/>
  <c r="H427" i="9"/>
  <c r="E427" i="9"/>
  <c r="D427" i="9"/>
  <c r="C426" i="9"/>
  <c r="C427" i="9"/>
  <c r="A426" i="9"/>
  <c r="A427" i="9"/>
  <c r="K710" i="3"/>
  <c r="C3" i="3"/>
  <c r="H3" i="3"/>
  <c r="C4" i="3"/>
  <c r="H4" i="3"/>
  <c r="C5" i="3"/>
  <c r="H5" i="3"/>
  <c r="C6" i="3"/>
  <c r="H6" i="3"/>
  <c r="C7" i="3"/>
  <c r="H7" i="3"/>
  <c r="C8" i="3"/>
  <c r="H8" i="3"/>
  <c r="C9" i="3"/>
  <c r="H9" i="3"/>
  <c r="C10" i="3"/>
  <c r="H10" i="3"/>
  <c r="C11" i="3"/>
  <c r="H11" i="3"/>
  <c r="C12" i="3"/>
  <c r="G12" i="3"/>
  <c r="H12" i="3"/>
  <c r="C13" i="3"/>
  <c r="H13" i="3"/>
  <c r="C14" i="3"/>
  <c r="H14" i="3"/>
  <c r="C15" i="3"/>
  <c r="H15" i="3"/>
  <c r="C16" i="3"/>
  <c r="H16" i="3"/>
  <c r="C17" i="3"/>
  <c r="H17" i="3"/>
  <c r="C18" i="3"/>
  <c r="H18" i="3"/>
  <c r="C19" i="3"/>
  <c r="H19" i="3"/>
  <c r="C20" i="3"/>
  <c r="H20" i="3"/>
  <c r="C21" i="3"/>
  <c r="H21" i="3"/>
  <c r="C22" i="3"/>
  <c r="H22" i="3"/>
  <c r="C23" i="3"/>
  <c r="H23" i="3"/>
  <c r="C24" i="3"/>
  <c r="H24" i="3"/>
  <c r="C25" i="3"/>
  <c r="H25" i="3"/>
  <c r="C26" i="3"/>
  <c r="H26" i="3"/>
  <c r="C27" i="3"/>
  <c r="H27" i="3"/>
  <c r="C28" i="3"/>
  <c r="H28" i="3"/>
  <c r="C29" i="3"/>
  <c r="H29" i="3"/>
  <c r="C30" i="3"/>
  <c r="H30" i="3"/>
  <c r="C31" i="3"/>
  <c r="H31" i="3"/>
  <c r="C32" i="3"/>
  <c r="H32" i="3"/>
  <c r="C33" i="3"/>
  <c r="H33" i="3"/>
  <c r="C34" i="3"/>
  <c r="H34" i="3"/>
  <c r="C35" i="3"/>
  <c r="H35" i="3"/>
  <c r="C36" i="3"/>
  <c r="H36" i="3"/>
  <c r="C37" i="3"/>
  <c r="H37" i="3"/>
  <c r="C38" i="3"/>
  <c r="H38" i="3"/>
  <c r="C39" i="3"/>
  <c r="H39" i="3"/>
  <c r="C40" i="3"/>
  <c r="F40" i="3"/>
  <c r="H40" i="3"/>
  <c r="C41" i="3"/>
  <c r="H41" i="3"/>
  <c r="C42" i="3"/>
  <c r="H42" i="3"/>
  <c r="C43" i="3"/>
  <c r="H43" i="3"/>
  <c r="C44" i="3"/>
  <c r="H44" i="3"/>
  <c r="C45" i="3"/>
  <c r="H45" i="3"/>
  <c r="C46" i="3"/>
  <c r="H46" i="3"/>
  <c r="C47" i="3"/>
  <c r="H47" i="3"/>
  <c r="C48" i="3"/>
  <c r="H48" i="3"/>
  <c r="C49" i="3"/>
  <c r="H49" i="3"/>
  <c r="C50" i="3"/>
  <c r="H50" i="3"/>
  <c r="C51" i="3"/>
  <c r="H51" i="3"/>
  <c r="C52" i="3"/>
  <c r="H52" i="3"/>
  <c r="C53" i="3"/>
  <c r="H53" i="3"/>
  <c r="C54" i="3"/>
  <c r="H54" i="3"/>
  <c r="C55" i="3"/>
  <c r="H55" i="3"/>
  <c r="C56" i="3"/>
  <c r="H56" i="3"/>
  <c r="C57" i="3"/>
  <c r="G57" i="3"/>
  <c r="H57" i="3"/>
  <c r="C58" i="3"/>
  <c r="H58" i="3"/>
  <c r="C59" i="3"/>
  <c r="H59" i="3"/>
  <c r="C60" i="3"/>
  <c r="H60" i="3"/>
  <c r="C61" i="3"/>
  <c r="H61" i="3"/>
  <c r="C62" i="3"/>
  <c r="H62" i="3"/>
  <c r="C63" i="3"/>
  <c r="H63" i="3"/>
  <c r="C64" i="3"/>
  <c r="H64" i="3"/>
  <c r="C65" i="3"/>
  <c r="H65" i="3"/>
  <c r="C66" i="3"/>
  <c r="H66" i="3"/>
  <c r="C67" i="3"/>
  <c r="H67" i="3"/>
  <c r="C68" i="3"/>
  <c r="H68" i="3"/>
  <c r="C69" i="3"/>
  <c r="H69" i="3"/>
  <c r="C70" i="3"/>
  <c r="H70" i="3"/>
  <c r="C71" i="3"/>
  <c r="H71" i="3"/>
  <c r="C72" i="3"/>
  <c r="H72" i="3"/>
  <c r="C73" i="3"/>
  <c r="H73" i="3"/>
  <c r="C74" i="3"/>
  <c r="H74" i="3"/>
  <c r="C75" i="3"/>
  <c r="H75" i="3"/>
  <c r="C76" i="3"/>
  <c r="H76" i="3"/>
  <c r="C77" i="3"/>
  <c r="H77" i="3"/>
  <c r="C78" i="3"/>
  <c r="G78" i="3"/>
  <c r="H78" i="3"/>
  <c r="C79" i="3"/>
  <c r="H79" i="3"/>
  <c r="C80" i="3"/>
  <c r="H80" i="3"/>
  <c r="C81" i="3"/>
  <c r="H81" i="3"/>
  <c r="C82" i="3"/>
  <c r="H82" i="3"/>
  <c r="C83" i="3"/>
  <c r="H83" i="3"/>
  <c r="C84" i="3"/>
  <c r="H84" i="3"/>
  <c r="C85" i="3"/>
  <c r="F85" i="3"/>
  <c r="H85" i="3"/>
  <c r="C86" i="3"/>
  <c r="H86" i="3"/>
  <c r="C87" i="3"/>
  <c r="H87" i="3"/>
  <c r="C88" i="3"/>
  <c r="H88" i="3"/>
  <c r="C89" i="3"/>
  <c r="H89" i="3"/>
  <c r="C90" i="3"/>
  <c r="F90" i="3"/>
  <c r="H90" i="3"/>
  <c r="C91" i="3"/>
  <c r="H91" i="3"/>
  <c r="C92" i="3"/>
  <c r="H92" i="3"/>
  <c r="C93" i="3"/>
  <c r="H93" i="3"/>
  <c r="C94" i="3"/>
  <c r="H94" i="3"/>
  <c r="C95" i="3"/>
  <c r="H95" i="3"/>
  <c r="C96" i="3"/>
  <c r="H96" i="3"/>
  <c r="C97" i="3"/>
  <c r="F97" i="3"/>
  <c r="H97" i="3"/>
  <c r="C98" i="3"/>
  <c r="H98" i="3"/>
  <c r="C99" i="3"/>
  <c r="H99" i="3"/>
  <c r="C100" i="3"/>
  <c r="H100" i="3"/>
  <c r="C101" i="3"/>
  <c r="H101" i="3"/>
  <c r="C102" i="3"/>
  <c r="H102" i="3"/>
  <c r="C103" i="3"/>
  <c r="H103" i="3"/>
  <c r="C104" i="3"/>
  <c r="H104" i="3"/>
  <c r="C105" i="3"/>
  <c r="H105" i="3"/>
  <c r="C106" i="3"/>
  <c r="H106" i="3"/>
  <c r="C107" i="3"/>
  <c r="H107" i="3"/>
  <c r="C108" i="3"/>
  <c r="G108" i="3"/>
  <c r="H108" i="3"/>
  <c r="C109" i="3"/>
  <c r="H109" i="3"/>
  <c r="C110" i="3"/>
  <c r="G110" i="3"/>
  <c r="H110" i="3"/>
  <c r="C111" i="3"/>
  <c r="H111" i="3"/>
  <c r="C112" i="3"/>
  <c r="H112" i="3"/>
  <c r="C113" i="3"/>
  <c r="H113" i="3"/>
  <c r="C114" i="3"/>
  <c r="F114" i="3"/>
  <c r="H114" i="3"/>
  <c r="C115" i="3"/>
  <c r="H115" i="3"/>
  <c r="C116" i="3"/>
  <c r="H116" i="3"/>
  <c r="C117" i="3"/>
  <c r="H117" i="3"/>
  <c r="C118" i="3"/>
  <c r="H118" i="3"/>
  <c r="C119" i="3"/>
  <c r="H119" i="3"/>
  <c r="C121" i="3"/>
  <c r="H121" i="3"/>
  <c r="C122" i="3"/>
  <c r="H122" i="3"/>
  <c r="C123" i="3"/>
  <c r="H123" i="3"/>
  <c r="C124" i="3"/>
  <c r="H124" i="3"/>
  <c r="C125" i="3"/>
  <c r="H125" i="3"/>
  <c r="C126" i="3"/>
  <c r="H126" i="3"/>
  <c r="C127" i="3"/>
  <c r="H127" i="3"/>
  <c r="C128" i="3"/>
  <c r="H128" i="3"/>
  <c r="C129" i="3"/>
  <c r="H129" i="3"/>
  <c r="C130" i="3"/>
  <c r="F130" i="3"/>
  <c r="H130" i="3"/>
  <c r="C131" i="3"/>
  <c r="H131" i="3"/>
  <c r="C132" i="3"/>
  <c r="H132" i="3"/>
  <c r="C133" i="3"/>
  <c r="F133" i="3"/>
  <c r="H133" i="3"/>
  <c r="C134" i="3"/>
  <c r="H134" i="3"/>
  <c r="C135" i="3"/>
  <c r="H135" i="3"/>
  <c r="C136" i="3"/>
  <c r="H136" i="3"/>
  <c r="C137" i="3"/>
  <c r="H137" i="3"/>
  <c r="C138" i="3"/>
  <c r="H138" i="3"/>
  <c r="C139" i="3"/>
  <c r="H139" i="3"/>
  <c r="C140" i="3"/>
  <c r="H140" i="3"/>
  <c r="C141" i="3"/>
  <c r="H141" i="3"/>
  <c r="C142" i="3"/>
  <c r="H142" i="3"/>
  <c r="C143" i="3"/>
  <c r="H143" i="3"/>
  <c r="C144" i="3"/>
  <c r="H144" i="3"/>
  <c r="C145" i="3"/>
  <c r="H145" i="3"/>
  <c r="C146" i="3"/>
  <c r="H146" i="3"/>
  <c r="C147" i="3"/>
  <c r="H147" i="3"/>
  <c r="C148" i="3"/>
  <c r="H148" i="3"/>
  <c r="C149" i="3"/>
  <c r="H149" i="3"/>
  <c r="C150" i="3"/>
  <c r="H150" i="3"/>
  <c r="C151" i="3"/>
  <c r="H151" i="3"/>
  <c r="C152" i="3"/>
  <c r="H152" i="3"/>
  <c r="C153" i="3"/>
  <c r="H153" i="3"/>
  <c r="C154" i="3"/>
  <c r="H154" i="3"/>
  <c r="C155" i="3"/>
  <c r="H155" i="3"/>
  <c r="C156" i="3"/>
  <c r="H156" i="3"/>
  <c r="C157" i="3"/>
  <c r="H157" i="3"/>
  <c r="C158" i="3"/>
  <c r="H158" i="3"/>
  <c r="C159" i="3"/>
  <c r="D159" i="3"/>
  <c r="H159" i="3"/>
  <c r="C160" i="3"/>
  <c r="H160" i="3"/>
  <c r="C161" i="3"/>
  <c r="H161" i="3"/>
  <c r="C162" i="3"/>
  <c r="H162" i="3"/>
  <c r="C163" i="3"/>
  <c r="H163" i="3"/>
  <c r="C164" i="3"/>
  <c r="H164" i="3"/>
  <c r="C165" i="3"/>
  <c r="H165" i="3"/>
  <c r="C166" i="3"/>
  <c r="H166" i="3"/>
  <c r="C167" i="3"/>
  <c r="H167" i="3"/>
  <c r="C168" i="3"/>
  <c r="H168" i="3"/>
  <c r="C169" i="3"/>
  <c r="H169" i="3"/>
  <c r="C170" i="3"/>
  <c r="H170" i="3"/>
  <c r="C171" i="3"/>
  <c r="H171" i="3"/>
  <c r="C172" i="3"/>
  <c r="H172" i="3"/>
  <c r="C173" i="3"/>
  <c r="H173" i="3"/>
  <c r="C174" i="3"/>
  <c r="H174" i="3"/>
  <c r="C175" i="3"/>
  <c r="E175" i="3"/>
  <c r="H175" i="3"/>
  <c r="C176" i="3"/>
  <c r="H176" i="3"/>
  <c r="C177" i="3"/>
  <c r="H177" i="3"/>
  <c r="C178" i="3"/>
  <c r="G178" i="3"/>
  <c r="H178" i="3"/>
  <c r="C179" i="3"/>
  <c r="H179" i="3"/>
  <c r="C180" i="3"/>
  <c r="H180" i="3"/>
  <c r="C181" i="3"/>
  <c r="H181" i="3"/>
  <c r="C182" i="3"/>
  <c r="G182" i="3"/>
  <c r="H182" i="3"/>
  <c r="C183" i="3"/>
  <c r="H183" i="3"/>
  <c r="C184" i="3"/>
  <c r="H184" i="3"/>
  <c r="C185" i="3"/>
  <c r="H185" i="3"/>
  <c r="C186" i="3"/>
  <c r="H186" i="3"/>
  <c r="C187" i="3"/>
  <c r="H187" i="3"/>
  <c r="C188" i="3"/>
  <c r="H188" i="3"/>
  <c r="C189" i="3"/>
  <c r="H189" i="3"/>
  <c r="C190" i="3"/>
  <c r="H190" i="3"/>
  <c r="C191" i="3"/>
  <c r="H191" i="3"/>
  <c r="C192" i="3"/>
  <c r="H192" i="3"/>
  <c r="C193" i="3"/>
  <c r="H193" i="3"/>
  <c r="C194" i="3"/>
  <c r="H194" i="3"/>
  <c r="C195" i="3"/>
  <c r="G195" i="3"/>
  <c r="H195" i="3"/>
  <c r="C196" i="3"/>
  <c r="H196" i="3"/>
  <c r="C197" i="3"/>
  <c r="H197" i="3"/>
  <c r="C198" i="3"/>
  <c r="H198" i="3"/>
  <c r="C199" i="3"/>
  <c r="H199" i="3"/>
  <c r="C200" i="3"/>
  <c r="H200" i="3"/>
  <c r="C201" i="3"/>
  <c r="H201" i="3"/>
  <c r="C202" i="3"/>
  <c r="H202" i="3"/>
  <c r="C203" i="3"/>
  <c r="G203" i="3"/>
  <c r="H203" i="3"/>
  <c r="C204" i="3"/>
  <c r="H204" i="3"/>
  <c r="C205" i="3"/>
  <c r="H205" i="3"/>
  <c r="C206" i="3"/>
  <c r="H206" i="3"/>
  <c r="C207" i="3"/>
  <c r="H207" i="3"/>
  <c r="C208" i="3"/>
  <c r="H208" i="3"/>
  <c r="C209" i="3"/>
  <c r="H209" i="3"/>
  <c r="C210" i="3"/>
  <c r="H210" i="3"/>
  <c r="C211" i="3"/>
  <c r="H211" i="3"/>
  <c r="C212" i="3"/>
  <c r="H212" i="3"/>
  <c r="C213" i="3"/>
  <c r="H213" i="3"/>
  <c r="C214" i="3"/>
  <c r="F214" i="3"/>
  <c r="H214" i="3"/>
  <c r="C215" i="3"/>
  <c r="H215" i="3"/>
  <c r="C216" i="3"/>
  <c r="F216" i="3"/>
  <c r="G216" i="3"/>
  <c r="H216" i="3"/>
  <c r="C217" i="3"/>
  <c r="H217" i="3"/>
  <c r="C218" i="3"/>
  <c r="H218" i="3"/>
  <c r="C219" i="3"/>
  <c r="H219" i="3"/>
  <c r="C220" i="3"/>
  <c r="H220" i="3"/>
  <c r="C221" i="3"/>
  <c r="H221" i="3"/>
  <c r="C222" i="3"/>
  <c r="H222" i="3"/>
  <c r="C223" i="3"/>
  <c r="H223" i="3"/>
  <c r="C224" i="3"/>
  <c r="H224" i="3"/>
  <c r="C225" i="3"/>
  <c r="D225" i="3"/>
  <c r="H225" i="3"/>
  <c r="C226" i="3"/>
  <c r="H226" i="3"/>
  <c r="C227" i="3"/>
  <c r="H227" i="3"/>
  <c r="H245" i="3"/>
  <c r="H249" i="3"/>
  <c r="H253" i="3"/>
  <c r="H257" i="3"/>
  <c r="H261" i="3"/>
  <c r="H265" i="3"/>
  <c r="C308" i="3"/>
  <c r="G308" i="3"/>
  <c r="C309" i="3"/>
  <c r="G309" i="3"/>
  <c r="C310" i="3"/>
  <c r="G310" i="3"/>
  <c r="C311" i="3"/>
  <c r="G311" i="3"/>
  <c r="C312" i="3"/>
  <c r="G312" i="3"/>
  <c r="C313" i="3"/>
  <c r="G313" i="3"/>
  <c r="C314" i="3"/>
  <c r="G314" i="3"/>
  <c r="C315" i="3"/>
  <c r="G315" i="3"/>
  <c r="C316" i="3"/>
  <c r="E316" i="3"/>
  <c r="G316" i="3"/>
  <c r="C317" i="3"/>
  <c r="G317" i="3"/>
  <c r="C318" i="3"/>
  <c r="G318" i="3"/>
  <c r="C319" i="3"/>
  <c r="G319" i="3"/>
  <c r="C320" i="3"/>
  <c r="G320" i="3"/>
  <c r="C321" i="3"/>
  <c r="G321" i="3"/>
  <c r="C322" i="3"/>
  <c r="G322" i="3"/>
  <c r="C323" i="3"/>
  <c r="G323" i="3"/>
  <c r="C324" i="3"/>
  <c r="G324" i="3"/>
  <c r="C325" i="3"/>
  <c r="G325" i="3"/>
  <c r="C326" i="3"/>
  <c r="G326" i="3"/>
  <c r="C327" i="3"/>
  <c r="G327" i="3"/>
  <c r="C328" i="3"/>
  <c r="G328" i="3"/>
  <c r="C329" i="3"/>
  <c r="G329" i="3"/>
  <c r="C330" i="3"/>
  <c r="G330" i="3"/>
  <c r="C331" i="3"/>
  <c r="G331" i="3"/>
  <c r="C332" i="3"/>
  <c r="G332" i="3"/>
  <c r="C333" i="3"/>
  <c r="G333" i="3"/>
  <c r="C334" i="3"/>
  <c r="G334" i="3"/>
  <c r="C335" i="3"/>
  <c r="G335" i="3"/>
  <c r="C336" i="3"/>
  <c r="G336" i="3"/>
  <c r="C337" i="3"/>
  <c r="G337" i="3"/>
  <c r="C338" i="3"/>
  <c r="G338" i="3"/>
  <c r="C339" i="3"/>
  <c r="G339" i="3"/>
  <c r="C340" i="3"/>
  <c r="G340" i="3"/>
  <c r="C341" i="3"/>
  <c r="G341" i="3"/>
  <c r="C342" i="3"/>
  <c r="G342" i="3"/>
  <c r="C343" i="3"/>
  <c r="F343" i="3"/>
  <c r="G343" i="3"/>
  <c r="C344" i="3"/>
  <c r="G344" i="3"/>
  <c r="C345" i="3"/>
  <c r="G345" i="3"/>
  <c r="C346" i="3"/>
  <c r="G346" i="3"/>
  <c r="C347" i="3"/>
  <c r="G347" i="3"/>
  <c r="C348" i="3"/>
  <c r="G348" i="3"/>
  <c r="C349" i="3"/>
  <c r="G349" i="3"/>
  <c r="C350" i="3"/>
  <c r="G350" i="3"/>
  <c r="C351" i="3"/>
  <c r="G351" i="3"/>
  <c r="C352" i="3"/>
  <c r="G352" i="3"/>
  <c r="C353" i="3"/>
  <c r="G353" i="3"/>
  <c r="C354" i="3"/>
  <c r="G354" i="3"/>
  <c r="C355" i="3"/>
  <c r="G355" i="3"/>
  <c r="C356" i="3"/>
  <c r="G356" i="3"/>
  <c r="C357" i="3"/>
  <c r="G357" i="3"/>
  <c r="C358" i="3"/>
  <c r="G358" i="3"/>
  <c r="C359" i="3"/>
  <c r="G359" i="3"/>
  <c r="C360" i="3"/>
  <c r="G360" i="3"/>
  <c r="C361" i="3"/>
  <c r="G361" i="3"/>
  <c r="C362" i="3"/>
  <c r="G362" i="3"/>
  <c r="C363" i="3"/>
  <c r="G363" i="3"/>
  <c r="C364" i="3"/>
  <c r="G364" i="3"/>
  <c r="C365" i="3"/>
  <c r="G365" i="3"/>
  <c r="C366" i="3"/>
  <c r="G366" i="3"/>
  <c r="C367" i="3"/>
  <c r="G367" i="3"/>
  <c r="C368" i="3"/>
  <c r="G368" i="3"/>
  <c r="C369" i="3"/>
  <c r="G369" i="3"/>
  <c r="C370" i="3"/>
  <c r="G370" i="3"/>
  <c r="C371" i="3"/>
  <c r="G371" i="3"/>
  <c r="C372" i="3"/>
  <c r="G372" i="3"/>
  <c r="K372" i="3" s="1"/>
  <c r="C373" i="3"/>
  <c r="G373" i="3"/>
  <c r="K373" i="3" s="1"/>
  <c r="C374" i="3"/>
  <c r="G374" i="3"/>
  <c r="K374" i="3" s="1"/>
  <c r="C375" i="3"/>
  <c r="G375" i="3"/>
  <c r="K375" i="3" s="1"/>
  <c r="C376" i="3"/>
  <c r="G376" i="3"/>
  <c r="K376" i="3" s="1"/>
  <c r="C377" i="3"/>
  <c r="G377" i="3"/>
  <c r="K377" i="3" s="1"/>
  <c r="C378" i="3"/>
  <c r="G378" i="3"/>
  <c r="K378" i="3" s="1"/>
  <c r="C379" i="3"/>
  <c r="G379" i="3"/>
  <c r="K379" i="3" s="1"/>
  <c r="C380" i="3"/>
  <c r="G380" i="3"/>
  <c r="K380" i="3" s="1"/>
  <c r="C381" i="3"/>
  <c r="G381" i="3"/>
  <c r="K381" i="3" s="1"/>
  <c r="C382" i="3"/>
  <c r="G382" i="3"/>
  <c r="K382" i="3" s="1"/>
  <c r="C383" i="3"/>
  <c r="G383" i="3"/>
  <c r="K383" i="3" s="1"/>
  <c r="C384" i="3"/>
  <c r="G384" i="3"/>
  <c r="K384" i="3" s="1"/>
  <c r="C385" i="3"/>
  <c r="G385" i="3"/>
  <c r="K385" i="3" s="1"/>
  <c r="C386" i="3"/>
  <c r="G386" i="3"/>
  <c r="K386" i="3" s="1"/>
  <c r="C387" i="3"/>
  <c r="G387" i="3"/>
  <c r="K387" i="3" s="1"/>
  <c r="C388" i="3"/>
  <c r="G388" i="3"/>
  <c r="K388" i="3" s="1"/>
  <c r="C389" i="3"/>
  <c r="G389" i="3"/>
  <c r="K389" i="3" s="1"/>
  <c r="C390" i="3"/>
  <c r="F390" i="3"/>
  <c r="G390" i="3"/>
  <c r="K390" i="3" s="1"/>
  <c r="C391" i="3"/>
  <c r="G391" i="3"/>
  <c r="K391" i="3" s="1"/>
  <c r="H391" i="3"/>
  <c r="C392" i="3"/>
  <c r="G392" i="3"/>
  <c r="K392" i="3" s="1"/>
  <c r="C393" i="3"/>
  <c r="G393" i="3"/>
  <c r="K393" i="3" s="1"/>
  <c r="C394" i="3"/>
  <c r="G394" i="3"/>
  <c r="K394" i="3" s="1"/>
  <c r="C395" i="3"/>
  <c r="G395" i="3"/>
  <c r="K395" i="3" s="1"/>
  <c r="H395" i="3"/>
  <c r="C396" i="3"/>
  <c r="G396" i="3"/>
  <c r="K396" i="3" s="1"/>
  <c r="C397" i="3"/>
  <c r="G397" i="3"/>
  <c r="K397" i="3" s="1"/>
  <c r="C398" i="3"/>
  <c r="G398" i="3"/>
  <c r="K398" i="3" s="1"/>
  <c r="C399" i="3"/>
  <c r="G399" i="3"/>
  <c r="K399" i="3" s="1"/>
  <c r="H399" i="3"/>
  <c r="C400" i="3"/>
  <c r="G400" i="3"/>
  <c r="K400" i="3" s="1"/>
  <c r="C401" i="3"/>
  <c r="G401" i="3"/>
  <c r="K401" i="3" s="1"/>
  <c r="C402" i="3"/>
  <c r="G402" i="3"/>
  <c r="K402" i="3" s="1"/>
  <c r="C403" i="3"/>
  <c r="G403" i="3"/>
  <c r="K403" i="3" s="1"/>
  <c r="H403" i="3"/>
  <c r="C404" i="3"/>
  <c r="G404" i="3"/>
  <c r="K404" i="3" s="1"/>
  <c r="C405" i="3"/>
  <c r="G405" i="3"/>
  <c r="K405" i="3" s="1"/>
  <c r="C406" i="3"/>
  <c r="F406" i="3"/>
  <c r="G406" i="3"/>
  <c r="K406" i="3" s="1"/>
  <c r="C407" i="3"/>
  <c r="G407" i="3"/>
  <c r="K407" i="3" s="1"/>
  <c r="C408" i="3"/>
  <c r="G408" i="3"/>
  <c r="K408" i="3" s="1"/>
  <c r="H408" i="3"/>
  <c r="C409" i="3"/>
  <c r="G409" i="3"/>
  <c r="K409" i="3" s="1"/>
  <c r="C410" i="3"/>
  <c r="G410" i="3"/>
  <c r="K410" i="3" s="1"/>
  <c r="C411" i="3"/>
  <c r="G411" i="3"/>
  <c r="K411" i="3" s="1"/>
  <c r="C412" i="3"/>
  <c r="G412" i="3"/>
  <c r="K412" i="3" s="1"/>
  <c r="H412" i="3"/>
  <c r="C413" i="3"/>
  <c r="G413" i="3"/>
  <c r="K413" i="3" s="1"/>
  <c r="C414" i="3"/>
  <c r="G414" i="3"/>
  <c r="K414" i="3" s="1"/>
  <c r="C415" i="3"/>
  <c r="G415" i="3"/>
  <c r="K415" i="3" s="1"/>
  <c r="C416" i="3"/>
  <c r="G416" i="3"/>
  <c r="K416" i="3" s="1"/>
  <c r="H416" i="3"/>
  <c r="C417" i="3"/>
  <c r="G417" i="3"/>
  <c r="K417" i="3" s="1"/>
  <c r="C418" i="3"/>
  <c r="G418" i="3"/>
  <c r="K418" i="3" s="1"/>
  <c r="C419" i="3"/>
  <c r="G419" i="3"/>
  <c r="K419" i="3" s="1"/>
  <c r="C420" i="3"/>
  <c r="G420" i="3"/>
  <c r="K420" i="3" s="1"/>
  <c r="H420" i="3"/>
  <c r="C421" i="3"/>
  <c r="G421" i="3"/>
  <c r="K421" i="3" s="1"/>
  <c r="C422" i="3"/>
  <c r="G422" i="3"/>
  <c r="K422" i="3" s="1"/>
  <c r="C423" i="3"/>
  <c r="G423" i="3"/>
  <c r="K423" i="3" s="1"/>
  <c r="C424" i="3"/>
  <c r="G424" i="3"/>
  <c r="K424" i="3" s="1"/>
  <c r="H424" i="3"/>
  <c r="D425" i="3"/>
  <c r="F425" i="3"/>
  <c r="G425" i="3"/>
  <c r="K425" i="3" s="1"/>
  <c r="H425" i="3"/>
  <c r="C2" i="3"/>
  <c r="C425" i="9"/>
  <c r="D425" i="9"/>
  <c r="E425" i="9" s="1"/>
  <c r="E424" i="3" s="1"/>
  <c r="F425" i="9"/>
  <c r="F424" i="3" s="1"/>
  <c r="G425" i="9"/>
  <c r="H425" i="9"/>
  <c r="A425" i="9" s="1"/>
  <c r="C425" i="3"/>
  <c r="D426" i="9"/>
  <c r="F426" i="9"/>
  <c r="G426" i="9"/>
  <c r="H426" i="9"/>
  <c r="C422" i="9"/>
  <c r="D422" i="9"/>
  <c r="E422" i="9" s="1"/>
  <c r="E421" i="3" s="1"/>
  <c r="F422" i="9"/>
  <c r="F421" i="3" s="1"/>
  <c r="G422" i="9"/>
  <c r="H422" i="9"/>
  <c r="A422" i="9" s="1"/>
  <c r="C423" i="9"/>
  <c r="D423" i="9"/>
  <c r="E423" i="9" s="1"/>
  <c r="E422" i="3" s="1"/>
  <c r="F423" i="9"/>
  <c r="F422" i="3" s="1"/>
  <c r="G423" i="9"/>
  <c r="H423" i="9"/>
  <c r="A423" i="9" s="1"/>
  <c r="C424" i="9"/>
  <c r="D424" i="9"/>
  <c r="D423" i="3" s="1"/>
  <c r="F424" i="9"/>
  <c r="F423" i="3" s="1"/>
  <c r="G424" i="9"/>
  <c r="H424" i="9"/>
  <c r="A424" i="9" s="1"/>
  <c r="C392" i="9"/>
  <c r="D392" i="9"/>
  <c r="D392" i="3" s="1"/>
  <c r="F392" i="9"/>
  <c r="F392" i="3" s="1"/>
  <c r="G392" i="9"/>
  <c r="H392" i="9"/>
  <c r="A392" i="9" s="1"/>
  <c r="C393" i="9"/>
  <c r="D393" i="9"/>
  <c r="D393" i="3" s="1"/>
  <c r="F393" i="9"/>
  <c r="F393" i="3" s="1"/>
  <c r="G393" i="9"/>
  <c r="H393" i="9"/>
  <c r="A393" i="9" s="1"/>
  <c r="C394" i="9"/>
  <c r="D394" i="9"/>
  <c r="D394" i="3" s="1"/>
  <c r="F394" i="9"/>
  <c r="F394" i="3" s="1"/>
  <c r="G394" i="9"/>
  <c r="H394" i="9"/>
  <c r="A394" i="9" s="1"/>
  <c r="C395" i="9"/>
  <c r="D395" i="9"/>
  <c r="F395" i="9"/>
  <c r="G395" i="9"/>
  <c r="H395" i="9"/>
  <c r="A395" i="9" s="1"/>
  <c r="C396" i="9"/>
  <c r="D396" i="9"/>
  <c r="D395" i="3" s="1"/>
  <c r="F396" i="9"/>
  <c r="F395" i="3" s="1"/>
  <c r="G396" i="9"/>
  <c r="H396" i="9"/>
  <c r="A396" i="9" s="1"/>
  <c r="C397" i="9"/>
  <c r="D397" i="9"/>
  <c r="D396" i="3" s="1"/>
  <c r="F397" i="9"/>
  <c r="F396" i="3" s="1"/>
  <c r="G397" i="9"/>
  <c r="H397" i="9"/>
  <c r="A397" i="9" s="1"/>
  <c r="C398" i="9"/>
  <c r="D398" i="9"/>
  <c r="D397" i="3" s="1"/>
  <c r="F398" i="9"/>
  <c r="F397" i="3" s="1"/>
  <c r="G398" i="9"/>
  <c r="H398" i="9"/>
  <c r="A398" i="9" s="1"/>
  <c r="C399" i="9"/>
  <c r="D399" i="9"/>
  <c r="E399" i="9" s="1"/>
  <c r="E398" i="3" s="1"/>
  <c r="F399" i="9"/>
  <c r="F398" i="3" s="1"/>
  <c r="G399" i="9"/>
  <c r="H399" i="9"/>
  <c r="A399" i="9" s="1"/>
  <c r="C400" i="9"/>
  <c r="D400" i="9"/>
  <c r="D399" i="3" s="1"/>
  <c r="F400" i="9"/>
  <c r="F399" i="3" s="1"/>
  <c r="G400" i="9"/>
  <c r="H400" i="9"/>
  <c r="A400" i="9" s="1"/>
  <c r="C401" i="9"/>
  <c r="D401" i="9"/>
  <c r="D400" i="3" s="1"/>
  <c r="F401" i="9"/>
  <c r="F400" i="3" s="1"/>
  <c r="G401" i="9"/>
  <c r="H401" i="9"/>
  <c r="A401" i="9" s="1"/>
  <c r="C402" i="9"/>
  <c r="D402" i="9"/>
  <c r="D401" i="3" s="1"/>
  <c r="E402" i="9"/>
  <c r="E401" i="3" s="1"/>
  <c r="F402" i="9"/>
  <c r="F401" i="3" s="1"/>
  <c r="G402" i="9"/>
  <c r="H402" i="9"/>
  <c r="A402" i="9" s="1"/>
  <c r="C403" i="9"/>
  <c r="D403" i="9"/>
  <c r="E403" i="9" s="1"/>
  <c r="E402" i="3" s="1"/>
  <c r="F403" i="9"/>
  <c r="F402" i="3" s="1"/>
  <c r="G403" i="9"/>
  <c r="H403" i="9"/>
  <c r="A403" i="9" s="1"/>
  <c r="C404" i="9"/>
  <c r="D404" i="9"/>
  <c r="D403" i="3" s="1"/>
  <c r="F404" i="9"/>
  <c r="F403" i="3" s="1"/>
  <c r="G404" i="9"/>
  <c r="H404" i="9"/>
  <c r="A404" i="9" s="1"/>
  <c r="C405" i="9"/>
  <c r="D405" i="9"/>
  <c r="D404" i="3" s="1"/>
  <c r="F405" i="9"/>
  <c r="F404" i="3" s="1"/>
  <c r="G405" i="9"/>
  <c r="H405" i="9"/>
  <c r="A405" i="9" s="1"/>
  <c r="C406" i="9"/>
  <c r="D406" i="9"/>
  <c r="D405" i="3" s="1"/>
  <c r="F406" i="9"/>
  <c r="F405" i="3" s="1"/>
  <c r="G406" i="9"/>
  <c r="H406" i="9"/>
  <c r="A406" i="9" s="1"/>
  <c r="C407" i="9"/>
  <c r="D407" i="9"/>
  <c r="D406" i="3" s="1"/>
  <c r="F407" i="9"/>
  <c r="G407" i="9"/>
  <c r="H407" i="9"/>
  <c r="A407" i="9" s="1"/>
  <c r="C408" i="9"/>
  <c r="D408" i="9"/>
  <c r="D407" i="3" s="1"/>
  <c r="F408" i="9"/>
  <c r="F407" i="3" s="1"/>
  <c r="G408" i="9"/>
  <c r="H408" i="9"/>
  <c r="A408" i="9" s="1"/>
  <c r="A409" i="9"/>
  <c r="C409" i="9"/>
  <c r="D409" i="9"/>
  <c r="D408" i="3" s="1"/>
  <c r="F409" i="9"/>
  <c r="F408" i="3" s="1"/>
  <c r="G409" i="9"/>
  <c r="H409" i="9"/>
  <c r="C410" i="9"/>
  <c r="D410" i="9"/>
  <c r="E410" i="9" s="1"/>
  <c r="E409" i="3" s="1"/>
  <c r="F410" i="9"/>
  <c r="F409" i="3" s="1"/>
  <c r="G410" i="9"/>
  <c r="H410" i="9"/>
  <c r="A410" i="9" s="1"/>
  <c r="C411" i="9"/>
  <c r="D411" i="9"/>
  <c r="D410" i="3" s="1"/>
  <c r="E411" i="9"/>
  <c r="E410" i="3" s="1"/>
  <c r="F411" i="9"/>
  <c r="F410" i="3" s="1"/>
  <c r="G411" i="9"/>
  <c r="H411" i="9"/>
  <c r="A411" i="9" s="1"/>
  <c r="C412" i="9"/>
  <c r="D412" i="9"/>
  <c r="D411" i="3" s="1"/>
  <c r="F412" i="9"/>
  <c r="F411" i="3" s="1"/>
  <c r="G412" i="9"/>
  <c r="H412" i="9"/>
  <c r="A412" i="9" s="1"/>
  <c r="C413" i="9"/>
  <c r="D413" i="9"/>
  <c r="D412" i="3" s="1"/>
  <c r="F413" i="9"/>
  <c r="F412" i="3" s="1"/>
  <c r="G413" i="9"/>
  <c r="H413" i="9"/>
  <c r="A413" i="9" s="1"/>
  <c r="C414" i="9"/>
  <c r="D414" i="9"/>
  <c r="D413" i="3" s="1"/>
  <c r="F414" i="9"/>
  <c r="F413" i="3" s="1"/>
  <c r="G414" i="9"/>
  <c r="H414" i="9"/>
  <c r="A414" i="9" s="1"/>
  <c r="C415" i="9"/>
  <c r="D415" i="9"/>
  <c r="D414" i="3" s="1"/>
  <c r="F415" i="9"/>
  <c r="F414" i="3" s="1"/>
  <c r="G415" i="9"/>
  <c r="H415" i="9"/>
  <c r="A415" i="9" s="1"/>
  <c r="C416" i="9"/>
  <c r="D416" i="9"/>
  <c r="D415" i="3" s="1"/>
  <c r="F416" i="9"/>
  <c r="F415" i="3" s="1"/>
  <c r="G416" i="9"/>
  <c r="H416" i="9"/>
  <c r="A416" i="9" s="1"/>
  <c r="A417" i="9"/>
  <c r="C417" i="9"/>
  <c r="D417" i="9"/>
  <c r="D416" i="3" s="1"/>
  <c r="F417" i="9"/>
  <c r="F416" i="3" s="1"/>
  <c r="G417" i="9"/>
  <c r="H417" i="9"/>
  <c r="C418" i="9"/>
  <c r="D418" i="9"/>
  <c r="D417" i="3" s="1"/>
  <c r="F418" i="9"/>
  <c r="F417" i="3" s="1"/>
  <c r="G418" i="9"/>
  <c r="H418" i="9"/>
  <c r="A418" i="9" s="1"/>
  <c r="C419" i="9"/>
  <c r="D419" i="9"/>
  <c r="E419" i="9" s="1"/>
  <c r="E418" i="3" s="1"/>
  <c r="F419" i="9"/>
  <c r="F418" i="3" s="1"/>
  <c r="G419" i="9"/>
  <c r="H419" i="9"/>
  <c r="A419" i="9" s="1"/>
  <c r="C420" i="9"/>
  <c r="D420" i="9"/>
  <c r="D419" i="3" s="1"/>
  <c r="F420" i="9"/>
  <c r="F419" i="3" s="1"/>
  <c r="G420" i="9"/>
  <c r="H420" i="9"/>
  <c r="A420" i="9" s="1"/>
  <c r="C421" i="9"/>
  <c r="D421" i="9"/>
  <c r="D420" i="3" s="1"/>
  <c r="F421" i="9"/>
  <c r="F420" i="3" s="1"/>
  <c r="G421" i="9"/>
  <c r="H421" i="9"/>
  <c r="A421" i="9" s="1"/>
  <c r="C3" i="9"/>
  <c r="D3" i="9"/>
  <c r="D3" i="3" s="1"/>
  <c r="F3" i="9"/>
  <c r="F3" i="3" s="1"/>
  <c r="G3" i="9"/>
  <c r="G3" i="3" s="1"/>
  <c r="H3" i="9"/>
  <c r="C4" i="9"/>
  <c r="D4" i="9"/>
  <c r="D4" i="3" s="1"/>
  <c r="F4" i="9"/>
  <c r="F4" i="3" s="1"/>
  <c r="G4" i="9"/>
  <c r="G4" i="3" s="1"/>
  <c r="H4" i="9"/>
  <c r="C5" i="9"/>
  <c r="D5" i="9"/>
  <c r="D5" i="3" s="1"/>
  <c r="F5" i="9"/>
  <c r="F5" i="3" s="1"/>
  <c r="G5" i="9"/>
  <c r="G5" i="3" s="1"/>
  <c r="H5" i="9"/>
  <c r="C6" i="9"/>
  <c r="D6" i="9"/>
  <c r="D6" i="3" s="1"/>
  <c r="E6" i="9"/>
  <c r="E6" i="3" s="1"/>
  <c r="F6" i="9"/>
  <c r="F6" i="3" s="1"/>
  <c r="G6" i="9"/>
  <c r="G6" i="3" s="1"/>
  <c r="H6" i="9"/>
  <c r="C7" i="9"/>
  <c r="D7" i="9"/>
  <c r="D7" i="3" s="1"/>
  <c r="F7" i="9"/>
  <c r="F7" i="3" s="1"/>
  <c r="G7" i="9"/>
  <c r="G7" i="3" s="1"/>
  <c r="H7" i="9"/>
  <c r="C8" i="9"/>
  <c r="D8" i="9"/>
  <c r="D8" i="3" s="1"/>
  <c r="F8" i="9"/>
  <c r="F8" i="3" s="1"/>
  <c r="G8" i="9"/>
  <c r="G8" i="3" s="1"/>
  <c r="H8" i="9"/>
  <c r="C9" i="9"/>
  <c r="D9" i="9"/>
  <c r="D9" i="3" s="1"/>
  <c r="F9" i="9"/>
  <c r="F9" i="3" s="1"/>
  <c r="G9" i="9"/>
  <c r="G9" i="3" s="1"/>
  <c r="H9" i="9"/>
  <c r="C10" i="9"/>
  <c r="D10" i="9"/>
  <c r="D10" i="3" s="1"/>
  <c r="F10" i="9"/>
  <c r="F10" i="3" s="1"/>
  <c r="G10" i="9"/>
  <c r="G10" i="3" s="1"/>
  <c r="H10" i="9"/>
  <c r="C11" i="9"/>
  <c r="D11" i="9"/>
  <c r="D11" i="3" s="1"/>
  <c r="F11" i="9"/>
  <c r="F11" i="3" s="1"/>
  <c r="G11" i="9"/>
  <c r="G11" i="3" s="1"/>
  <c r="H11" i="9"/>
  <c r="C12" i="9"/>
  <c r="D12" i="9"/>
  <c r="D12" i="3" s="1"/>
  <c r="F12" i="9"/>
  <c r="F12" i="3" s="1"/>
  <c r="G12" i="9"/>
  <c r="H12" i="9"/>
  <c r="C13" i="9"/>
  <c r="D13" i="9"/>
  <c r="D13" i="3" s="1"/>
  <c r="F13" i="9"/>
  <c r="F13" i="3" s="1"/>
  <c r="G13" i="9"/>
  <c r="G13" i="3" s="1"/>
  <c r="H13" i="9"/>
  <c r="C14" i="9"/>
  <c r="D14" i="9"/>
  <c r="D14" i="3" s="1"/>
  <c r="F14" i="9"/>
  <c r="F14" i="3" s="1"/>
  <c r="G14" i="9"/>
  <c r="G14" i="3" s="1"/>
  <c r="H14" i="9"/>
  <c r="C15" i="9"/>
  <c r="D15" i="9"/>
  <c r="D15" i="3" s="1"/>
  <c r="F15" i="9"/>
  <c r="F15" i="3" s="1"/>
  <c r="G15" i="9"/>
  <c r="G15" i="3" s="1"/>
  <c r="H15" i="9"/>
  <c r="C16" i="9"/>
  <c r="D16" i="9"/>
  <c r="D16" i="3" s="1"/>
  <c r="F16" i="9"/>
  <c r="F16" i="3" s="1"/>
  <c r="G16" i="9"/>
  <c r="G16" i="3" s="1"/>
  <c r="H16" i="9"/>
  <c r="C17" i="9"/>
  <c r="D17" i="9"/>
  <c r="D17" i="3" s="1"/>
  <c r="F17" i="9"/>
  <c r="F17" i="3" s="1"/>
  <c r="G17" i="9"/>
  <c r="G17" i="3" s="1"/>
  <c r="H17" i="9"/>
  <c r="C18" i="9"/>
  <c r="D18" i="9"/>
  <c r="D18" i="3" s="1"/>
  <c r="F18" i="9"/>
  <c r="F18" i="3" s="1"/>
  <c r="G18" i="9"/>
  <c r="G18" i="3" s="1"/>
  <c r="H18" i="9"/>
  <c r="C19" i="9"/>
  <c r="D19" i="9"/>
  <c r="D19" i="3" s="1"/>
  <c r="F19" i="9"/>
  <c r="F19" i="3" s="1"/>
  <c r="G19" i="9"/>
  <c r="G19" i="3" s="1"/>
  <c r="H19" i="9"/>
  <c r="C20" i="9"/>
  <c r="D20" i="9"/>
  <c r="D20" i="3" s="1"/>
  <c r="F20" i="9"/>
  <c r="F20" i="3" s="1"/>
  <c r="G20" i="9"/>
  <c r="G20" i="3" s="1"/>
  <c r="H20" i="9"/>
  <c r="C21" i="9"/>
  <c r="D21" i="9"/>
  <c r="D21" i="3" s="1"/>
  <c r="F21" i="9"/>
  <c r="F21" i="3" s="1"/>
  <c r="G21" i="9"/>
  <c r="G21" i="3" s="1"/>
  <c r="H21" i="9"/>
  <c r="C22" i="9"/>
  <c r="D22" i="9"/>
  <c r="D22" i="3" s="1"/>
  <c r="F22" i="9"/>
  <c r="F22" i="3" s="1"/>
  <c r="G22" i="9"/>
  <c r="G22" i="3" s="1"/>
  <c r="H22" i="9"/>
  <c r="C23" i="9"/>
  <c r="D23" i="9"/>
  <c r="D23" i="3" s="1"/>
  <c r="F23" i="9"/>
  <c r="F23" i="3" s="1"/>
  <c r="G23" i="9"/>
  <c r="G23" i="3" s="1"/>
  <c r="H23" i="9"/>
  <c r="C24" i="9"/>
  <c r="D24" i="9"/>
  <c r="D24" i="3" s="1"/>
  <c r="F24" i="9"/>
  <c r="F24" i="3" s="1"/>
  <c r="G24" i="9"/>
  <c r="G24" i="3" s="1"/>
  <c r="H24" i="9"/>
  <c r="C25" i="9"/>
  <c r="D25" i="9"/>
  <c r="D25" i="3" s="1"/>
  <c r="F25" i="9"/>
  <c r="F25" i="3" s="1"/>
  <c r="G25" i="9"/>
  <c r="G25" i="3" s="1"/>
  <c r="H25" i="9"/>
  <c r="C26" i="9"/>
  <c r="D26" i="9"/>
  <c r="E26" i="9" s="1"/>
  <c r="E26" i="3" s="1"/>
  <c r="F26" i="9"/>
  <c r="F26" i="3" s="1"/>
  <c r="G26" i="9"/>
  <c r="G26" i="3" s="1"/>
  <c r="H26" i="9"/>
  <c r="C27" i="9"/>
  <c r="D27" i="9"/>
  <c r="E27" i="9" s="1"/>
  <c r="E27" i="3" s="1"/>
  <c r="F27" i="9"/>
  <c r="F27" i="3" s="1"/>
  <c r="G27" i="9"/>
  <c r="G27" i="3" s="1"/>
  <c r="H27" i="9"/>
  <c r="C28" i="9"/>
  <c r="D28" i="9"/>
  <c r="D28" i="3" s="1"/>
  <c r="F28" i="9"/>
  <c r="F28" i="3" s="1"/>
  <c r="G28" i="9"/>
  <c r="G28" i="3" s="1"/>
  <c r="H28" i="9"/>
  <c r="C29" i="9"/>
  <c r="D29" i="9"/>
  <c r="D29" i="3" s="1"/>
  <c r="F29" i="9"/>
  <c r="F29" i="3" s="1"/>
  <c r="G29" i="9"/>
  <c r="G29" i="3" s="1"/>
  <c r="H29" i="9"/>
  <c r="C30" i="9"/>
  <c r="D30" i="9"/>
  <c r="D30" i="3" s="1"/>
  <c r="F30" i="9"/>
  <c r="F30" i="3" s="1"/>
  <c r="G30" i="9"/>
  <c r="G30" i="3" s="1"/>
  <c r="H30" i="9"/>
  <c r="C31" i="9"/>
  <c r="D31" i="9"/>
  <c r="E31" i="9" s="1"/>
  <c r="E31" i="3" s="1"/>
  <c r="F31" i="9"/>
  <c r="F31" i="3" s="1"/>
  <c r="G31" i="9"/>
  <c r="G31" i="3" s="1"/>
  <c r="H31" i="9"/>
  <c r="C32" i="9"/>
  <c r="D32" i="9"/>
  <c r="D32" i="3" s="1"/>
  <c r="F32" i="9"/>
  <c r="F32" i="3" s="1"/>
  <c r="G32" i="9"/>
  <c r="G32" i="3" s="1"/>
  <c r="H32" i="9"/>
  <c r="C33" i="9"/>
  <c r="D33" i="9"/>
  <c r="D33" i="3" s="1"/>
  <c r="F33" i="9"/>
  <c r="F33" i="3" s="1"/>
  <c r="G33" i="9"/>
  <c r="G33" i="3" s="1"/>
  <c r="H33" i="9"/>
  <c r="C34" i="9"/>
  <c r="D34" i="9"/>
  <c r="E34" i="9" s="1"/>
  <c r="E34" i="3" s="1"/>
  <c r="F34" i="9"/>
  <c r="F34" i="3" s="1"/>
  <c r="G34" i="9"/>
  <c r="G34" i="3" s="1"/>
  <c r="H34" i="9"/>
  <c r="C35" i="9"/>
  <c r="D35" i="9"/>
  <c r="E35" i="9" s="1"/>
  <c r="E35" i="3" s="1"/>
  <c r="F35" i="9"/>
  <c r="F35" i="3" s="1"/>
  <c r="G35" i="9"/>
  <c r="G35" i="3" s="1"/>
  <c r="H35" i="9"/>
  <c r="C36" i="9"/>
  <c r="D36" i="9"/>
  <c r="D36" i="3" s="1"/>
  <c r="F36" i="9"/>
  <c r="F36" i="3" s="1"/>
  <c r="G36" i="9"/>
  <c r="G36" i="3" s="1"/>
  <c r="H36" i="9"/>
  <c r="C37" i="9"/>
  <c r="D37" i="9"/>
  <c r="E37" i="9" s="1"/>
  <c r="E37" i="3" s="1"/>
  <c r="F37" i="9"/>
  <c r="F37" i="3" s="1"/>
  <c r="G37" i="9"/>
  <c r="G37" i="3" s="1"/>
  <c r="H37" i="9"/>
  <c r="C38" i="9"/>
  <c r="D38" i="9"/>
  <c r="D38" i="3" s="1"/>
  <c r="F38" i="9"/>
  <c r="F38" i="3" s="1"/>
  <c r="G38" i="9"/>
  <c r="G38" i="3" s="1"/>
  <c r="H38" i="9"/>
  <c r="C39" i="9"/>
  <c r="D39" i="9"/>
  <c r="E39" i="9" s="1"/>
  <c r="E39" i="3" s="1"/>
  <c r="F39" i="9"/>
  <c r="F39" i="3" s="1"/>
  <c r="G39" i="9"/>
  <c r="G39" i="3" s="1"/>
  <c r="H39" i="9"/>
  <c r="C40" i="9"/>
  <c r="D40" i="9"/>
  <c r="D40" i="3" s="1"/>
  <c r="F40" i="9"/>
  <c r="G40" i="9"/>
  <c r="G40" i="3" s="1"/>
  <c r="H40" i="9"/>
  <c r="C41" i="9"/>
  <c r="D41" i="9"/>
  <c r="D41" i="3" s="1"/>
  <c r="F41" i="9"/>
  <c r="F41" i="3" s="1"/>
  <c r="G41" i="9"/>
  <c r="G41" i="3" s="1"/>
  <c r="H41" i="9"/>
  <c r="C42" i="9"/>
  <c r="D42" i="9"/>
  <c r="E42" i="9" s="1"/>
  <c r="E42" i="3" s="1"/>
  <c r="F42" i="9"/>
  <c r="F42" i="3" s="1"/>
  <c r="G42" i="9"/>
  <c r="G42" i="3" s="1"/>
  <c r="H42" i="9"/>
  <c r="C43" i="9"/>
  <c r="D43" i="9"/>
  <c r="E43" i="9" s="1"/>
  <c r="E43" i="3" s="1"/>
  <c r="F43" i="9"/>
  <c r="F43" i="3" s="1"/>
  <c r="G43" i="9"/>
  <c r="G43" i="3" s="1"/>
  <c r="H43" i="9"/>
  <c r="C44" i="9"/>
  <c r="D44" i="9"/>
  <c r="D44" i="3" s="1"/>
  <c r="F44" i="9"/>
  <c r="F44" i="3" s="1"/>
  <c r="G44" i="9"/>
  <c r="G44" i="3" s="1"/>
  <c r="H44" i="9"/>
  <c r="C45" i="9"/>
  <c r="D45" i="9"/>
  <c r="D45" i="3" s="1"/>
  <c r="F45" i="9"/>
  <c r="F45" i="3" s="1"/>
  <c r="G45" i="9"/>
  <c r="G45" i="3" s="1"/>
  <c r="H45" i="9"/>
  <c r="C46" i="9"/>
  <c r="D46" i="9"/>
  <c r="D46" i="3" s="1"/>
  <c r="F46" i="9"/>
  <c r="F46" i="3" s="1"/>
  <c r="G46" i="9"/>
  <c r="G46" i="3" s="1"/>
  <c r="H46" i="9"/>
  <c r="C47" i="9"/>
  <c r="D47" i="9"/>
  <c r="E47" i="9" s="1"/>
  <c r="E47" i="3" s="1"/>
  <c r="F47" i="9"/>
  <c r="F47" i="3" s="1"/>
  <c r="G47" i="9"/>
  <c r="G47" i="3" s="1"/>
  <c r="H47" i="9"/>
  <c r="C48" i="9"/>
  <c r="D48" i="9"/>
  <c r="D48" i="3" s="1"/>
  <c r="F48" i="9"/>
  <c r="F48" i="3" s="1"/>
  <c r="G48" i="9"/>
  <c r="G48" i="3" s="1"/>
  <c r="H48" i="9"/>
  <c r="C49" i="9"/>
  <c r="D49" i="9"/>
  <c r="D49" i="3" s="1"/>
  <c r="F49" i="9"/>
  <c r="F49" i="3" s="1"/>
  <c r="G49" i="9"/>
  <c r="G49" i="3" s="1"/>
  <c r="H49" i="9"/>
  <c r="C50" i="9"/>
  <c r="D50" i="9"/>
  <c r="D50" i="3" s="1"/>
  <c r="F50" i="9"/>
  <c r="F50" i="3" s="1"/>
  <c r="G50" i="9"/>
  <c r="G50" i="3" s="1"/>
  <c r="H50" i="9"/>
  <c r="C51" i="9"/>
  <c r="D51" i="9"/>
  <c r="E51" i="9" s="1"/>
  <c r="E51" i="3" s="1"/>
  <c r="F51" i="9"/>
  <c r="F51" i="3" s="1"/>
  <c r="G51" i="9"/>
  <c r="G51" i="3" s="1"/>
  <c r="H51" i="9"/>
  <c r="C52" i="9"/>
  <c r="D52" i="9"/>
  <c r="D52" i="3" s="1"/>
  <c r="F52" i="9"/>
  <c r="F52" i="3" s="1"/>
  <c r="G52" i="9"/>
  <c r="G52" i="3" s="1"/>
  <c r="H52" i="9"/>
  <c r="C53" i="9"/>
  <c r="D53" i="9"/>
  <c r="D53" i="3" s="1"/>
  <c r="F53" i="9"/>
  <c r="F53" i="3" s="1"/>
  <c r="G53" i="9"/>
  <c r="G53" i="3" s="1"/>
  <c r="H53" i="9"/>
  <c r="C54" i="9"/>
  <c r="D54" i="9"/>
  <c r="D54" i="3" s="1"/>
  <c r="F54" i="9"/>
  <c r="F54" i="3" s="1"/>
  <c r="G54" i="9"/>
  <c r="G54" i="3" s="1"/>
  <c r="H54" i="9"/>
  <c r="C55" i="9"/>
  <c r="D55" i="9"/>
  <c r="D55" i="3" s="1"/>
  <c r="F55" i="9"/>
  <c r="F55" i="3" s="1"/>
  <c r="G55" i="9"/>
  <c r="G55" i="3" s="1"/>
  <c r="H55" i="9"/>
  <c r="C56" i="9"/>
  <c r="D56" i="9"/>
  <c r="D56" i="3" s="1"/>
  <c r="F56" i="9"/>
  <c r="F56" i="3" s="1"/>
  <c r="G56" i="9"/>
  <c r="G56" i="3" s="1"/>
  <c r="H56" i="9"/>
  <c r="C57" i="9"/>
  <c r="D57" i="9"/>
  <c r="D57" i="3" s="1"/>
  <c r="F57" i="9"/>
  <c r="F57" i="3" s="1"/>
  <c r="G57" i="9"/>
  <c r="H57" i="9"/>
  <c r="C58" i="9"/>
  <c r="D58" i="9"/>
  <c r="E58" i="9" s="1"/>
  <c r="E58" i="3" s="1"/>
  <c r="F58" i="9"/>
  <c r="F58" i="3" s="1"/>
  <c r="G58" i="9"/>
  <c r="G58" i="3" s="1"/>
  <c r="H58" i="9"/>
  <c r="C59" i="9"/>
  <c r="D59" i="9"/>
  <c r="E59" i="9" s="1"/>
  <c r="E59" i="3" s="1"/>
  <c r="F59" i="9"/>
  <c r="F59" i="3" s="1"/>
  <c r="G59" i="9"/>
  <c r="G59" i="3" s="1"/>
  <c r="H59" i="9"/>
  <c r="C60" i="9"/>
  <c r="D60" i="9"/>
  <c r="D60" i="3" s="1"/>
  <c r="F60" i="9"/>
  <c r="F60" i="3" s="1"/>
  <c r="G60" i="9"/>
  <c r="G60" i="3" s="1"/>
  <c r="H60" i="9"/>
  <c r="C61" i="9"/>
  <c r="D61" i="9"/>
  <c r="D61" i="3" s="1"/>
  <c r="F61" i="9"/>
  <c r="F61" i="3" s="1"/>
  <c r="G61" i="9"/>
  <c r="G61" i="3" s="1"/>
  <c r="H61" i="9"/>
  <c r="C62" i="9"/>
  <c r="D62" i="9"/>
  <c r="D62" i="3" s="1"/>
  <c r="E62" i="9"/>
  <c r="E62" i="3" s="1"/>
  <c r="F62" i="9"/>
  <c r="F62" i="3" s="1"/>
  <c r="G62" i="9"/>
  <c r="G62" i="3" s="1"/>
  <c r="H62" i="9"/>
  <c r="C63" i="9"/>
  <c r="D63" i="9"/>
  <c r="E63" i="9" s="1"/>
  <c r="E63" i="3" s="1"/>
  <c r="F63" i="9"/>
  <c r="F63" i="3" s="1"/>
  <c r="G63" i="9"/>
  <c r="G63" i="3" s="1"/>
  <c r="H63" i="9"/>
  <c r="C64" i="9"/>
  <c r="D64" i="9"/>
  <c r="D64" i="3" s="1"/>
  <c r="F64" i="9"/>
  <c r="F64" i="3" s="1"/>
  <c r="G64" i="9"/>
  <c r="G64" i="3" s="1"/>
  <c r="H64" i="9"/>
  <c r="C65" i="9"/>
  <c r="D65" i="9"/>
  <c r="D65" i="3" s="1"/>
  <c r="F65" i="9"/>
  <c r="F65" i="3" s="1"/>
  <c r="G65" i="9"/>
  <c r="G65" i="3" s="1"/>
  <c r="H65" i="9"/>
  <c r="C66" i="9"/>
  <c r="D66" i="9"/>
  <c r="D66" i="3" s="1"/>
  <c r="F66" i="9"/>
  <c r="F66" i="3" s="1"/>
  <c r="G66" i="9"/>
  <c r="G66" i="3" s="1"/>
  <c r="H66" i="9"/>
  <c r="C67" i="9"/>
  <c r="D67" i="9"/>
  <c r="E67" i="9" s="1"/>
  <c r="E67" i="3" s="1"/>
  <c r="F67" i="9"/>
  <c r="F67" i="3" s="1"/>
  <c r="G67" i="9"/>
  <c r="G67" i="3" s="1"/>
  <c r="H67" i="9"/>
  <c r="C68" i="9"/>
  <c r="D68" i="9"/>
  <c r="D68" i="3" s="1"/>
  <c r="F68" i="9"/>
  <c r="F68" i="3" s="1"/>
  <c r="G68" i="9"/>
  <c r="G68" i="3" s="1"/>
  <c r="H68" i="9"/>
  <c r="C69" i="9"/>
  <c r="D69" i="9"/>
  <c r="E69" i="9" s="1"/>
  <c r="E69" i="3" s="1"/>
  <c r="F69" i="9"/>
  <c r="F69" i="3" s="1"/>
  <c r="G69" i="9"/>
  <c r="G69" i="3" s="1"/>
  <c r="H69" i="9"/>
  <c r="C70" i="9"/>
  <c r="D70" i="9"/>
  <c r="E70" i="9" s="1"/>
  <c r="E70" i="3" s="1"/>
  <c r="F70" i="9"/>
  <c r="F70" i="3" s="1"/>
  <c r="G70" i="9"/>
  <c r="G70" i="3" s="1"/>
  <c r="H70" i="9"/>
  <c r="C71" i="9"/>
  <c r="D71" i="9"/>
  <c r="E71" i="9" s="1"/>
  <c r="E71" i="3" s="1"/>
  <c r="F71" i="9"/>
  <c r="F71" i="3" s="1"/>
  <c r="G71" i="9"/>
  <c r="G71" i="3" s="1"/>
  <c r="H71" i="9"/>
  <c r="C72" i="9"/>
  <c r="D72" i="9"/>
  <c r="D72" i="3" s="1"/>
  <c r="F72" i="9"/>
  <c r="F72" i="3" s="1"/>
  <c r="G72" i="9"/>
  <c r="G72" i="3" s="1"/>
  <c r="H72" i="9"/>
  <c r="C73" i="9"/>
  <c r="D73" i="9"/>
  <c r="D73" i="3" s="1"/>
  <c r="F73" i="9"/>
  <c r="F73" i="3" s="1"/>
  <c r="G73" i="9"/>
  <c r="G73" i="3" s="1"/>
  <c r="H73" i="9"/>
  <c r="C74" i="9"/>
  <c r="D74" i="9"/>
  <c r="E74" i="9" s="1"/>
  <c r="E74" i="3" s="1"/>
  <c r="F74" i="9"/>
  <c r="F74" i="3" s="1"/>
  <c r="G74" i="9"/>
  <c r="G74" i="3" s="1"/>
  <c r="H74" i="9"/>
  <c r="C75" i="9"/>
  <c r="D75" i="9"/>
  <c r="E75" i="9" s="1"/>
  <c r="E75" i="3" s="1"/>
  <c r="F75" i="9"/>
  <c r="F75" i="3" s="1"/>
  <c r="G75" i="9"/>
  <c r="G75" i="3" s="1"/>
  <c r="H75" i="9"/>
  <c r="C76" i="9"/>
  <c r="D76" i="9"/>
  <c r="D76" i="3" s="1"/>
  <c r="F76" i="9"/>
  <c r="F76" i="3" s="1"/>
  <c r="G76" i="9"/>
  <c r="G76" i="3" s="1"/>
  <c r="H76" i="9"/>
  <c r="C77" i="9"/>
  <c r="D77" i="9"/>
  <c r="D77" i="3" s="1"/>
  <c r="F77" i="9"/>
  <c r="F77" i="3" s="1"/>
  <c r="G77" i="9"/>
  <c r="G77" i="3" s="1"/>
  <c r="H77" i="9"/>
  <c r="C78" i="9"/>
  <c r="D78" i="9"/>
  <c r="D78" i="3" s="1"/>
  <c r="F78" i="9"/>
  <c r="F78" i="3" s="1"/>
  <c r="G78" i="9"/>
  <c r="H78" i="9"/>
  <c r="C79" i="9"/>
  <c r="D79" i="9"/>
  <c r="D79" i="3" s="1"/>
  <c r="F79" i="9"/>
  <c r="F79" i="3" s="1"/>
  <c r="G79" i="9"/>
  <c r="G79" i="3" s="1"/>
  <c r="H79" i="9"/>
  <c r="C80" i="9"/>
  <c r="D80" i="9"/>
  <c r="D80" i="3" s="1"/>
  <c r="F80" i="9"/>
  <c r="F80" i="3" s="1"/>
  <c r="G80" i="9"/>
  <c r="G80" i="3" s="1"/>
  <c r="H80" i="9"/>
  <c r="C81" i="9"/>
  <c r="D81" i="9"/>
  <c r="D81" i="3" s="1"/>
  <c r="F81" i="9"/>
  <c r="F81" i="3" s="1"/>
  <c r="G81" i="9"/>
  <c r="G81" i="3" s="1"/>
  <c r="H81" i="9"/>
  <c r="C82" i="9"/>
  <c r="D82" i="9"/>
  <c r="D82" i="3" s="1"/>
  <c r="F82" i="9"/>
  <c r="F82" i="3" s="1"/>
  <c r="G82" i="9"/>
  <c r="G82" i="3" s="1"/>
  <c r="H82" i="9"/>
  <c r="C83" i="9"/>
  <c r="D83" i="9"/>
  <c r="D83" i="3" s="1"/>
  <c r="F83" i="9"/>
  <c r="F83" i="3" s="1"/>
  <c r="G83" i="9"/>
  <c r="G83" i="3" s="1"/>
  <c r="H83" i="9"/>
  <c r="C84" i="9"/>
  <c r="D84" i="9"/>
  <c r="D84" i="3" s="1"/>
  <c r="F84" i="9"/>
  <c r="F84" i="3" s="1"/>
  <c r="G84" i="9"/>
  <c r="G84" i="3" s="1"/>
  <c r="H84" i="9"/>
  <c r="C85" i="9"/>
  <c r="D85" i="9"/>
  <c r="D85" i="3" s="1"/>
  <c r="F85" i="9"/>
  <c r="G85" i="9"/>
  <c r="G85" i="3" s="1"/>
  <c r="H85" i="9"/>
  <c r="C86" i="9"/>
  <c r="D86" i="9"/>
  <c r="D86" i="3" s="1"/>
  <c r="F86" i="9"/>
  <c r="F86" i="3" s="1"/>
  <c r="G86" i="9"/>
  <c r="G86" i="3" s="1"/>
  <c r="H86" i="9"/>
  <c r="C87" i="9"/>
  <c r="D87" i="9"/>
  <c r="D87" i="3" s="1"/>
  <c r="F87" i="9"/>
  <c r="F87" i="3" s="1"/>
  <c r="G87" i="9"/>
  <c r="G87" i="3" s="1"/>
  <c r="H87" i="9"/>
  <c r="C88" i="9"/>
  <c r="D88" i="9"/>
  <c r="D88" i="3" s="1"/>
  <c r="F88" i="9"/>
  <c r="F88" i="3" s="1"/>
  <c r="G88" i="9"/>
  <c r="G88" i="3" s="1"/>
  <c r="H88" i="9"/>
  <c r="C89" i="9"/>
  <c r="D89" i="9"/>
  <c r="D89" i="3" s="1"/>
  <c r="F89" i="9"/>
  <c r="F89" i="3" s="1"/>
  <c r="G89" i="9"/>
  <c r="G89" i="3" s="1"/>
  <c r="H89" i="9"/>
  <c r="C90" i="9"/>
  <c r="D90" i="9"/>
  <c r="E90" i="9" s="1"/>
  <c r="E90" i="3" s="1"/>
  <c r="F90" i="9"/>
  <c r="G90" i="9"/>
  <c r="G90" i="3" s="1"/>
  <c r="H90" i="9"/>
  <c r="C91" i="9"/>
  <c r="D91" i="9"/>
  <c r="D91" i="3" s="1"/>
  <c r="F91" i="9"/>
  <c r="F91" i="3" s="1"/>
  <c r="G91" i="9"/>
  <c r="G91" i="3" s="1"/>
  <c r="H91" i="9"/>
  <c r="C92" i="9"/>
  <c r="D92" i="9"/>
  <c r="D92" i="3" s="1"/>
  <c r="F92" i="9"/>
  <c r="F92" i="3" s="1"/>
  <c r="G92" i="9"/>
  <c r="G92" i="3" s="1"/>
  <c r="H92" i="9"/>
  <c r="C93" i="9"/>
  <c r="D93" i="9"/>
  <c r="D93" i="3" s="1"/>
  <c r="F93" i="9"/>
  <c r="F93" i="3" s="1"/>
  <c r="G93" i="9"/>
  <c r="G93" i="3" s="1"/>
  <c r="H93" i="9"/>
  <c r="C94" i="9"/>
  <c r="D94" i="9"/>
  <c r="D94" i="3" s="1"/>
  <c r="F94" i="9"/>
  <c r="F94" i="3" s="1"/>
  <c r="G94" i="9"/>
  <c r="G94" i="3" s="1"/>
  <c r="H94" i="9"/>
  <c r="C95" i="9"/>
  <c r="D95" i="9"/>
  <c r="D95" i="3" s="1"/>
  <c r="F95" i="9"/>
  <c r="F95" i="3" s="1"/>
  <c r="G95" i="9"/>
  <c r="G95" i="3" s="1"/>
  <c r="H95" i="9"/>
  <c r="C96" i="9"/>
  <c r="D96" i="9"/>
  <c r="D96" i="3" s="1"/>
  <c r="F96" i="9"/>
  <c r="F96" i="3" s="1"/>
  <c r="G96" i="9"/>
  <c r="G96" i="3" s="1"/>
  <c r="H96" i="9"/>
  <c r="C97" i="9"/>
  <c r="D97" i="9"/>
  <c r="D97" i="3" s="1"/>
  <c r="F97" i="9"/>
  <c r="G97" i="9"/>
  <c r="G97" i="3" s="1"/>
  <c r="H97" i="9"/>
  <c r="C98" i="9"/>
  <c r="D98" i="9"/>
  <c r="D98" i="3" s="1"/>
  <c r="F98" i="9"/>
  <c r="F98" i="3" s="1"/>
  <c r="G98" i="9"/>
  <c r="G98" i="3" s="1"/>
  <c r="H98" i="9"/>
  <c r="C99" i="9"/>
  <c r="D99" i="9"/>
  <c r="D99" i="3" s="1"/>
  <c r="F99" i="9"/>
  <c r="F99" i="3" s="1"/>
  <c r="G99" i="9"/>
  <c r="G99" i="3" s="1"/>
  <c r="H99" i="9"/>
  <c r="C100" i="9"/>
  <c r="D100" i="9"/>
  <c r="D100" i="3" s="1"/>
  <c r="F100" i="9"/>
  <c r="F100" i="3" s="1"/>
  <c r="G100" i="9"/>
  <c r="G100" i="3" s="1"/>
  <c r="H100" i="9"/>
  <c r="C101" i="9"/>
  <c r="D101" i="9"/>
  <c r="D101" i="3" s="1"/>
  <c r="F101" i="9"/>
  <c r="F101" i="3" s="1"/>
  <c r="G101" i="9"/>
  <c r="G101" i="3" s="1"/>
  <c r="H101" i="9"/>
  <c r="C102" i="9"/>
  <c r="D102" i="9"/>
  <c r="E102" i="9" s="1"/>
  <c r="E102" i="3" s="1"/>
  <c r="F102" i="9"/>
  <c r="F102" i="3" s="1"/>
  <c r="G102" i="9"/>
  <c r="G102" i="3" s="1"/>
  <c r="H102" i="9"/>
  <c r="C103" i="9"/>
  <c r="D103" i="9"/>
  <c r="D103" i="3" s="1"/>
  <c r="F103" i="9"/>
  <c r="F103" i="3" s="1"/>
  <c r="G103" i="9"/>
  <c r="G103" i="3" s="1"/>
  <c r="H103" i="9"/>
  <c r="C104" i="9"/>
  <c r="D104" i="9"/>
  <c r="D104" i="3" s="1"/>
  <c r="F104" i="9"/>
  <c r="F104" i="3" s="1"/>
  <c r="G104" i="9"/>
  <c r="G104" i="3" s="1"/>
  <c r="H104" i="9"/>
  <c r="C105" i="9"/>
  <c r="D105" i="9"/>
  <c r="D105" i="3" s="1"/>
  <c r="F105" i="9"/>
  <c r="F105" i="3" s="1"/>
  <c r="G105" i="9"/>
  <c r="G105" i="3" s="1"/>
  <c r="H105" i="9"/>
  <c r="C106" i="9"/>
  <c r="D106" i="9"/>
  <c r="D106" i="3" s="1"/>
  <c r="F106" i="9"/>
  <c r="F106" i="3" s="1"/>
  <c r="G106" i="9"/>
  <c r="G106" i="3" s="1"/>
  <c r="H106" i="9"/>
  <c r="C107" i="9"/>
  <c r="D107" i="9"/>
  <c r="D107" i="3" s="1"/>
  <c r="F107" i="9"/>
  <c r="F107" i="3" s="1"/>
  <c r="G107" i="9"/>
  <c r="G107" i="3" s="1"/>
  <c r="H107" i="9"/>
  <c r="C108" i="9"/>
  <c r="D108" i="9"/>
  <c r="D108" i="3" s="1"/>
  <c r="F108" i="9"/>
  <c r="F108" i="3" s="1"/>
  <c r="G108" i="9"/>
  <c r="H108" i="9"/>
  <c r="C109" i="9"/>
  <c r="D109" i="9"/>
  <c r="D109" i="3" s="1"/>
  <c r="F109" i="9"/>
  <c r="F109" i="3" s="1"/>
  <c r="G109" i="9"/>
  <c r="G109" i="3" s="1"/>
  <c r="H109" i="9"/>
  <c r="C110" i="9"/>
  <c r="D110" i="9"/>
  <c r="D110" i="3" s="1"/>
  <c r="F110" i="9"/>
  <c r="F110" i="3" s="1"/>
  <c r="G110" i="9"/>
  <c r="H110" i="9"/>
  <c r="C111" i="9"/>
  <c r="D111" i="9"/>
  <c r="D111" i="3" s="1"/>
  <c r="F111" i="9"/>
  <c r="F111" i="3" s="1"/>
  <c r="G111" i="9"/>
  <c r="G111" i="3" s="1"/>
  <c r="H111" i="9"/>
  <c r="C112" i="9"/>
  <c r="D112" i="9"/>
  <c r="D112" i="3" s="1"/>
  <c r="F112" i="9"/>
  <c r="F112" i="3" s="1"/>
  <c r="G112" i="9"/>
  <c r="G112" i="3" s="1"/>
  <c r="H112" i="9"/>
  <c r="C113" i="9"/>
  <c r="D113" i="9"/>
  <c r="D113" i="3" s="1"/>
  <c r="F113" i="9"/>
  <c r="F113" i="3" s="1"/>
  <c r="G113" i="9"/>
  <c r="G113" i="3" s="1"/>
  <c r="H113" i="9"/>
  <c r="C114" i="9"/>
  <c r="D114" i="9"/>
  <c r="D114" i="3" s="1"/>
  <c r="E114" i="9"/>
  <c r="E114" i="3" s="1"/>
  <c r="F114" i="9"/>
  <c r="G114" i="9"/>
  <c r="G114" i="3" s="1"/>
  <c r="H114" i="9"/>
  <c r="C115" i="9"/>
  <c r="D115" i="9"/>
  <c r="D115" i="3" s="1"/>
  <c r="F115" i="9"/>
  <c r="F115" i="3" s="1"/>
  <c r="G115" i="9"/>
  <c r="G115" i="3" s="1"/>
  <c r="H115" i="9"/>
  <c r="C116" i="9"/>
  <c r="D116" i="9"/>
  <c r="D116" i="3" s="1"/>
  <c r="F116" i="9"/>
  <c r="F116" i="3" s="1"/>
  <c r="G116" i="9"/>
  <c r="G116" i="3" s="1"/>
  <c r="H116" i="9"/>
  <c r="C117" i="9"/>
  <c r="D117" i="9"/>
  <c r="E117" i="9" s="1"/>
  <c r="E117" i="3" s="1"/>
  <c r="F117" i="9"/>
  <c r="F117" i="3" s="1"/>
  <c r="G117" i="9"/>
  <c r="G117" i="3" s="1"/>
  <c r="H117" i="9"/>
  <c r="C118" i="9"/>
  <c r="D118" i="9"/>
  <c r="D118" i="3" s="1"/>
  <c r="F118" i="9"/>
  <c r="F118" i="3" s="1"/>
  <c r="G118" i="9"/>
  <c r="G118" i="3" s="1"/>
  <c r="H118" i="9"/>
  <c r="C119" i="9"/>
  <c r="D119" i="9"/>
  <c r="E119" i="9" s="1"/>
  <c r="E119" i="3" s="1"/>
  <c r="F119" i="9"/>
  <c r="F119" i="3" s="1"/>
  <c r="G119" i="9"/>
  <c r="G119" i="3" s="1"/>
  <c r="H119" i="9"/>
  <c r="C120" i="9"/>
  <c r="D120" i="9"/>
  <c r="F120" i="9"/>
  <c r="G120" i="9"/>
  <c r="H120" i="9"/>
  <c r="C121" i="9"/>
  <c r="D121" i="9"/>
  <c r="D121" i="3" s="1"/>
  <c r="F121" i="9"/>
  <c r="F121" i="3" s="1"/>
  <c r="G121" i="9"/>
  <c r="G121" i="3" s="1"/>
  <c r="H121" i="9"/>
  <c r="C122" i="9"/>
  <c r="D122" i="9"/>
  <c r="E122" i="9" s="1"/>
  <c r="E122" i="3" s="1"/>
  <c r="F122" i="9"/>
  <c r="F122" i="3" s="1"/>
  <c r="G122" i="9"/>
  <c r="G122" i="3" s="1"/>
  <c r="H122" i="9"/>
  <c r="C123" i="9"/>
  <c r="D123" i="9"/>
  <c r="D123" i="3" s="1"/>
  <c r="F123" i="9"/>
  <c r="F123" i="3" s="1"/>
  <c r="G123" i="9"/>
  <c r="G123" i="3" s="1"/>
  <c r="H123" i="9"/>
  <c r="C124" i="9"/>
  <c r="D124" i="9"/>
  <c r="D124" i="3" s="1"/>
  <c r="F124" i="9"/>
  <c r="F124" i="3" s="1"/>
  <c r="G124" i="9"/>
  <c r="G124" i="3" s="1"/>
  <c r="H124" i="9"/>
  <c r="C125" i="9"/>
  <c r="D125" i="9"/>
  <c r="D125" i="3" s="1"/>
  <c r="F125" i="9"/>
  <c r="F125" i="3" s="1"/>
  <c r="G125" i="9"/>
  <c r="G125" i="3" s="1"/>
  <c r="H125" i="9"/>
  <c r="C126" i="9"/>
  <c r="D126" i="9"/>
  <c r="D126" i="3" s="1"/>
  <c r="F126" i="9"/>
  <c r="F126" i="3" s="1"/>
  <c r="G126" i="9"/>
  <c r="G126" i="3" s="1"/>
  <c r="H126" i="9"/>
  <c r="C127" i="9"/>
  <c r="D127" i="9"/>
  <c r="E127" i="9" s="1"/>
  <c r="E127" i="3" s="1"/>
  <c r="F127" i="9"/>
  <c r="F127" i="3" s="1"/>
  <c r="G127" i="9"/>
  <c r="G127" i="3" s="1"/>
  <c r="H127" i="9"/>
  <c r="C128" i="9"/>
  <c r="D128" i="9"/>
  <c r="D128" i="3" s="1"/>
  <c r="F128" i="9"/>
  <c r="F128" i="3" s="1"/>
  <c r="G128" i="9"/>
  <c r="G128" i="3" s="1"/>
  <c r="H128" i="9"/>
  <c r="C129" i="9"/>
  <c r="D129" i="9"/>
  <c r="D129" i="3" s="1"/>
  <c r="F129" i="9"/>
  <c r="F129" i="3" s="1"/>
  <c r="G129" i="9"/>
  <c r="G129" i="3" s="1"/>
  <c r="H129" i="9"/>
  <c r="C130" i="9"/>
  <c r="D130" i="9"/>
  <c r="D130" i="3" s="1"/>
  <c r="F130" i="9"/>
  <c r="G130" i="9"/>
  <c r="G130" i="3" s="1"/>
  <c r="H130" i="9"/>
  <c r="C131" i="9"/>
  <c r="D131" i="9"/>
  <c r="E131" i="9" s="1"/>
  <c r="E131" i="3" s="1"/>
  <c r="F131" i="9"/>
  <c r="F131" i="3" s="1"/>
  <c r="G131" i="9"/>
  <c r="G131" i="3" s="1"/>
  <c r="H131" i="9"/>
  <c r="C132" i="9"/>
  <c r="D132" i="9"/>
  <c r="D132" i="3" s="1"/>
  <c r="F132" i="9"/>
  <c r="F132" i="3" s="1"/>
  <c r="G132" i="9"/>
  <c r="G132" i="3" s="1"/>
  <c r="H132" i="9"/>
  <c r="C133" i="9"/>
  <c r="D133" i="9"/>
  <c r="D133" i="3" s="1"/>
  <c r="F133" i="9"/>
  <c r="G133" i="9"/>
  <c r="G133" i="3" s="1"/>
  <c r="H133" i="9"/>
  <c r="C134" i="9"/>
  <c r="D134" i="9"/>
  <c r="D134" i="3" s="1"/>
  <c r="E134" i="9"/>
  <c r="E134" i="3" s="1"/>
  <c r="F134" i="9"/>
  <c r="F134" i="3" s="1"/>
  <c r="G134" i="9"/>
  <c r="G134" i="3" s="1"/>
  <c r="H134" i="9"/>
  <c r="C135" i="9"/>
  <c r="D135" i="9"/>
  <c r="E135" i="9" s="1"/>
  <c r="E135" i="3" s="1"/>
  <c r="F135" i="9"/>
  <c r="F135" i="3" s="1"/>
  <c r="G135" i="9"/>
  <c r="G135" i="3" s="1"/>
  <c r="H135" i="9"/>
  <c r="C136" i="9"/>
  <c r="D136" i="9"/>
  <c r="D136" i="3" s="1"/>
  <c r="F136" i="9"/>
  <c r="F136" i="3" s="1"/>
  <c r="G136" i="9"/>
  <c r="G136" i="3" s="1"/>
  <c r="H136" i="9"/>
  <c r="C137" i="9"/>
  <c r="D137" i="9"/>
  <c r="D137" i="3" s="1"/>
  <c r="F137" i="9"/>
  <c r="F137" i="3" s="1"/>
  <c r="G137" i="9"/>
  <c r="G137" i="3" s="1"/>
  <c r="H137" i="9"/>
  <c r="C138" i="9"/>
  <c r="D138" i="9"/>
  <c r="D138" i="3" s="1"/>
  <c r="F138" i="9"/>
  <c r="F138" i="3" s="1"/>
  <c r="G138" i="9"/>
  <c r="G138" i="3" s="1"/>
  <c r="H138" i="9"/>
  <c r="C139" i="9"/>
  <c r="D139" i="9"/>
  <c r="E139" i="9" s="1"/>
  <c r="E139" i="3" s="1"/>
  <c r="F139" i="9"/>
  <c r="F139" i="3" s="1"/>
  <c r="G139" i="9"/>
  <c r="G139" i="3" s="1"/>
  <c r="H139" i="9"/>
  <c r="C140" i="9"/>
  <c r="D140" i="9"/>
  <c r="D140" i="3" s="1"/>
  <c r="F140" i="9"/>
  <c r="F140" i="3" s="1"/>
  <c r="G140" i="9"/>
  <c r="G140" i="3" s="1"/>
  <c r="H140" i="9"/>
  <c r="C141" i="9"/>
  <c r="D141" i="9"/>
  <c r="D141" i="3" s="1"/>
  <c r="F141" i="9"/>
  <c r="F141" i="3" s="1"/>
  <c r="G141" i="9"/>
  <c r="G141" i="3" s="1"/>
  <c r="H141" i="9"/>
  <c r="C142" i="9"/>
  <c r="D142" i="9"/>
  <c r="E142" i="9" s="1"/>
  <c r="E142" i="3" s="1"/>
  <c r="F142" i="9"/>
  <c r="F142" i="3" s="1"/>
  <c r="G142" i="9"/>
  <c r="G142" i="3" s="1"/>
  <c r="H142" i="9"/>
  <c r="C143" i="9"/>
  <c r="D143" i="9"/>
  <c r="E143" i="9" s="1"/>
  <c r="E143" i="3" s="1"/>
  <c r="F143" i="9"/>
  <c r="F143" i="3" s="1"/>
  <c r="G143" i="9"/>
  <c r="G143" i="3" s="1"/>
  <c r="H143" i="9"/>
  <c r="C144" i="9"/>
  <c r="D144" i="9"/>
  <c r="D144" i="3" s="1"/>
  <c r="F144" i="9"/>
  <c r="F144" i="3" s="1"/>
  <c r="G144" i="9"/>
  <c r="G144" i="3" s="1"/>
  <c r="H144" i="9"/>
  <c r="C145" i="9"/>
  <c r="D145" i="9"/>
  <c r="E145" i="9" s="1"/>
  <c r="E145" i="3" s="1"/>
  <c r="F145" i="9"/>
  <c r="F145" i="3" s="1"/>
  <c r="G145" i="9"/>
  <c r="G145" i="3" s="1"/>
  <c r="H145" i="9"/>
  <c r="C146" i="9"/>
  <c r="D146" i="9"/>
  <c r="D146" i="3" s="1"/>
  <c r="E146" i="9"/>
  <c r="E146" i="3" s="1"/>
  <c r="F146" i="9"/>
  <c r="F146" i="3" s="1"/>
  <c r="G146" i="9"/>
  <c r="G146" i="3" s="1"/>
  <c r="H146" i="9"/>
  <c r="C147" i="9"/>
  <c r="D147" i="9"/>
  <c r="D147" i="3" s="1"/>
  <c r="F147" i="9"/>
  <c r="F147" i="3" s="1"/>
  <c r="G147" i="9"/>
  <c r="G147" i="3" s="1"/>
  <c r="H147" i="9"/>
  <c r="C148" i="9"/>
  <c r="D148" i="9"/>
  <c r="D148" i="3" s="1"/>
  <c r="F148" i="9"/>
  <c r="F148" i="3" s="1"/>
  <c r="G148" i="9"/>
  <c r="G148" i="3" s="1"/>
  <c r="H148" i="9"/>
  <c r="C149" i="9"/>
  <c r="D149" i="9"/>
  <c r="D149" i="3" s="1"/>
  <c r="E149" i="9"/>
  <c r="E149" i="3" s="1"/>
  <c r="F149" i="9"/>
  <c r="F149" i="3" s="1"/>
  <c r="G149" i="9"/>
  <c r="G149" i="3" s="1"/>
  <c r="H149" i="9"/>
  <c r="C150" i="9"/>
  <c r="D150" i="9"/>
  <c r="D150" i="3" s="1"/>
  <c r="F150" i="9"/>
  <c r="F150" i="3" s="1"/>
  <c r="G150" i="9"/>
  <c r="G150" i="3" s="1"/>
  <c r="H150" i="9"/>
  <c r="C151" i="9"/>
  <c r="D151" i="9"/>
  <c r="E151" i="9" s="1"/>
  <c r="E151" i="3" s="1"/>
  <c r="F151" i="9"/>
  <c r="F151" i="3" s="1"/>
  <c r="G151" i="9"/>
  <c r="G151" i="3" s="1"/>
  <c r="H151" i="9"/>
  <c r="C152" i="9"/>
  <c r="D152" i="9"/>
  <c r="D152" i="3" s="1"/>
  <c r="F152" i="9"/>
  <c r="F152" i="3" s="1"/>
  <c r="G152" i="9"/>
  <c r="G152" i="3" s="1"/>
  <c r="H152" i="9"/>
  <c r="C153" i="9"/>
  <c r="D153" i="9"/>
  <c r="D153" i="3" s="1"/>
  <c r="F153" i="9"/>
  <c r="F153" i="3" s="1"/>
  <c r="G153" i="9"/>
  <c r="G153" i="3" s="1"/>
  <c r="H153" i="9"/>
  <c r="C154" i="9"/>
  <c r="D154" i="9"/>
  <c r="E154" i="9" s="1"/>
  <c r="E154" i="3" s="1"/>
  <c r="F154" i="9"/>
  <c r="F154" i="3" s="1"/>
  <c r="G154" i="9"/>
  <c r="G154" i="3" s="1"/>
  <c r="H154" i="9"/>
  <c r="C155" i="9"/>
  <c r="D155" i="9"/>
  <c r="E155" i="9" s="1"/>
  <c r="E155" i="3" s="1"/>
  <c r="F155" i="9"/>
  <c r="F155" i="3" s="1"/>
  <c r="G155" i="9"/>
  <c r="G155" i="3" s="1"/>
  <c r="H155" i="9"/>
  <c r="C156" i="9"/>
  <c r="D156" i="9"/>
  <c r="D156" i="3" s="1"/>
  <c r="F156" i="9"/>
  <c r="F156" i="3" s="1"/>
  <c r="G156" i="9"/>
  <c r="G156" i="3" s="1"/>
  <c r="H156" i="9"/>
  <c r="C157" i="9"/>
  <c r="D157" i="9"/>
  <c r="D157" i="3" s="1"/>
  <c r="F157" i="9"/>
  <c r="F157" i="3" s="1"/>
  <c r="G157" i="9"/>
  <c r="G157" i="3" s="1"/>
  <c r="H157" i="9"/>
  <c r="C158" i="9"/>
  <c r="D158" i="9"/>
  <c r="D158" i="3" s="1"/>
  <c r="E158" i="9"/>
  <c r="E158" i="3" s="1"/>
  <c r="F158" i="9"/>
  <c r="F158" i="3" s="1"/>
  <c r="G158" i="9"/>
  <c r="G158" i="3" s="1"/>
  <c r="H158" i="9"/>
  <c r="C159" i="9"/>
  <c r="D159" i="9"/>
  <c r="F159" i="9"/>
  <c r="F159" i="3" s="1"/>
  <c r="G159" i="9"/>
  <c r="G159" i="3" s="1"/>
  <c r="H159" i="9"/>
  <c r="C160" i="9"/>
  <c r="D160" i="9"/>
  <c r="D160" i="3" s="1"/>
  <c r="F160" i="9"/>
  <c r="F160" i="3" s="1"/>
  <c r="G160" i="9"/>
  <c r="G160" i="3" s="1"/>
  <c r="H160" i="9"/>
  <c r="C161" i="9"/>
  <c r="D161" i="9"/>
  <c r="D161" i="3" s="1"/>
  <c r="E161" i="9"/>
  <c r="E161" i="3" s="1"/>
  <c r="F161" i="9"/>
  <c r="F161" i="3" s="1"/>
  <c r="G161" i="9"/>
  <c r="G161" i="3" s="1"/>
  <c r="H161" i="9"/>
  <c r="C162" i="9"/>
  <c r="D162" i="9"/>
  <c r="D162" i="3" s="1"/>
  <c r="F162" i="9"/>
  <c r="F162" i="3" s="1"/>
  <c r="G162" i="9"/>
  <c r="G162" i="3" s="1"/>
  <c r="H162" i="9"/>
  <c r="C163" i="9"/>
  <c r="D163" i="9"/>
  <c r="E163" i="9" s="1"/>
  <c r="E163" i="3" s="1"/>
  <c r="F163" i="9"/>
  <c r="F163" i="3" s="1"/>
  <c r="G163" i="9"/>
  <c r="G163" i="3" s="1"/>
  <c r="H163" i="9"/>
  <c r="C164" i="9"/>
  <c r="D164" i="9"/>
  <c r="D164" i="3" s="1"/>
  <c r="F164" i="9"/>
  <c r="F164" i="3" s="1"/>
  <c r="G164" i="9"/>
  <c r="G164" i="3" s="1"/>
  <c r="H164" i="9"/>
  <c r="C165" i="9"/>
  <c r="D165" i="9"/>
  <c r="D165" i="3" s="1"/>
  <c r="F165" i="9"/>
  <c r="F165" i="3" s="1"/>
  <c r="G165" i="9"/>
  <c r="G165" i="3" s="1"/>
  <c r="H165" i="9"/>
  <c r="C166" i="9"/>
  <c r="D166" i="9"/>
  <c r="E166" i="9" s="1"/>
  <c r="E166" i="3" s="1"/>
  <c r="F166" i="9"/>
  <c r="F166" i="3" s="1"/>
  <c r="G166" i="9"/>
  <c r="G166" i="3" s="1"/>
  <c r="H166" i="9"/>
  <c r="C167" i="9"/>
  <c r="D167" i="9"/>
  <c r="E167" i="9" s="1"/>
  <c r="E167" i="3" s="1"/>
  <c r="F167" i="9"/>
  <c r="F167" i="3" s="1"/>
  <c r="G167" i="9"/>
  <c r="G167" i="3" s="1"/>
  <c r="H167" i="9"/>
  <c r="C168" i="9"/>
  <c r="D168" i="9"/>
  <c r="D168" i="3" s="1"/>
  <c r="F168" i="9"/>
  <c r="F168" i="3" s="1"/>
  <c r="G168" i="9"/>
  <c r="G168" i="3" s="1"/>
  <c r="H168" i="9"/>
  <c r="C169" i="9"/>
  <c r="D169" i="9"/>
  <c r="D169" i="3" s="1"/>
  <c r="F169" i="9"/>
  <c r="F169" i="3" s="1"/>
  <c r="G169" i="9"/>
  <c r="G169" i="3" s="1"/>
  <c r="H169" i="9"/>
  <c r="C170" i="9"/>
  <c r="D170" i="9"/>
  <c r="D170" i="3" s="1"/>
  <c r="F170" i="9"/>
  <c r="F170" i="3" s="1"/>
  <c r="G170" i="9"/>
  <c r="G170" i="3" s="1"/>
  <c r="H170" i="9"/>
  <c r="C171" i="9"/>
  <c r="D171" i="9"/>
  <c r="E171" i="9" s="1"/>
  <c r="E171" i="3" s="1"/>
  <c r="F171" i="9"/>
  <c r="F171" i="3" s="1"/>
  <c r="G171" i="9"/>
  <c r="G171" i="3" s="1"/>
  <c r="H171" i="9"/>
  <c r="C172" i="9"/>
  <c r="D172" i="9"/>
  <c r="D172" i="3" s="1"/>
  <c r="F172" i="9"/>
  <c r="F172" i="3" s="1"/>
  <c r="G172" i="9"/>
  <c r="G172" i="3" s="1"/>
  <c r="H172" i="9"/>
  <c r="C173" i="9"/>
  <c r="D173" i="9"/>
  <c r="D173" i="3" s="1"/>
  <c r="F173" i="9"/>
  <c r="F173" i="3" s="1"/>
  <c r="G173" i="9"/>
  <c r="G173" i="3" s="1"/>
  <c r="H173" i="9"/>
  <c r="C174" i="9"/>
  <c r="D174" i="9"/>
  <c r="D174" i="3" s="1"/>
  <c r="F174" i="9"/>
  <c r="F174" i="3" s="1"/>
  <c r="G174" i="9"/>
  <c r="G174" i="3" s="1"/>
  <c r="H174" i="9"/>
  <c r="C175" i="9"/>
  <c r="D175" i="9"/>
  <c r="E175" i="9" s="1"/>
  <c r="F175" i="9"/>
  <c r="F175" i="3" s="1"/>
  <c r="G175" i="9"/>
  <c r="G175" i="3" s="1"/>
  <c r="H175" i="9"/>
  <c r="C176" i="9"/>
  <c r="D176" i="9"/>
  <c r="D176" i="3" s="1"/>
  <c r="F176" i="9"/>
  <c r="F176" i="3" s="1"/>
  <c r="G176" i="9"/>
  <c r="G176" i="3" s="1"/>
  <c r="H176" i="9"/>
  <c r="C177" i="9"/>
  <c r="D177" i="9"/>
  <c r="D177" i="3" s="1"/>
  <c r="F177" i="9"/>
  <c r="F177" i="3" s="1"/>
  <c r="G177" i="9"/>
  <c r="G177" i="3" s="1"/>
  <c r="H177" i="9"/>
  <c r="C178" i="9"/>
  <c r="D178" i="9"/>
  <c r="D178" i="3" s="1"/>
  <c r="E178" i="9"/>
  <c r="E178" i="3" s="1"/>
  <c r="F178" i="9"/>
  <c r="F178" i="3" s="1"/>
  <c r="G178" i="9"/>
  <c r="H178" i="9"/>
  <c r="C179" i="9"/>
  <c r="D179" i="9"/>
  <c r="D179" i="3" s="1"/>
  <c r="F179" i="9"/>
  <c r="F179" i="3" s="1"/>
  <c r="G179" i="9"/>
  <c r="G179" i="3" s="1"/>
  <c r="H179" i="9"/>
  <c r="C180" i="9"/>
  <c r="D180" i="9"/>
  <c r="D180" i="3" s="1"/>
  <c r="F180" i="9"/>
  <c r="F180" i="3" s="1"/>
  <c r="G180" i="9"/>
  <c r="G180" i="3" s="1"/>
  <c r="H180" i="9"/>
  <c r="C181" i="9"/>
  <c r="D181" i="9"/>
  <c r="D181" i="3" s="1"/>
  <c r="E181" i="9"/>
  <c r="E181" i="3" s="1"/>
  <c r="F181" i="9"/>
  <c r="F181" i="3" s="1"/>
  <c r="G181" i="9"/>
  <c r="G181" i="3" s="1"/>
  <c r="H181" i="9"/>
  <c r="C182" i="9"/>
  <c r="D182" i="9"/>
  <c r="D182" i="3" s="1"/>
  <c r="F182" i="9"/>
  <c r="F182" i="3" s="1"/>
  <c r="G182" i="9"/>
  <c r="H182" i="9"/>
  <c r="C183" i="9"/>
  <c r="D183" i="9"/>
  <c r="D183" i="3" s="1"/>
  <c r="F183" i="9"/>
  <c r="F183" i="3" s="1"/>
  <c r="G183" i="9"/>
  <c r="G183" i="3" s="1"/>
  <c r="H183" i="9"/>
  <c r="C184" i="9"/>
  <c r="D184" i="9"/>
  <c r="D184" i="3" s="1"/>
  <c r="F184" i="9"/>
  <c r="F184" i="3" s="1"/>
  <c r="G184" i="9"/>
  <c r="G184" i="3" s="1"/>
  <c r="H184" i="9"/>
  <c r="C185" i="9"/>
  <c r="D185" i="9"/>
  <c r="D185" i="3" s="1"/>
  <c r="F185" i="9"/>
  <c r="F185" i="3" s="1"/>
  <c r="G185" i="9"/>
  <c r="G185" i="3" s="1"/>
  <c r="H185" i="9"/>
  <c r="C186" i="9"/>
  <c r="D186" i="9"/>
  <c r="E186" i="9" s="1"/>
  <c r="E186" i="3" s="1"/>
  <c r="F186" i="9"/>
  <c r="F186" i="3" s="1"/>
  <c r="G186" i="9"/>
  <c r="G186" i="3" s="1"/>
  <c r="H186" i="9"/>
  <c r="C187" i="9"/>
  <c r="D187" i="9"/>
  <c r="E187" i="9" s="1"/>
  <c r="E187" i="3" s="1"/>
  <c r="F187" i="9"/>
  <c r="F187" i="3" s="1"/>
  <c r="G187" i="9"/>
  <c r="G187" i="3" s="1"/>
  <c r="H187" i="9"/>
  <c r="C188" i="9"/>
  <c r="D188" i="9"/>
  <c r="D188" i="3" s="1"/>
  <c r="F188" i="9"/>
  <c r="F188" i="3" s="1"/>
  <c r="G188" i="9"/>
  <c r="G188" i="3" s="1"/>
  <c r="H188" i="9"/>
  <c r="C189" i="9"/>
  <c r="D189" i="9"/>
  <c r="D189" i="3" s="1"/>
  <c r="F189" i="9"/>
  <c r="F189" i="3" s="1"/>
  <c r="G189" i="9"/>
  <c r="G189" i="3" s="1"/>
  <c r="H189" i="9"/>
  <c r="C190" i="9"/>
  <c r="D190" i="9"/>
  <c r="D190" i="3" s="1"/>
  <c r="E190" i="9"/>
  <c r="E190" i="3" s="1"/>
  <c r="F190" i="9"/>
  <c r="F190" i="3" s="1"/>
  <c r="G190" i="9"/>
  <c r="G190" i="3" s="1"/>
  <c r="H190" i="9"/>
  <c r="C191" i="9"/>
  <c r="D191" i="9"/>
  <c r="D191" i="3" s="1"/>
  <c r="F191" i="9"/>
  <c r="F191" i="3" s="1"/>
  <c r="G191" i="9"/>
  <c r="G191" i="3" s="1"/>
  <c r="H191" i="9"/>
  <c r="C192" i="9"/>
  <c r="D192" i="9"/>
  <c r="D192" i="3" s="1"/>
  <c r="F192" i="9"/>
  <c r="F192" i="3" s="1"/>
  <c r="G192" i="9"/>
  <c r="G192" i="3" s="1"/>
  <c r="H192" i="9"/>
  <c r="C193" i="9"/>
  <c r="D193" i="9"/>
  <c r="E193" i="9" s="1"/>
  <c r="E193" i="3" s="1"/>
  <c r="F193" i="9"/>
  <c r="F193" i="3" s="1"/>
  <c r="G193" i="9"/>
  <c r="G193" i="3" s="1"/>
  <c r="H193" i="9"/>
  <c r="C194" i="9"/>
  <c r="D194" i="9"/>
  <c r="D194" i="3" s="1"/>
  <c r="F194" i="9"/>
  <c r="F194" i="3" s="1"/>
  <c r="G194" i="9"/>
  <c r="G194" i="3" s="1"/>
  <c r="H194" i="9"/>
  <c r="C195" i="9"/>
  <c r="D195" i="9"/>
  <c r="E195" i="9" s="1"/>
  <c r="E195" i="3" s="1"/>
  <c r="F195" i="9"/>
  <c r="F195" i="3" s="1"/>
  <c r="G195" i="9"/>
  <c r="H195" i="9"/>
  <c r="C196" i="9"/>
  <c r="D196" i="9"/>
  <c r="D196" i="3" s="1"/>
  <c r="F196" i="9"/>
  <c r="F196" i="3" s="1"/>
  <c r="G196" i="9"/>
  <c r="G196" i="3" s="1"/>
  <c r="H196" i="9"/>
  <c r="C197" i="9"/>
  <c r="D197" i="9"/>
  <c r="D197" i="3" s="1"/>
  <c r="F197" i="9"/>
  <c r="F197" i="3" s="1"/>
  <c r="G197" i="9"/>
  <c r="G197" i="3" s="1"/>
  <c r="H197" i="9"/>
  <c r="C198" i="9"/>
  <c r="D198" i="9"/>
  <c r="E198" i="9" s="1"/>
  <c r="E198" i="3" s="1"/>
  <c r="F198" i="9"/>
  <c r="F198" i="3" s="1"/>
  <c r="G198" i="9"/>
  <c r="G198" i="3" s="1"/>
  <c r="H198" i="9"/>
  <c r="C199" i="9"/>
  <c r="D199" i="9"/>
  <c r="E199" i="9" s="1"/>
  <c r="E199" i="3" s="1"/>
  <c r="F199" i="9"/>
  <c r="F199" i="3" s="1"/>
  <c r="G199" i="9"/>
  <c r="G199" i="3" s="1"/>
  <c r="H199" i="9"/>
  <c r="C200" i="9"/>
  <c r="D200" i="9"/>
  <c r="D200" i="3" s="1"/>
  <c r="F200" i="9"/>
  <c r="F200" i="3" s="1"/>
  <c r="G200" i="9"/>
  <c r="G200" i="3" s="1"/>
  <c r="H200" i="9"/>
  <c r="C201" i="9"/>
  <c r="D201" i="9"/>
  <c r="D201" i="3" s="1"/>
  <c r="F201" i="9"/>
  <c r="F201" i="3" s="1"/>
  <c r="G201" i="9"/>
  <c r="G201" i="3" s="1"/>
  <c r="H201" i="9"/>
  <c r="C202" i="9"/>
  <c r="D202" i="9"/>
  <c r="D202" i="3" s="1"/>
  <c r="F202" i="9"/>
  <c r="F202" i="3" s="1"/>
  <c r="G202" i="9"/>
  <c r="G202" i="3" s="1"/>
  <c r="H202" i="9"/>
  <c r="C203" i="9"/>
  <c r="D203" i="9"/>
  <c r="E203" i="9" s="1"/>
  <c r="E203" i="3" s="1"/>
  <c r="F203" i="9"/>
  <c r="F203" i="3" s="1"/>
  <c r="G203" i="9"/>
  <c r="H203" i="9"/>
  <c r="C204" i="9"/>
  <c r="D204" i="9"/>
  <c r="D204" i="3" s="1"/>
  <c r="F204" i="9"/>
  <c r="F204" i="3" s="1"/>
  <c r="G204" i="9"/>
  <c r="G204" i="3" s="1"/>
  <c r="H204" i="9"/>
  <c r="C205" i="9"/>
  <c r="D205" i="9"/>
  <c r="D205" i="3" s="1"/>
  <c r="F205" i="9"/>
  <c r="F205" i="3" s="1"/>
  <c r="G205" i="9"/>
  <c r="G205" i="3" s="1"/>
  <c r="H205" i="9"/>
  <c r="C206" i="9"/>
  <c r="D206" i="9"/>
  <c r="E206" i="9" s="1"/>
  <c r="E206" i="3" s="1"/>
  <c r="F206" i="9"/>
  <c r="F206" i="3" s="1"/>
  <c r="G206" i="9"/>
  <c r="G206" i="3" s="1"/>
  <c r="H206" i="9"/>
  <c r="C207" i="9"/>
  <c r="D207" i="9"/>
  <c r="E207" i="9" s="1"/>
  <c r="E207" i="3" s="1"/>
  <c r="F207" i="9"/>
  <c r="F207" i="3" s="1"/>
  <c r="G207" i="9"/>
  <c r="G207" i="3" s="1"/>
  <c r="H207" i="9"/>
  <c r="C208" i="9"/>
  <c r="D208" i="9"/>
  <c r="D208" i="3" s="1"/>
  <c r="F208" i="9"/>
  <c r="F208" i="3" s="1"/>
  <c r="G208" i="9"/>
  <c r="G208" i="3" s="1"/>
  <c r="H208" i="9"/>
  <c r="C209" i="9"/>
  <c r="D209" i="9"/>
  <c r="D209" i="3" s="1"/>
  <c r="F209" i="9"/>
  <c r="F209" i="3" s="1"/>
  <c r="G209" i="9"/>
  <c r="G209" i="3" s="1"/>
  <c r="H209" i="9"/>
  <c r="C210" i="9"/>
  <c r="D210" i="9"/>
  <c r="E210" i="9" s="1"/>
  <c r="E210" i="3" s="1"/>
  <c r="F210" i="9"/>
  <c r="F210" i="3" s="1"/>
  <c r="G210" i="9"/>
  <c r="G210" i="3" s="1"/>
  <c r="H210" i="9"/>
  <c r="C211" i="9"/>
  <c r="D211" i="9"/>
  <c r="D211" i="3" s="1"/>
  <c r="F211" i="9"/>
  <c r="F211" i="3" s="1"/>
  <c r="G211" i="9"/>
  <c r="G211" i="3" s="1"/>
  <c r="H211" i="9"/>
  <c r="C212" i="9"/>
  <c r="D212" i="9"/>
  <c r="D212" i="3" s="1"/>
  <c r="F212" i="9"/>
  <c r="F212" i="3" s="1"/>
  <c r="G212" i="9"/>
  <c r="G212" i="3" s="1"/>
  <c r="H212" i="9"/>
  <c r="C213" i="9"/>
  <c r="D213" i="9"/>
  <c r="E213" i="9" s="1"/>
  <c r="E213" i="3" s="1"/>
  <c r="F213" i="9"/>
  <c r="F213" i="3" s="1"/>
  <c r="G213" i="9"/>
  <c r="G213" i="3" s="1"/>
  <c r="H213" i="9"/>
  <c r="C214" i="9"/>
  <c r="D214" i="9"/>
  <c r="D214" i="3" s="1"/>
  <c r="F214" i="9"/>
  <c r="G214" i="9"/>
  <c r="G214" i="3" s="1"/>
  <c r="H214" i="9"/>
  <c r="C215" i="9"/>
  <c r="D215" i="9"/>
  <c r="E215" i="9" s="1"/>
  <c r="E215" i="3" s="1"/>
  <c r="F215" i="9"/>
  <c r="F215" i="3" s="1"/>
  <c r="G215" i="9"/>
  <c r="G215" i="3" s="1"/>
  <c r="H215" i="9"/>
  <c r="C216" i="9"/>
  <c r="D216" i="9"/>
  <c r="D216" i="3" s="1"/>
  <c r="F216" i="9"/>
  <c r="G216" i="9"/>
  <c r="H216" i="9"/>
  <c r="C217" i="9"/>
  <c r="D217" i="9"/>
  <c r="D217" i="3" s="1"/>
  <c r="F217" i="9"/>
  <c r="F217" i="3" s="1"/>
  <c r="G217" i="9"/>
  <c r="G217" i="3" s="1"/>
  <c r="H217" i="9"/>
  <c r="C218" i="9"/>
  <c r="D218" i="9"/>
  <c r="E218" i="9" s="1"/>
  <c r="E218" i="3" s="1"/>
  <c r="F218" i="9"/>
  <c r="F218" i="3" s="1"/>
  <c r="G218" i="9"/>
  <c r="G218" i="3" s="1"/>
  <c r="H218" i="9"/>
  <c r="C219" i="9"/>
  <c r="D219" i="9"/>
  <c r="E219" i="9" s="1"/>
  <c r="E219" i="3" s="1"/>
  <c r="F219" i="9"/>
  <c r="F219" i="3" s="1"/>
  <c r="G219" i="9"/>
  <c r="G219" i="3" s="1"/>
  <c r="H219" i="9"/>
  <c r="C220" i="9"/>
  <c r="D220" i="9"/>
  <c r="D220" i="3" s="1"/>
  <c r="F220" i="9"/>
  <c r="F220" i="3" s="1"/>
  <c r="G220" i="9"/>
  <c r="G220" i="3" s="1"/>
  <c r="H220" i="9"/>
  <c r="C221" i="9"/>
  <c r="D221" i="9"/>
  <c r="D221" i="3" s="1"/>
  <c r="F221" i="9"/>
  <c r="F221" i="3" s="1"/>
  <c r="G221" i="9"/>
  <c r="G221" i="3" s="1"/>
  <c r="H221" i="9"/>
  <c r="C222" i="9"/>
  <c r="D222" i="9"/>
  <c r="D222" i="3" s="1"/>
  <c r="E222" i="9"/>
  <c r="E222" i="3" s="1"/>
  <c r="F222" i="9"/>
  <c r="F222" i="3" s="1"/>
  <c r="G222" i="9"/>
  <c r="G222" i="3" s="1"/>
  <c r="H222" i="9"/>
  <c r="C223" i="9"/>
  <c r="D223" i="9"/>
  <c r="D223" i="3" s="1"/>
  <c r="F223" i="9"/>
  <c r="F223" i="3" s="1"/>
  <c r="G223" i="9"/>
  <c r="G223" i="3" s="1"/>
  <c r="H223" i="9"/>
  <c r="C224" i="9"/>
  <c r="D224" i="9"/>
  <c r="D224" i="3" s="1"/>
  <c r="F224" i="9"/>
  <c r="F224" i="3" s="1"/>
  <c r="G224" i="9"/>
  <c r="G224" i="3" s="1"/>
  <c r="H224" i="9"/>
  <c r="C225" i="9"/>
  <c r="D225" i="9"/>
  <c r="E225" i="9"/>
  <c r="E225" i="3" s="1"/>
  <c r="F225" i="9"/>
  <c r="F225" i="3" s="1"/>
  <c r="G225" i="9"/>
  <c r="G225" i="3" s="1"/>
  <c r="H225" i="9"/>
  <c r="C226" i="9"/>
  <c r="D226" i="9"/>
  <c r="D226" i="3" s="1"/>
  <c r="F226" i="9"/>
  <c r="F226" i="3" s="1"/>
  <c r="G226" i="9"/>
  <c r="G226" i="3" s="1"/>
  <c r="H226" i="9"/>
  <c r="C227" i="9"/>
  <c r="D227" i="9"/>
  <c r="E227" i="9" s="1"/>
  <c r="E227" i="3" s="1"/>
  <c r="F227" i="9"/>
  <c r="F227" i="3" s="1"/>
  <c r="G227" i="9"/>
  <c r="G227" i="3" s="1"/>
  <c r="H227" i="9"/>
  <c r="C228" i="9"/>
  <c r="C228" i="3" s="1"/>
  <c r="D228" i="9"/>
  <c r="D228" i="3" s="1"/>
  <c r="F228" i="9"/>
  <c r="F228" i="3" s="1"/>
  <c r="G228" i="9"/>
  <c r="G228" i="3" s="1"/>
  <c r="K228" i="3" s="1"/>
  <c r="H228" i="9"/>
  <c r="C229" i="9"/>
  <c r="D229" i="9"/>
  <c r="D229" i="3" s="1"/>
  <c r="F229" i="9"/>
  <c r="F229" i="3" s="1"/>
  <c r="G229" i="9"/>
  <c r="G229" i="3" s="1"/>
  <c r="H229" i="9"/>
  <c r="H229" i="3" s="1"/>
  <c r="C230" i="9"/>
  <c r="C230" i="3" s="1"/>
  <c r="D230" i="9"/>
  <c r="F230" i="9"/>
  <c r="F230" i="3" s="1"/>
  <c r="G230" i="9"/>
  <c r="G230" i="3" s="1"/>
  <c r="H230" i="9"/>
  <c r="H230" i="3" s="1"/>
  <c r="C231" i="9"/>
  <c r="C231" i="3" s="1"/>
  <c r="D231" i="9"/>
  <c r="F231" i="9"/>
  <c r="F231" i="3" s="1"/>
  <c r="G231" i="9"/>
  <c r="G231" i="3" s="1"/>
  <c r="H231" i="9"/>
  <c r="H231" i="3" s="1"/>
  <c r="C232" i="9"/>
  <c r="C232" i="3" s="1"/>
  <c r="D232" i="9"/>
  <c r="D232" i="3" s="1"/>
  <c r="F232" i="9"/>
  <c r="F232" i="3" s="1"/>
  <c r="G232" i="9"/>
  <c r="G232" i="3" s="1"/>
  <c r="H232" i="9"/>
  <c r="H232" i="3" s="1"/>
  <c r="C233" i="9"/>
  <c r="C233" i="3" s="1"/>
  <c r="D233" i="9"/>
  <c r="D233" i="3" s="1"/>
  <c r="F233" i="9"/>
  <c r="F233" i="3" s="1"/>
  <c r="G233" i="9"/>
  <c r="G233" i="3" s="1"/>
  <c r="H233" i="9"/>
  <c r="H233" i="3" s="1"/>
  <c r="C234" i="9"/>
  <c r="C234" i="3" s="1"/>
  <c r="D234" i="9"/>
  <c r="D234" i="3" s="1"/>
  <c r="F234" i="9"/>
  <c r="F234" i="3" s="1"/>
  <c r="G234" i="9"/>
  <c r="G234" i="3" s="1"/>
  <c r="H234" i="9"/>
  <c r="H234" i="3" s="1"/>
  <c r="C235" i="9"/>
  <c r="C235" i="3" s="1"/>
  <c r="D235" i="9"/>
  <c r="F235" i="9"/>
  <c r="F235" i="3" s="1"/>
  <c r="G235" i="9"/>
  <c r="G235" i="3" s="1"/>
  <c r="H235" i="9"/>
  <c r="H235" i="3" s="1"/>
  <c r="C236" i="9"/>
  <c r="C236" i="3" s="1"/>
  <c r="D236" i="9"/>
  <c r="D236" i="3" s="1"/>
  <c r="F236" i="9"/>
  <c r="F236" i="3" s="1"/>
  <c r="G236" i="9"/>
  <c r="G236" i="3" s="1"/>
  <c r="H236" i="9"/>
  <c r="H236" i="3" s="1"/>
  <c r="C237" i="9"/>
  <c r="C237" i="3" s="1"/>
  <c r="D237" i="9"/>
  <c r="D237" i="3" s="1"/>
  <c r="F237" i="9"/>
  <c r="F237" i="3" s="1"/>
  <c r="G237" i="9"/>
  <c r="G237" i="3" s="1"/>
  <c r="H237" i="9"/>
  <c r="H237" i="3" s="1"/>
  <c r="C238" i="9"/>
  <c r="C238" i="3" s="1"/>
  <c r="D238" i="9"/>
  <c r="D238" i="3" s="1"/>
  <c r="F238" i="9"/>
  <c r="F238" i="3" s="1"/>
  <c r="G238" i="9"/>
  <c r="G238" i="3" s="1"/>
  <c r="H238" i="9"/>
  <c r="H238" i="3" s="1"/>
  <c r="C239" i="9"/>
  <c r="C239" i="3" s="1"/>
  <c r="D239" i="9"/>
  <c r="F239" i="9"/>
  <c r="F239" i="3" s="1"/>
  <c r="G239" i="9"/>
  <c r="G239" i="3" s="1"/>
  <c r="H239" i="9"/>
  <c r="H239" i="3" s="1"/>
  <c r="C240" i="9"/>
  <c r="C240" i="3" s="1"/>
  <c r="D240" i="9"/>
  <c r="D240" i="3" s="1"/>
  <c r="F240" i="9"/>
  <c r="F240" i="3" s="1"/>
  <c r="G240" i="9"/>
  <c r="G240" i="3" s="1"/>
  <c r="H240" i="9"/>
  <c r="H240" i="3" s="1"/>
  <c r="C241" i="9"/>
  <c r="C241" i="3" s="1"/>
  <c r="D241" i="9"/>
  <c r="D241" i="3" s="1"/>
  <c r="F241" i="9"/>
  <c r="F241" i="3" s="1"/>
  <c r="G241" i="9"/>
  <c r="G241" i="3" s="1"/>
  <c r="H241" i="9"/>
  <c r="H241" i="3" s="1"/>
  <c r="C242" i="9"/>
  <c r="C242" i="3" s="1"/>
  <c r="D242" i="9"/>
  <c r="D242" i="3" s="1"/>
  <c r="E242" i="9"/>
  <c r="E242" i="3" s="1"/>
  <c r="F242" i="9"/>
  <c r="F242" i="3" s="1"/>
  <c r="G242" i="9"/>
  <c r="G242" i="3" s="1"/>
  <c r="H242" i="9"/>
  <c r="H242" i="3" s="1"/>
  <c r="C243" i="9"/>
  <c r="C243" i="3" s="1"/>
  <c r="D243" i="9"/>
  <c r="D243" i="3" s="1"/>
  <c r="F243" i="9"/>
  <c r="F243" i="3" s="1"/>
  <c r="G243" i="9"/>
  <c r="G243" i="3" s="1"/>
  <c r="H243" i="9"/>
  <c r="H243" i="3" s="1"/>
  <c r="C244" i="9"/>
  <c r="C244" i="3" s="1"/>
  <c r="D244" i="9"/>
  <c r="D244" i="3" s="1"/>
  <c r="F244" i="9"/>
  <c r="F244" i="3" s="1"/>
  <c r="G244" i="9"/>
  <c r="G244" i="3" s="1"/>
  <c r="H244" i="9"/>
  <c r="H244" i="3" s="1"/>
  <c r="C245" i="9"/>
  <c r="C245" i="3" s="1"/>
  <c r="D245" i="9"/>
  <c r="D245" i="3" s="1"/>
  <c r="E245" i="9"/>
  <c r="E245" i="3" s="1"/>
  <c r="F245" i="9"/>
  <c r="F245" i="3" s="1"/>
  <c r="G245" i="9"/>
  <c r="G245" i="3" s="1"/>
  <c r="H245" i="9"/>
  <c r="C246" i="9"/>
  <c r="C246" i="3" s="1"/>
  <c r="D246" i="9"/>
  <c r="D246" i="3" s="1"/>
  <c r="F246" i="9"/>
  <c r="F246" i="3" s="1"/>
  <c r="G246" i="9"/>
  <c r="G246" i="3" s="1"/>
  <c r="H246" i="9"/>
  <c r="H246" i="3" s="1"/>
  <c r="C247" i="9"/>
  <c r="C247" i="3" s="1"/>
  <c r="D247" i="9"/>
  <c r="F247" i="9"/>
  <c r="F247" i="3" s="1"/>
  <c r="G247" i="9"/>
  <c r="G247" i="3" s="1"/>
  <c r="H247" i="9"/>
  <c r="H247" i="3" s="1"/>
  <c r="C248" i="9"/>
  <c r="C248" i="3" s="1"/>
  <c r="D248" i="9"/>
  <c r="D248" i="3" s="1"/>
  <c r="F248" i="9"/>
  <c r="F248" i="3" s="1"/>
  <c r="G248" i="9"/>
  <c r="G248" i="3" s="1"/>
  <c r="H248" i="9"/>
  <c r="H248" i="3" s="1"/>
  <c r="C249" i="9"/>
  <c r="C249" i="3" s="1"/>
  <c r="D249" i="9"/>
  <c r="D249" i="3" s="1"/>
  <c r="F249" i="9"/>
  <c r="F249" i="3" s="1"/>
  <c r="G249" i="9"/>
  <c r="G249" i="3" s="1"/>
  <c r="H249" i="9"/>
  <c r="C250" i="9"/>
  <c r="C250" i="3" s="1"/>
  <c r="D250" i="9"/>
  <c r="F250" i="9"/>
  <c r="F250" i="3" s="1"/>
  <c r="G250" i="9"/>
  <c r="G250" i="3" s="1"/>
  <c r="H250" i="9"/>
  <c r="H250" i="3" s="1"/>
  <c r="C251" i="9"/>
  <c r="C251" i="3" s="1"/>
  <c r="D251" i="9"/>
  <c r="F251" i="9"/>
  <c r="F251" i="3" s="1"/>
  <c r="G251" i="9"/>
  <c r="G251" i="3" s="1"/>
  <c r="H251" i="9"/>
  <c r="H251" i="3" s="1"/>
  <c r="C252" i="9"/>
  <c r="C252" i="3" s="1"/>
  <c r="D252" i="9"/>
  <c r="D252" i="3" s="1"/>
  <c r="F252" i="9"/>
  <c r="F252" i="3" s="1"/>
  <c r="G252" i="9"/>
  <c r="G252" i="3" s="1"/>
  <c r="H252" i="9"/>
  <c r="H252" i="3" s="1"/>
  <c r="C253" i="9"/>
  <c r="C253" i="3" s="1"/>
  <c r="D253" i="9"/>
  <c r="D253" i="3" s="1"/>
  <c r="F253" i="9"/>
  <c r="F253" i="3" s="1"/>
  <c r="G253" i="9"/>
  <c r="G253" i="3" s="1"/>
  <c r="H253" i="9"/>
  <c r="C254" i="9"/>
  <c r="C254" i="3" s="1"/>
  <c r="D254" i="9"/>
  <c r="F254" i="9"/>
  <c r="F254" i="3" s="1"/>
  <c r="G254" i="9"/>
  <c r="G254" i="3" s="1"/>
  <c r="H254" i="9"/>
  <c r="H254" i="3" s="1"/>
  <c r="C255" i="9"/>
  <c r="C255" i="3" s="1"/>
  <c r="D255" i="9"/>
  <c r="D255" i="3" s="1"/>
  <c r="F255" i="9"/>
  <c r="F255" i="3" s="1"/>
  <c r="G255" i="9"/>
  <c r="G255" i="3" s="1"/>
  <c r="H255" i="9"/>
  <c r="H255" i="3" s="1"/>
  <c r="C256" i="9"/>
  <c r="C256" i="3" s="1"/>
  <c r="D256" i="9"/>
  <c r="D256" i="3" s="1"/>
  <c r="F256" i="9"/>
  <c r="F256" i="3" s="1"/>
  <c r="G256" i="9"/>
  <c r="G256" i="3" s="1"/>
  <c r="H256" i="9"/>
  <c r="H256" i="3" s="1"/>
  <c r="C257" i="9"/>
  <c r="C257" i="3" s="1"/>
  <c r="D257" i="9"/>
  <c r="D257" i="3" s="1"/>
  <c r="F257" i="9"/>
  <c r="F257" i="3" s="1"/>
  <c r="G257" i="9"/>
  <c r="G257" i="3" s="1"/>
  <c r="H257" i="9"/>
  <c r="C258" i="9"/>
  <c r="C258" i="3" s="1"/>
  <c r="D258" i="9"/>
  <c r="D258" i="3" s="1"/>
  <c r="F258" i="9"/>
  <c r="F258" i="3" s="1"/>
  <c r="G258" i="9"/>
  <c r="G258" i="3" s="1"/>
  <c r="H258" i="9"/>
  <c r="H258" i="3" s="1"/>
  <c r="C259" i="9"/>
  <c r="C259" i="3" s="1"/>
  <c r="D259" i="9"/>
  <c r="F259" i="9"/>
  <c r="F259" i="3" s="1"/>
  <c r="G259" i="9"/>
  <c r="G259" i="3" s="1"/>
  <c r="H259" i="9"/>
  <c r="H259" i="3" s="1"/>
  <c r="C260" i="9"/>
  <c r="C260" i="3" s="1"/>
  <c r="D260" i="9"/>
  <c r="D260" i="3" s="1"/>
  <c r="F260" i="9"/>
  <c r="F260" i="3" s="1"/>
  <c r="G260" i="9"/>
  <c r="G260" i="3" s="1"/>
  <c r="H260" i="9"/>
  <c r="H260" i="3" s="1"/>
  <c r="C261" i="9"/>
  <c r="C261" i="3" s="1"/>
  <c r="D261" i="9"/>
  <c r="D261" i="3" s="1"/>
  <c r="F261" i="9"/>
  <c r="F261" i="3" s="1"/>
  <c r="G261" i="9"/>
  <c r="G261" i="3" s="1"/>
  <c r="H261" i="9"/>
  <c r="C262" i="9"/>
  <c r="C262" i="3" s="1"/>
  <c r="D262" i="9"/>
  <c r="F262" i="9"/>
  <c r="F262" i="3" s="1"/>
  <c r="G262" i="9"/>
  <c r="G262" i="3" s="1"/>
  <c r="H262" i="9"/>
  <c r="H262" i="3" s="1"/>
  <c r="C263" i="9"/>
  <c r="C263" i="3" s="1"/>
  <c r="D263" i="9"/>
  <c r="F263" i="9"/>
  <c r="F263" i="3" s="1"/>
  <c r="G263" i="9"/>
  <c r="G263" i="3" s="1"/>
  <c r="H263" i="9"/>
  <c r="H263" i="3" s="1"/>
  <c r="C264" i="9"/>
  <c r="C264" i="3" s="1"/>
  <c r="D264" i="9"/>
  <c r="D264" i="3" s="1"/>
  <c r="F264" i="9"/>
  <c r="F264" i="3" s="1"/>
  <c r="G264" i="9"/>
  <c r="G264" i="3" s="1"/>
  <c r="H264" i="9"/>
  <c r="H264" i="3" s="1"/>
  <c r="C265" i="9"/>
  <c r="C265" i="3" s="1"/>
  <c r="D265" i="9"/>
  <c r="D265" i="3" s="1"/>
  <c r="F265" i="9"/>
  <c r="F265" i="3" s="1"/>
  <c r="G265" i="9"/>
  <c r="G265" i="3" s="1"/>
  <c r="H265" i="9"/>
  <c r="C266" i="9"/>
  <c r="C266" i="3" s="1"/>
  <c r="D266" i="9"/>
  <c r="D266" i="3" s="1"/>
  <c r="F266" i="9"/>
  <c r="F266" i="3" s="1"/>
  <c r="G266" i="9"/>
  <c r="G266" i="3" s="1"/>
  <c r="H266" i="9"/>
  <c r="H266" i="3" s="1"/>
  <c r="C267" i="9"/>
  <c r="C267" i="3" s="1"/>
  <c r="D267" i="9"/>
  <c r="F267" i="9"/>
  <c r="F267" i="3" s="1"/>
  <c r="G267" i="9"/>
  <c r="G267" i="3" s="1"/>
  <c r="H267" i="9"/>
  <c r="H267" i="3" s="1"/>
  <c r="C268" i="9"/>
  <c r="C268" i="3" s="1"/>
  <c r="D268" i="9"/>
  <c r="D268" i="3" s="1"/>
  <c r="F268" i="9"/>
  <c r="F268" i="3" s="1"/>
  <c r="G268" i="9"/>
  <c r="G268" i="3" s="1"/>
  <c r="H268" i="9"/>
  <c r="H268" i="3" s="1"/>
  <c r="C269" i="9"/>
  <c r="C269" i="3" s="1"/>
  <c r="D269" i="9"/>
  <c r="D269" i="3" s="1"/>
  <c r="F269" i="9"/>
  <c r="F269" i="3" s="1"/>
  <c r="G269" i="9"/>
  <c r="G269" i="3" s="1"/>
  <c r="H269" i="9"/>
  <c r="H269" i="3" s="1"/>
  <c r="C270" i="9"/>
  <c r="C270" i="3" s="1"/>
  <c r="D270" i="9"/>
  <c r="D270" i="3" s="1"/>
  <c r="E270" i="9"/>
  <c r="E270" i="3" s="1"/>
  <c r="F270" i="9"/>
  <c r="F270" i="3" s="1"/>
  <c r="G270" i="9"/>
  <c r="G270" i="3" s="1"/>
  <c r="H270" i="9"/>
  <c r="H270" i="3" s="1"/>
  <c r="C271" i="9"/>
  <c r="C271" i="3" s="1"/>
  <c r="D271" i="9"/>
  <c r="F271" i="9"/>
  <c r="F271" i="3" s="1"/>
  <c r="G271" i="9"/>
  <c r="G271" i="3" s="1"/>
  <c r="H271" i="9"/>
  <c r="H271" i="3" s="1"/>
  <c r="C272" i="9"/>
  <c r="C272" i="3" s="1"/>
  <c r="D272" i="9"/>
  <c r="D272" i="3" s="1"/>
  <c r="F272" i="9"/>
  <c r="F272" i="3" s="1"/>
  <c r="G272" i="9"/>
  <c r="G272" i="3" s="1"/>
  <c r="H272" i="9"/>
  <c r="H272" i="3" s="1"/>
  <c r="C273" i="9"/>
  <c r="C273" i="3" s="1"/>
  <c r="D273" i="9"/>
  <c r="D273" i="3" s="1"/>
  <c r="E273" i="9"/>
  <c r="E273" i="3" s="1"/>
  <c r="F273" i="9"/>
  <c r="F273" i="3" s="1"/>
  <c r="G273" i="9"/>
  <c r="G273" i="3" s="1"/>
  <c r="H273" i="9"/>
  <c r="H273" i="3" s="1"/>
  <c r="C274" i="9"/>
  <c r="C274" i="3" s="1"/>
  <c r="D274" i="9"/>
  <c r="F274" i="9"/>
  <c r="F274" i="3" s="1"/>
  <c r="G274" i="9"/>
  <c r="G274" i="3" s="1"/>
  <c r="H274" i="9"/>
  <c r="H274" i="3" s="1"/>
  <c r="C275" i="9"/>
  <c r="C275" i="3" s="1"/>
  <c r="D275" i="9"/>
  <c r="D275" i="3" s="1"/>
  <c r="F275" i="9"/>
  <c r="F275" i="3" s="1"/>
  <c r="G275" i="9"/>
  <c r="G275" i="3" s="1"/>
  <c r="H275" i="9"/>
  <c r="H275" i="3" s="1"/>
  <c r="C276" i="9"/>
  <c r="C276" i="3" s="1"/>
  <c r="D276" i="9"/>
  <c r="D276" i="3" s="1"/>
  <c r="F276" i="9"/>
  <c r="F276" i="3" s="1"/>
  <c r="G276" i="9"/>
  <c r="G276" i="3" s="1"/>
  <c r="H276" i="9"/>
  <c r="H276" i="3" s="1"/>
  <c r="C277" i="9"/>
  <c r="C277" i="3" s="1"/>
  <c r="D277" i="9"/>
  <c r="D277" i="3" s="1"/>
  <c r="F277" i="9"/>
  <c r="F277" i="3" s="1"/>
  <c r="G277" i="9"/>
  <c r="G277" i="3" s="1"/>
  <c r="H277" i="9"/>
  <c r="H277" i="3" s="1"/>
  <c r="C278" i="9"/>
  <c r="C278" i="3" s="1"/>
  <c r="D278" i="9"/>
  <c r="D278" i="3" s="1"/>
  <c r="F278" i="9"/>
  <c r="F278" i="3" s="1"/>
  <c r="G278" i="9"/>
  <c r="G278" i="3" s="1"/>
  <c r="H278" i="9"/>
  <c r="H278" i="3" s="1"/>
  <c r="C279" i="9"/>
  <c r="C279" i="3" s="1"/>
  <c r="D279" i="9"/>
  <c r="D279" i="3" s="1"/>
  <c r="F279" i="9"/>
  <c r="F279" i="3" s="1"/>
  <c r="G279" i="9"/>
  <c r="G279" i="3" s="1"/>
  <c r="H279" i="9"/>
  <c r="H279" i="3" s="1"/>
  <c r="C280" i="9"/>
  <c r="C280" i="3" s="1"/>
  <c r="D280" i="9"/>
  <c r="D280" i="3" s="1"/>
  <c r="F280" i="9"/>
  <c r="F280" i="3" s="1"/>
  <c r="G280" i="9"/>
  <c r="G280" i="3" s="1"/>
  <c r="H280" i="9"/>
  <c r="H280" i="3" s="1"/>
  <c r="C281" i="9"/>
  <c r="C281" i="3" s="1"/>
  <c r="D281" i="9"/>
  <c r="D281" i="3" s="1"/>
  <c r="F281" i="9"/>
  <c r="F281" i="3" s="1"/>
  <c r="G281" i="9"/>
  <c r="G281" i="3" s="1"/>
  <c r="H281" i="9"/>
  <c r="H281" i="3" s="1"/>
  <c r="C282" i="9"/>
  <c r="C282" i="3" s="1"/>
  <c r="D282" i="9"/>
  <c r="F282" i="9"/>
  <c r="F282" i="3" s="1"/>
  <c r="G282" i="9"/>
  <c r="G282" i="3" s="1"/>
  <c r="H282" i="9"/>
  <c r="H282" i="3" s="1"/>
  <c r="C283" i="9"/>
  <c r="C283" i="3" s="1"/>
  <c r="D283" i="9"/>
  <c r="F283" i="9"/>
  <c r="F283" i="3" s="1"/>
  <c r="G283" i="9"/>
  <c r="G283" i="3" s="1"/>
  <c r="H283" i="9"/>
  <c r="H283" i="3" s="1"/>
  <c r="C284" i="9"/>
  <c r="C284" i="3" s="1"/>
  <c r="D284" i="9"/>
  <c r="D284" i="3" s="1"/>
  <c r="F284" i="9"/>
  <c r="F284" i="3" s="1"/>
  <c r="G284" i="9"/>
  <c r="G284" i="3" s="1"/>
  <c r="H284" i="9"/>
  <c r="H284" i="3" s="1"/>
  <c r="C285" i="9"/>
  <c r="C285" i="3" s="1"/>
  <c r="D285" i="9"/>
  <c r="D285" i="3" s="1"/>
  <c r="F285" i="9"/>
  <c r="F285" i="3" s="1"/>
  <c r="G285" i="9"/>
  <c r="G285" i="3" s="1"/>
  <c r="H285" i="9"/>
  <c r="H285" i="3" s="1"/>
  <c r="C286" i="9"/>
  <c r="C286" i="3" s="1"/>
  <c r="D286" i="9"/>
  <c r="F286" i="9"/>
  <c r="F286" i="3" s="1"/>
  <c r="G286" i="9"/>
  <c r="G286" i="3" s="1"/>
  <c r="H286" i="9"/>
  <c r="H286" i="3" s="1"/>
  <c r="C287" i="9"/>
  <c r="C287" i="3" s="1"/>
  <c r="D287" i="9"/>
  <c r="D287" i="3" s="1"/>
  <c r="F287" i="9"/>
  <c r="F287" i="3" s="1"/>
  <c r="G287" i="9"/>
  <c r="G287" i="3" s="1"/>
  <c r="H287" i="9"/>
  <c r="H287" i="3" s="1"/>
  <c r="C288" i="9"/>
  <c r="C288" i="3" s="1"/>
  <c r="D288" i="9"/>
  <c r="D288" i="3" s="1"/>
  <c r="F288" i="9"/>
  <c r="F288" i="3" s="1"/>
  <c r="G288" i="9"/>
  <c r="G288" i="3" s="1"/>
  <c r="H288" i="9"/>
  <c r="H288" i="3" s="1"/>
  <c r="C289" i="9"/>
  <c r="C289" i="3" s="1"/>
  <c r="D289" i="9"/>
  <c r="F289" i="9"/>
  <c r="F289" i="3" s="1"/>
  <c r="G289" i="9"/>
  <c r="G289" i="3" s="1"/>
  <c r="H289" i="9"/>
  <c r="H289" i="3" s="1"/>
  <c r="C290" i="9"/>
  <c r="C290" i="3" s="1"/>
  <c r="D290" i="9"/>
  <c r="D290" i="3" s="1"/>
  <c r="F290" i="9"/>
  <c r="F290" i="3" s="1"/>
  <c r="G290" i="9"/>
  <c r="G290" i="3" s="1"/>
  <c r="H290" i="9"/>
  <c r="H290" i="3" s="1"/>
  <c r="C291" i="9"/>
  <c r="C291" i="3" s="1"/>
  <c r="D291" i="9"/>
  <c r="F291" i="9"/>
  <c r="F291" i="3" s="1"/>
  <c r="G291" i="9"/>
  <c r="G291" i="3" s="1"/>
  <c r="H291" i="9"/>
  <c r="H291" i="3" s="1"/>
  <c r="C292" i="9"/>
  <c r="C292" i="3" s="1"/>
  <c r="D292" i="9"/>
  <c r="D292" i="3" s="1"/>
  <c r="F292" i="9"/>
  <c r="F292" i="3" s="1"/>
  <c r="G292" i="9"/>
  <c r="G292" i="3" s="1"/>
  <c r="H292" i="9"/>
  <c r="H292" i="3" s="1"/>
  <c r="C293" i="9"/>
  <c r="C293" i="3" s="1"/>
  <c r="D293" i="9"/>
  <c r="D293" i="3" s="1"/>
  <c r="F293" i="9"/>
  <c r="F293" i="3" s="1"/>
  <c r="G293" i="9"/>
  <c r="G293" i="3" s="1"/>
  <c r="H293" i="9"/>
  <c r="H293" i="3" s="1"/>
  <c r="C294" i="9"/>
  <c r="C294" i="3" s="1"/>
  <c r="D294" i="9"/>
  <c r="F294" i="9"/>
  <c r="F294" i="3" s="1"/>
  <c r="G294" i="9"/>
  <c r="G294" i="3" s="1"/>
  <c r="H294" i="9"/>
  <c r="H294" i="3" s="1"/>
  <c r="C295" i="9"/>
  <c r="C295" i="3" s="1"/>
  <c r="D295" i="9"/>
  <c r="F295" i="9"/>
  <c r="F295" i="3" s="1"/>
  <c r="G295" i="9"/>
  <c r="G295" i="3" s="1"/>
  <c r="H295" i="9"/>
  <c r="H295" i="3" s="1"/>
  <c r="C296" i="9"/>
  <c r="C296" i="3" s="1"/>
  <c r="D296" i="9"/>
  <c r="D296" i="3" s="1"/>
  <c r="F296" i="9"/>
  <c r="F296" i="3" s="1"/>
  <c r="G296" i="9"/>
  <c r="G296" i="3" s="1"/>
  <c r="H296" i="9"/>
  <c r="H296" i="3" s="1"/>
  <c r="C297" i="9"/>
  <c r="C297" i="3" s="1"/>
  <c r="D297" i="9"/>
  <c r="D297" i="3" s="1"/>
  <c r="F297" i="9"/>
  <c r="F297" i="3" s="1"/>
  <c r="G297" i="9"/>
  <c r="G297" i="3" s="1"/>
  <c r="H297" i="9"/>
  <c r="H297" i="3" s="1"/>
  <c r="C298" i="9"/>
  <c r="C298" i="3" s="1"/>
  <c r="D298" i="9"/>
  <c r="D298" i="3" s="1"/>
  <c r="F298" i="9"/>
  <c r="F298" i="3" s="1"/>
  <c r="G298" i="9"/>
  <c r="G298" i="3" s="1"/>
  <c r="H298" i="9"/>
  <c r="H298" i="3" s="1"/>
  <c r="C299" i="9"/>
  <c r="C299" i="3" s="1"/>
  <c r="D299" i="9"/>
  <c r="F299" i="9"/>
  <c r="F299" i="3" s="1"/>
  <c r="G299" i="9"/>
  <c r="G299" i="3" s="1"/>
  <c r="H299" i="9"/>
  <c r="H299" i="3" s="1"/>
  <c r="C300" i="9"/>
  <c r="C300" i="3" s="1"/>
  <c r="D300" i="9"/>
  <c r="D300" i="3" s="1"/>
  <c r="F300" i="9"/>
  <c r="F300" i="3" s="1"/>
  <c r="G300" i="9"/>
  <c r="G300" i="3" s="1"/>
  <c r="H300" i="9"/>
  <c r="H300" i="3" s="1"/>
  <c r="C301" i="9"/>
  <c r="C301" i="3" s="1"/>
  <c r="D301" i="9"/>
  <c r="D301" i="3" s="1"/>
  <c r="F301" i="9"/>
  <c r="F301" i="3" s="1"/>
  <c r="G301" i="9"/>
  <c r="G301" i="3" s="1"/>
  <c r="H301" i="9"/>
  <c r="H301" i="3" s="1"/>
  <c r="C302" i="9"/>
  <c r="C302" i="3" s="1"/>
  <c r="D302" i="9"/>
  <c r="F302" i="9"/>
  <c r="F302" i="3" s="1"/>
  <c r="G302" i="9"/>
  <c r="G302" i="3" s="1"/>
  <c r="H302" i="9"/>
  <c r="H302" i="3" s="1"/>
  <c r="C303" i="9"/>
  <c r="C303" i="3" s="1"/>
  <c r="D303" i="9"/>
  <c r="F303" i="9"/>
  <c r="F303" i="3" s="1"/>
  <c r="G303" i="9"/>
  <c r="G303" i="3" s="1"/>
  <c r="H303" i="9"/>
  <c r="H303" i="3" s="1"/>
  <c r="C304" i="9"/>
  <c r="C304" i="3" s="1"/>
  <c r="D304" i="9"/>
  <c r="D304" i="3" s="1"/>
  <c r="F304" i="9"/>
  <c r="F304" i="3" s="1"/>
  <c r="G304" i="9"/>
  <c r="G304" i="3" s="1"/>
  <c r="H304" i="9"/>
  <c r="H304" i="3" s="1"/>
  <c r="C305" i="9"/>
  <c r="C305" i="3" s="1"/>
  <c r="D305" i="9"/>
  <c r="D305" i="3" s="1"/>
  <c r="F305" i="9"/>
  <c r="F305" i="3" s="1"/>
  <c r="G305" i="9"/>
  <c r="G305" i="3" s="1"/>
  <c r="H305" i="9"/>
  <c r="H305" i="3" s="1"/>
  <c r="C306" i="9"/>
  <c r="C306" i="3" s="1"/>
  <c r="D306" i="9"/>
  <c r="F306" i="9"/>
  <c r="F306" i="3" s="1"/>
  <c r="G306" i="9"/>
  <c r="G306" i="3" s="1"/>
  <c r="H306" i="9"/>
  <c r="H306" i="3" s="1"/>
  <c r="C307" i="9"/>
  <c r="C307" i="3" s="1"/>
  <c r="D307" i="9"/>
  <c r="D307" i="3" s="1"/>
  <c r="F307" i="9"/>
  <c r="F307" i="3" s="1"/>
  <c r="G307" i="9"/>
  <c r="G307" i="3" s="1"/>
  <c r="H307" i="9"/>
  <c r="H307" i="3" s="1"/>
  <c r="C308" i="9"/>
  <c r="D308" i="9"/>
  <c r="D308" i="3" s="1"/>
  <c r="F308" i="9"/>
  <c r="F308" i="3" s="1"/>
  <c r="G308" i="9"/>
  <c r="H308" i="9"/>
  <c r="H308" i="3" s="1"/>
  <c r="C309" i="9"/>
  <c r="D309" i="9"/>
  <c r="D309" i="3" s="1"/>
  <c r="F309" i="9"/>
  <c r="F309" i="3" s="1"/>
  <c r="G309" i="9"/>
  <c r="H309" i="9"/>
  <c r="H309" i="3" s="1"/>
  <c r="C310" i="9"/>
  <c r="D310" i="9"/>
  <c r="D310" i="3" s="1"/>
  <c r="F310" i="9"/>
  <c r="F310" i="3" s="1"/>
  <c r="G310" i="9"/>
  <c r="H310" i="9"/>
  <c r="H310" i="3" s="1"/>
  <c r="C311" i="9"/>
  <c r="D311" i="9"/>
  <c r="E311" i="9" s="1"/>
  <c r="E311" i="3" s="1"/>
  <c r="F311" i="9"/>
  <c r="F311" i="3" s="1"/>
  <c r="G311" i="9"/>
  <c r="H311" i="9"/>
  <c r="H311" i="3" s="1"/>
  <c r="C312" i="9"/>
  <c r="D312" i="9"/>
  <c r="D312" i="3" s="1"/>
  <c r="F312" i="9"/>
  <c r="F312" i="3" s="1"/>
  <c r="G312" i="9"/>
  <c r="H312" i="9"/>
  <c r="H312" i="3" s="1"/>
  <c r="C313" i="9"/>
  <c r="D313" i="9"/>
  <c r="D313" i="3" s="1"/>
  <c r="F313" i="9"/>
  <c r="F313" i="3" s="1"/>
  <c r="G313" i="9"/>
  <c r="H313" i="9"/>
  <c r="H313" i="3" s="1"/>
  <c r="C314" i="9"/>
  <c r="D314" i="9"/>
  <c r="E314" i="9" s="1"/>
  <c r="E314" i="3" s="1"/>
  <c r="F314" i="9"/>
  <c r="F314" i="3" s="1"/>
  <c r="G314" i="9"/>
  <c r="H314" i="9"/>
  <c r="H314" i="3" s="1"/>
  <c r="C315" i="9"/>
  <c r="D315" i="9"/>
  <c r="E315" i="9" s="1"/>
  <c r="E315" i="3" s="1"/>
  <c r="F315" i="9"/>
  <c r="F315" i="3" s="1"/>
  <c r="G315" i="9"/>
  <c r="H315" i="9"/>
  <c r="H315" i="3" s="1"/>
  <c r="C316" i="9"/>
  <c r="E316" i="9" s="1"/>
  <c r="D316" i="9"/>
  <c r="D316" i="3" s="1"/>
  <c r="F316" i="9"/>
  <c r="F316" i="3" s="1"/>
  <c r="G316" i="9"/>
  <c r="H316" i="9"/>
  <c r="H316" i="3" s="1"/>
  <c r="C317" i="9"/>
  <c r="D317" i="9"/>
  <c r="D317" i="3" s="1"/>
  <c r="F317" i="9"/>
  <c r="F317" i="3" s="1"/>
  <c r="G317" i="9"/>
  <c r="H317" i="9"/>
  <c r="H317" i="3" s="1"/>
  <c r="C318" i="9"/>
  <c r="D318" i="9"/>
  <c r="D318" i="3" s="1"/>
  <c r="E318" i="9"/>
  <c r="E318" i="3" s="1"/>
  <c r="F318" i="9"/>
  <c r="F318" i="3" s="1"/>
  <c r="G318" i="9"/>
  <c r="H318" i="9"/>
  <c r="H318" i="3" s="1"/>
  <c r="C319" i="9"/>
  <c r="D319" i="9"/>
  <c r="D319" i="3" s="1"/>
  <c r="F319" i="9"/>
  <c r="F319" i="3" s="1"/>
  <c r="G319" i="9"/>
  <c r="H319" i="9"/>
  <c r="H319" i="3" s="1"/>
  <c r="C320" i="9"/>
  <c r="D320" i="9"/>
  <c r="D320" i="3" s="1"/>
  <c r="F320" i="9"/>
  <c r="F320" i="3" s="1"/>
  <c r="G320" i="9"/>
  <c r="H320" i="9"/>
  <c r="H320" i="3" s="1"/>
  <c r="C321" i="9"/>
  <c r="D321" i="9"/>
  <c r="D321" i="3" s="1"/>
  <c r="E321" i="9"/>
  <c r="E321" i="3" s="1"/>
  <c r="F321" i="9"/>
  <c r="F321" i="3" s="1"/>
  <c r="G321" i="9"/>
  <c r="H321" i="9"/>
  <c r="H321" i="3" s="1"/>
  <c r="C322" i="9"/>
  <c r="E322" i="9" s="1"/>
  <c r="E322" i="3" s="1"/>
  <c r="D322" i="9"/>
  <c r="D322" i="3" s="1"/>
  <c r="F322" i="9"/>
  <c r="F322" i="3" s="1"/>
  <c r="G322" i="9"/>
  <c r="H322" i="9"/>
  <c r="H322" i="3" s="1"/>
  <c r="C323" i="9"/>
  <c r="D323" i="9"/>
  <c r="E323" i="9" s="1"/>
  <c r="E323" i="3" s="1"/>
  <c r="F323" i="9"/>
  <c r="F323" i="3" s="1"/>
  <c r="G323" i="9"/>
  <c r="H323" i="9"/>
  <c r="H323" i="3" s="1"/>
  <c r="C324" i="9"/>
  <c r="D324" i="9"/>
  <c r="D324" i="3" s="1"/>
  <c r="F324" i="9"/>
  <c r="F324" i="3" s="1"/>
  <c r="G324" i="9"/>
  <c r="H324" i="9"/>
  <c r="H324" i="3" s="1"/>
  <c r="C325" i="9"/>
  <c r="D325" i="9"/>
  <c r="D325" i="3" s="1"/>
  <c r="F325" i="9"/>
  <c r="F325" i="3" s="1"/>
  <c r="G325" i="9"/>
  <c r="H325" i="9"/>
  <c r="H325" i="3" s="1"/>
  <c r="C326" i="9"/>
  <c r="D326" i="9"/>
  <c r="E326" i="9" s="1"/>
  <c r="E326" i="3" s="1"/>
  <c r="F326" i="9"/>
  <c r="F326" i="3" s="1"/>
  <c r="G326" i="9"/>
  <c r="H326" i="9"/>
  <c r="H326" i="3" s="1"/>
  <c r="C327" i="9"/>
  <c r="D327" i="9"/>
  <c r="E327" i="9" s="1"/>
  <c r="E327" i="3" s="1"/>
  <c r="F327" i="9"/>
  <c r="F327" i="3" s="1"/>
  <c r="G327" i="9"/>
  <c r="H327" i="9"/>
  <c r="H327" i="3" s="1"/>
  <c r="C328" i="9"/>
  <c r="D328" i="9"/>
  <c r="D328" i="3" s="1"/>
  <c r="F328" i="9"/>
  <c r="F328" i="3" s="1"/>
  <c r="G328" i="9"/>
  <c r="H328" i="9"/>
  <c r="H328" i="3" s="1"/>
  <c r="C329" i="9"/>
  <c r="D329" i="9"/>
  <c r="D329" i="3" s="1"/>
  <c r="F329" i="9"/>
  <c r="F329" i="3" s="1"/>
  <c r="G329" i="9"/>
  <c r="H329" i="9"/>
  <c r="H329" i="3" s="1"/>
  <c r="C330" i="9"/>
  <c r="D330" i="9"/>
  <c r="D330" i="3" s="1"/>
  <c r="F330" i="9"/>
  <c r="F330" i="3" s="1"/>
  <c r="G330" i="9"/>
  <c r="H330" i="9"/>
  <c r="H330" i="3" s="1"/>
  <c r="C331" i="9"/>
  <c r="D331" i="9"/>
  <c r="E331" i="9" s="1"/>
  <c r="E331" i="3" s="1"/>
  <c r="F331" i="9"/>
  <c r="F331" i="3" s="1"/>
  <c r="G331" i="9"/>
  <c r="H331" i="9"/>
  <c r="H331" i="3" s="1"/>
  <c r="C332" i="9"/>
  <c r="D332" i="9"/>
  <c r="D332" i="3" s="1"/>
  <c r="F332" i="9"/>
  <c r="F332" i="3" s="1"/>
  <c r="G332" i="9"/>
  <c r="H332" i="9"/>
  <c r="H332" i="3" s="1"/>
  <c r="C333" i="9"/>
  <c r="D333" i="9"/>
  <c r="D333" i="3" s="1"/>
  <c r="F333" i="9"/>
  <c r="F333" i="3" s="1"/>
  <c r="G333" i="9"/>
  <c r="H333" i="9"/>
  <c r="H333" i="3" s="1"/>
  <c r="C334" i="9"/>
  <c r="D334" i="9"/>
  <c r="D334" i="3" s="1"/>
  <c r="F334" i="9"/>
  <c r="F334" i="3" s="1"/>
  <c r="G334" i="9"/>
  <c r="H334" i="9"/>
  <c r="H334" i="3" s="1"/>
  <c r="C335" i="9"/>
  <c r="D335" i="9"/>
  <c r="D335" i="3" s="1"/>
  <c r="F335" i="9"/>
  <c r="F335" i="3" s="1"/>
  <c r="G335" i="9"/>
  <c r="H335" i="9"/>
  <c r="H335" i="3" s="1"/>
  <c r="C336" i="9"/>
  <c r="D336" i="9"/>
  <c r="D336" i="3" s="1"/>
  <c r="F336" i="9"/>
  <c r="F336" i="3" s="1"/>
  <c r="G336" i="9"/>
  <c r="H336" i="9"/>
  <c r="H336" i="3" s="1"/>
  <c r="C337" i="9"/>
  <c r="D337" i="9"/>
  <c r="D337" i="3" s="1"/>
  <c r="F337" i="9"/>
  <c r="F337" i="3" s="1"/>
  <c r="G337" i="9"/>
  <c r="H337" i="9"/>
  <c r="H337" i="3" s="1"/>
  <c r="C338" i="9"/>
  <c r="D338" i="9"/>
  <c r="D338" i="3" s="1"/>
  <c r="E338" i="9"/>
  <c r="E338" i="3" s="1"/>
  <c r="F338" i="9"/>
  <c r="F338" i="3" s="1"/>
  <c r="G338" i="9"/>
  <c r="H338" i="9"/>
  <c r="H338" i="3" s="1"/>
  <c r="C339" i="9"/>
  <c r="D339" i="9"/>
  <c r="D339" i="3" s="1"/>
  <c r="F339" i="9"/>
  <c r="F339" i="3" s="1"/>
  <c r="G339" i="9"/>
  <c r="H339" i="9"/>
  <c r="H339" i="3" s="1"/>
  <c r="C340" i="9"/>
  <c r="D340" i="9"/>
  <c r="D340" i="3" s="1"/>
  <c r="F340" i="9"/>
  <c r="F340" i="3" s="1"/>
  <c r="G340" i="9"/>
  <c r="H340" i="9"/>
  <c r="H340" i="3" s="1"/>
  <c r="C341" i="9"/>
  <c r="D341" i="9"/>
  <c r="D341" i="3" s="1"/>
  <c r="E341" i="9"/>
  <c r="E341" i="3" s="1"/>
  <c r="F341" i="9"/>
  <c r="F341" i="3" s="1"/>
  <c r="G341" i="9"/>
  <c r="H341" i="9"/>
  <c r="H341" i="3" s="1"/>
  <c r="C342" i="9"/>
  <c r="D342" i="9"/>
  <c r="D342" i="3" s="1"/>
  <c r="F342" i="9"/>
  <c r="F342" i="3" s="1"/>
  <c r="G342" i="9"/>
  <c r="H342" i="9"/>
  <c r="H342" i="3" s="1"/>
  <c r="C343" i="9"/>
  <c r="D343" i="9"/>
  <c r="D343" i="3" s="1"/>
  <c r="F343" i="9"/>
  <c r="G343" i="9"/>
  <c r="H343" i="9"/>
  <c r="H343" i="3" s="1"/>
  <c r="C344" i="9"/>
  <c r="D344" i="9"/>
  <c r="D344" i="3" s="1"/>
  <c r="F344" i="9"/>
  <c r="F344" i="3" s="1"/>
  <c r="G344" i="9"/>
  <c r="H344" i="9"/>
  <c r="H344" i="3" s="1"/>
  <c r="C345" i="9"/>
  <c r="D345" i="9"/>
  <c r="D345" i="3" s="1"/>
  <c r="F345" i="9"/>
  <c r="F345" i="3" s="1"/>
  <c r="G345" i="9"/>
  <c r="H345" i="9"/>
  <c r="H345" i="3" s="1"/>
  <c r="C346" i="9"/>
  <c r="D346" i="9"/>
  <c r="E346" i="9" s="1"/>
  <c r="E346" i="3" s="1"/>
  <c r="F346" i="9"/>
  <c r="F346" i="3" s="1"/>
  <c r="G346" i="9"/>
  <c r="H346" i="9"/>
  <c r="H346" i="3" s="1"/>
  <c r="C347" i="9"/>
  <c r="D347" i="9"/>
  <c r="D347" i="3" s="1"/>
  <c r="F347" i="9"/>
  <c r="F347" i="3" s="1"/>
  <c r="G347" i="9"/>
  <c r="H347" i="9"/>
  <c r="H347" i="3" s="1"/>
  <c r="C348" i="9"/>
  <c r="D348" i="9"/>
  <c r="D348" i="3" s="1"/>
  <c r="E348" i="9"/>
  <c r="E348" i="3" s="1"/>
  <c r="F348" i="9"/>
  <c r="F348" i="3" s="1"/>
  <c r="G348" i="9"/>
  <c r="H348" i="9"/>
  <c r="H348" i="3" s="1"/>
  <c r="C349" i="9"/>
  <c r="D349" i="9"/>
  <c r="E349" i="9" s="1"/>
  <c r="E349" i="3" s="1"/>
  <c r="F349" i="9"/>
  <c r="F349" i="3" s="1"/>
  <c r="G349" i="9"/>
  <c r="H349" i="9"/>
  <c r="H349" i="3" s="1"/>
  <c r="C350" i="9"/>
  <c r="D350" i="9"/>
  <c r="D350" i="3" s="1"/>
  <c r="F350" i="9"/>
  <c r="F350" i="3" s="1"/>
  <c r="G350" i="9"/>
  <c r="H350" i="9"/>
  <c r="H350" i="3" s="1"/>
  <c r="C351" i="9"/>
  <c r="D351" i="9"/>
  <c r="D351" i="3" s="1"/>
  <c r="F351" i="9"/>
  <c r="F351" i="3" s="1"/>
  <c r="G351" i="9"/>
  <c r="H351" i="9"/>
  <c r="H351" i="3" s="1"/>
  <c r="C352" i="9"/>
  <c r="D352" i="9"/>
  <c r="D352" i="3" s="1"/>
  <c r="F352" i="9"/>
  <c r="F352" i="3" s="1"/>
  <c r="G352" i="9"/>
  <c r="H352" i="9"/>
  <c r="H352" i="3" s="1"/>
  <c r="C353" i="9"/>
  <c r="D353" i="9"/>
  <c r="E353" i="9" s="1"/>
  <c r="E353" i="3" s="1"/>
  <c r="F353" i="9"/>
  <c r="F353" i="3" s="1"/>
  <c r="G353" i="9"/>
  <c r="H353" i="9"/>
  <c r="H353" i="3" s="1"/>
  <c r="C354" i="9"/>
  <c r="D354" i="9"/>
  <c r="D354" i="3" s="1"/>
  <c r="F354" i="9"/>
  <c r="F354" i="3" s="1"/>
  <c r="G354" i="9"/>
  <c r="H354" i="9"/>
  <c r="H354" i="3" s="1"/>
  <c r="C355" i="9"/>
  <c r="D355" i="9"/>
  <c r="D355" i="3" s="1"/>
  <c r="F355" i="9"/>
  <c r="F355" i="3" s="1"/>
  <c r="G355" i="9"/>
  <c r="H355" i="9"/>
  <c r="H355" i="3" s="1"/>
  <c r="C356" i="9"/>
  <c r="D356" i="9"/>
  <c r="F356" i="9"/>
  <c r="F356" i="3" s="1"/>
  <c r="G356" i="9"/>
  <c r="H356" i="9"/>
  <c r="H356" i="3" s="1"/>
  <c r="C357" i="9"/>
  <c r="D357" i="9"/>
  <c r="D357" i="3" s="1"/>
  <c r="F357" i="9"/>
  <c r="F357" i="3" s="1"/>
  <c r="G357" i="9"/>
  <c r="H357" i="9"/>
  <c r="H357" i="3" s="1"/>
  <c r="C358" i="9"/>
  <c r="D358" i="9"/>
  <c r="D358" i="3" s="1"/>
  <c r="F358" i="9"/>
  <c r="F358" i="3" s="1"/>
  <c r="G358" i="9"/>
  <c r="H358" i="9"/>
  <c r="H358" i="3" s="1"/>
  <c r="C359" i="9"/>
  <c r="D359" i="9"/>
  <c r="D359" i="3" s="1"/>
  <c r="F359" i="9"/>
  <c r="F359" i="3" s="1"/>
  <c r="G359" i="9"/>
  <c r="H359" i="9"/>
  <c r="H359" i="3" s="1"/>
  <c r="C360" i="9"/>
  <c r="D360" i="9"/>
  <c r="D360" i="3" s="1"/>
  <c r="F360" i="9"/>
  <c r="F360" i="3" s="1"/>
  <c r="G360" i="9"/>
  <c r="H360" i="9"/>
  <c r="H360" i="3" s="1"/>
  <c r="C361" i="9"/>
  <c r="D361" i="9"/>
  <c r="D361" i="3" s="1"/>
  <c r="F361" i="9"/>
  <c r="F361" i="3" s="1"/>
  <c r="G361" i="9"/>
  <c r="H361" i="9"/>
  <c r="H361" i="3" s="1"/>
  <c r="C362" i="9"/>
  <c r="D362" i="9"/>
  <c r="F362" i="9"/>
  <c r="F362" i="3" s="1"/>
  <c r="G362" i="9"/>
  <c r="H362" i="9"/>
  <c r="H362" i="3" s="1"/>
  <c r="C363" i="9"/>
  <c r="D363" i="9"/>
  <c r="D363" i="3" s="1"/>
  <c r="F363" i="9"/>
  <c r="F363" i="3" s="1"/>
  <c r="G363" i="9"/>
  <c r="H363" i="9"/>
  <c r="H363" i="3" s="1"/>
  <c r="C364" i="9"/>
  <c r="D364" i="9"/>
  <c r="D364" i="3" s="1"/>
  <c r="F364" i="9"/>
  <c r="F364" i="3" s="1"/>
  <c r="G364" i="9"/>
  <c r="H364" i="9"/>
  <c r="H364" i="3" s="1"/>
  <c r="C365" i="9"/>
  <c r="D365" i="9"/>
  <c r="D365" i="3" s="1"/>
  <c r="F365" i="9"/>
  <c r="F365" i="3" s="1"/>
  <c r="G365" i="9"/>
  <c r="H365" i="9"/>
  <c r="H365" i="3" s="1"/>
  <c r="C366" i="9"/>
  <c r="D366" i="9"/>
  <c r="D366" i="3" s="1"/>
  <c r="F366" i="9"/>
  <c r="F366" i="3" s="1"/>
  <c r="G366" i="9"/>
  <c r="H366" i="9"/>
  <c r="H366" i="3" s="1"/>
  <c r="C367" i="9"/>
  <c r="D367" i="9"/>
  <c r="D367" i="3" s="1"/>
  <c r="F367" i="9"/>
  <c r="F367" i="3" s="1"/>
  <c r="G367" i="9"/>
  <c r="H367" i="9"/>
  <c r="H367" i="3" s="1"/>
  <c r="C368" i="9"/>
  <c r="D368" i="9"/>
  <c r="D368" i="3" s="1"/>
  <c r="F368" i="9"/>
  <c r="F368" i="3" s="1"/>
  <c r="G368" i="9"/>
  <c r="H368" i="9"/>
  <c r="H368" i="3" s="1"/>
  <c r="C369" i="9"/>
  <c r="D369" i="9"/>
  <c r="E369" i="9" s="1"/>
  <c r="E369" i="3" s="1"/>
  <c r="F369" i="9"/>
  <c r="F369" i="3" s="1"/>
  <c r="G369" i="9"/>
  <c r="H369" i="9"/>
  <c r="H369" i="3" s="1"/>
  <c r="C370" i="9"/>
  <c r="D370" i="9"/>
  <c r="D370" i="3" s="1"/>
  <c r="E370" i="9"/>
  <c r="E370" i="3" s="1"/>
  <c r="F370" i="9"/>
  <c r="F370" i="3" s="1"/>
  <c r="G370" i="9"/>
  <c r="H370" i="9"/>
  <c r="H370" i="3" s="1"/>
  <c r="C371" i="9"/>
  <c r="D371" i="9"/>
  <c r="D371" i="3" s="1"/>
  <c r="F371" i="9"/>
  <c r="F371" i="3" s="1"/>
  <c r="G371" i="9"/>
  <c r="H371" i="9"/>
  <c r="H371" i="3" s="1"/>
  <c r="C372" i="9"/>
  <c r="D372" i="9"/>
  <c r="D372" i="3" s="1"/>
  <c r="F372" i="9"/>
  <c r="F372" i="3" s="1"/>
  <c r="G372" i="9"/>
  <c r="H372" i="9"/>
  <c r="H372" i="3" s="1"/>
  <c r="C373" i="9"/>
  <c r="D373" i="9"/>
  <c r="D373" i="3" s="1"/>
  <c r="E373" i="9"/>
  <c r="E373" i="3" s="1"/>
  <c r="F373" i="9"/>
  <c r="F373" i="3" s="1"/>
  <c r="G373" i="9"/>
  <c r="H373" i="9"/>
  <c r="H373" i="3" s="1"/>
  <c r="C374" i="9"/>
  <c r="D374" i="9"/>
  <c r="D374" i="3" s="1"/>
  <c r="E374" i="9"/>
  <c r="E374" i="3" s="1"/>
  <c r="F374" i="9"/>
  <c r="F374" i="3" s="1"/>
  <c r="G374" i="9"/>
  <c r="H374" i="9"/>
  <c r="H374" i="3" s="1"/>
  <c r="C375" i="9"/>
  <c r="D375" i="9"/>
  <c r="D375" i="3" s="1"/>
  <c r="F375" i="9"/>
  <c r="F375" i="3" s="1"/>
  <c r="G375" i="9"/>
  <c r="H375" i="9"/>
  <c r="H375" i="3" s="1"/>
  <c r="C376" i="9"/>
  <c r="D376" i="9"/>
  <c r="D376" i="3" s="1"/>
  <c r="F376" i="9"/>
  <c r="F376" i="3" s="1"/>
  <c r="G376" i="9"/>
  <c r="H376" i="9"/>
  <c r="H376" i="3" s="1"/>
  <c r="C377" i="9"/>
  <c r="D377" i="9"/>
  <c r="D377" i="3" s="1"/>
  <c r="E377" i="9"/>
  <c r="E377" i="3" s="1"/>
  <c r="F377" i="9"/>
  <c r="F377" i="3" s="1"/>
  <c r="G377" i="9"/>
  <c r="H377" i="9"/>
  <c r="H377" i="3" s="1"/>
  <c r="C378" i="9"/>
  <c r="D378" i="9"/>
  <c r="F378" i="9"/>
  <c r="F378" i="3" s="1"/>
  <c r="G378" i="9"/>
  <c r="H378" i="9"/>
  <c r="H378" i="3" s="1"/>
  <c r="C379" i="9"/>
  <c r="D379" i="9"/>
  <c r="D379" i="3" s="1"/>
  <c r="F379" i="9"/>
  <c r="F379" i="3" s="1"/>
  <c r="G379" i="9"/>
  <c r="H379" i="9"/>
  <c r="H379" i="3" s="1"/>
  <c r="C380" i="9"/>
  <c r="D380" i="9"/>
  <c r="D380" i="3" s="1"/>
  <c r="E380" i="9"/>
  <c r="E380" i="3" s="1"/>
  <c r="F380" i="9"/>
  <c r="F380" i="3" s="1"/>
  <c r="G380" i="9"/>
  <c r="H380" i="9"/>
  <c r="H380" i="3" s="1"/>
  <c r="C381" i="9"/>
  <c r="D381" i="9"/>
  <c r="E381" i="9" s="1"/>
  <c r="E381" i="3" s="1"/>
  <c r="F381" i="9"/>
  <c r="F381" i="3" s="1"/>
  <c r="G381" i="9"/>
  <c r="H381" i="9"/>
  <c r="H381" i="3" s="1"/>
  <c r="C382" i="9"/>
  <c r="D382" i="9"/>
  <c r="F382" i="9"/>
  <c r="F382" i="3" s="1"/>
  <c r="G382" i="9"/>
  <c r="H382" i="9"/>
  <c r="H382" i="3" s="1"/>
  <c r="C383" i="9"/>
  <c r="D383" i="9"/>
  <c r="D383" i="3" s="1"/>
  <c r="F383" i="9"/>
  <c r="F383" i="3" s="1"/>
  <c r="G383" i="9"/>
  <c r="H383" i="9"/>
  <c r="H383" i="3" s="1"/>
  <c r="C384" i="9"/>
  <c r="D384" i="9"/>
  <c r="D384" i="3" s="1"/>
  <c r="F384" i="9"/>
  <c r="F384" i="3" s="1"/>
  <c r="G384" i="9"/>
  <c r="H384" i="9"/>
  <c r="H384" i="3" s="1"/>
  <c r="C385" i="9"/>
  <c r="D385" i="9"/>
  <c r="D385" i="3" s="1"/>
  <c r="F385" i="9"/>
  <c r="F385" i="3" s="1"/>
  <c r="G385" i="9"/>
  <c r="H385" i="9"/>
  <c r="H385" i="3" s="1"/>
  <c r="C386" i="9"/>
  <c r="D386" i="9"/>
  <c r="D386" i="3" s="1"/>
  <c r="F386" i="9"/>
  <c r="F386" i="3" s="1"/>
  <c r="G386" i="9"/>
  <c r="H386" i="9"/>
  <c r="H386" i="3" s="1"/>
  <c r="C387" i="9"/>
  <c r="D387" i="9"/>
  <c r="D387" i="3" s="1"/>
  <c r="F387" i="9"/>
  <c r="F387" i="3" s="1"/>
  <c r="G387" i="9"/>
  <c r="H387" i="9"/>
  <c r="H387" i="3" s="1"/>
  <c r="C388" i="9"/>
  <c r="D388" i="9"/>
  <c r="D388" i="3" s="1"/>
  <c r="F388" i="9"/>
  <c r="F388" i="3" s="1"/>
  <c r="G388" i="9"/>
  <c r="H388" i="9"/>
  <c r="H388" i="3" s="1"/>
  <c r="C389" i="9"/>
  <c r="D389" i="9"/>
  <c r="E389" i="9" s="1"/>
  <c r="E389" i="3" s="1"/>
  <c r="F389" i="9"/>
  <c r="F389" i="3" s="1"/>
  <c r="G389" i="9"/>
  <c r="H389" i="9"/>
  <c r="H389" i="3" s="1"/>
  <c r="C390" i="9"/>
  <c r="D390" i="9"/>
  <c r="D390" i="3" s="1"/>
  <c r="F390" i="9"/>
  <c r="G390" i="9"/>
  <c r="H390" i="9"/>
  <c r="H390" i="3" s="1"/>
  <c r="C391" i="9"/>
  <c r="D391" i="9"/>
  <c r="D391" i="3" s="1"/>
  <c r="F391" i="9"/>
  <c r="F391" i="3" s="1"/>
  <c r="G391" i="9"/>
  <c r="H391" i="9"/>
  <c r="G2" i="9"/>
  <c r="G2" i="3" s="1"/>
  <c r="F2" i="9"/>
  <c r="F2" i="3" s="1"/>
  <c r="D2" i="9"/>
  <c r="D2" i="3" s="1"/>
  <c r="C2" i="9"/>
  <c r="H2" i="9"/>
  <c r="H421" i="3" l="1"/>
  <c r="H417" i="3"/>
  <c r="H413" i="3"/>
  <c r="H409" i="3"/>
  <c r="H404" i="3"/>
  <c r="H400" i="3"/>
  <c r="H396" i="3"/>
  <c r="H392" i="3"/>
  <c r="H422" i="3"/>
  <c r="H418" i="3"/>
  <c r="H414" i="3"/>
  <c r="H410" i="3"/>
  <c r="H406" i="3"/>
  <c r="H405" i="3"/>
  <c r="H401" i="3"/>
  <c r="H397" i="3"/>
  <c r="H393" i="3"/>
  <c r="H423" i="3"/>
  <c r="H419" i="3"/>
  <c r="H415" i="3"/>
  <c r="H411" i="3"/>
  <c r="H407" i="3"/>
  <c r="H402" i="3"/>
  <c r="H398" i="3"/>
  <c r="H394" i="3"/>
  <c r="E302" i="9"/>
  <c r="E302" i="3" s="1"/>
  <c r="D302" i="3"/>
  <c r="E294" i="9"/>
  <c r="E294" i="3" s="1"/>
  <c r="D294" i="3"/>
  <c r="E306" i="9"/>
  <c r="E306" i="3" s="1"/>
  <c r="D306" i="3"/>
  <c r="E286" i="9"/>
  <c r="E286" i="3" s="1"/>
  <c r="D286" i="3"/>
  <c r="E282" i="9"/>
  <c r="E282" i="3" s="1"/>
  <c r="D282" i="3"/>
  <c r="E274" i="9"/>
  <c r="E274" i="3" s="1"/>
  <c r="D274" i="3"/>
  <c r="E271" i="9"/>
  <c r="E271" i="3" s="1"/>
  <c r="D271" i="3"/>
  <c r="E289" i="9"/>
  <c r="E289" i="3" s="1"/>
  <c r="D289" i="3"/>
  <c r="E303" i="9"/>
  <c r="E303" i="3" s="1"/>
  <c r="D303" i="3"/>
  <c r="E299" i="9"/>
  <c r="E299" i="3" s="1"/>
  <c r="D299" i="3"/>
  <c r="E295" i="9"/>
  <c r="E295" i="3" s="1"/>
  <c r="D295" i="3"/>
  <c r="E291" i="9"/>
  <c r="E291" i="3" s="1"/>
  <c r="D291" i="3"/>
  <c r="E283" i="9"/>
  <c r="E283" i="3" s="1"/>
  <c r="D283" i="3"/>
  <c r="E262" i="9"/>
  <c r="E262" i="3" s="1"/>
  <c r="D262" i="3"/>
  <c r="E230" i="9"/>
  <c r="E230" i="3" s="1"/>
  <c r="D230" i="3"/>
  <c r="E250" i="9"/>
  <c r="E250" i="3" s="1"/>
  <c r="D250" i="3"/>
  <c r="E239" i="9"/>
  <c r="E239" i="3" s="1"/>
  <c r="D239" i="3"/>
  <c r="E229" i="9"/>
  <c r="E229" i="3" s="1"/>
  <c r="C229" i="3"/>
  <c r="E254" i="9"/>
  <c r="E254" i="3" s="1"/>
  <c r="D254" i="3"/>
  <c r="E267" i="9"/>
  <c r="E267" i="3" s="1"/>
  <c r="D267" i="3"/>
  <c r="E263" i="9"/>
  <c r="E263" i="3" s="1"/>
  <c r="D263" i="3"/>
  <c r="E259" i="9"/>
  <c r="E259" i="3" s="1"/>
  <c r="D259" i="3"/>
  <c r="E251" i="9"/>
  <c r="E251" i="3" s="1"/>
  <c r="D251" i="3"/>
  <c r="E247" i="9"/>
  <c r="E247" i="3" s="1"/>
  <c r="D247" i="3"/>
  <c r="E241" i="9"/>
  <c r="E241" i="3" s="1"/>
  <c r="E238" i="9"/>
  <c r="E238" i="3" s="1"/>
  <c r="E235" i="9"/>
  <c r="E235" i="3" s="1"/>
  <c r="D235" i="3"/>
  <c r="E231" i="9"/>
  <c r="E231" i="3" s="1"/>
  <c r="D231" i="3"/>
  <c r="E252" i="9"/>
  <c r="E252" i="3" s="1"/>
  <c r="E416" i="9"/>
  <c r="E415" i="3" s="1"/>
  <c r="E413" i="9"/>
  <c r="E412" i="3" s="1"/>
  <c r="E290" i="9"/>
  <c r="E290" i="3" s="1"/>
  <c r="E293" i="9"/>
  <c r="E293" i="3" s="1"/>
  <c r="E371" i="9"/>
  <c r="E371" i="3" s="1"/>
  <c r="E305" i="9"/>
  <c r="E305" i="3" s="1"/>
  <c r="E277" i="9"/>
  <c r="E277" i="3" s="1"/>
  <c r="E257" i="9"/>
  <c r="E257" i="3" s="1"/>
  <c r="E418" i="9"/>
  <c r="E417" i="3" s="1"/>
  <c r="E394" i="9"/>
  <c r="E394" i="3" s="1"/>
  <c r="E258" i="9"/>
  <c r="E258" i="3" s="1"/>
  <c r="D418" i="3"/>
  <c r="E261" i="9"/>
  <c r="E261" i="3" s="1"/>
  <c r="E156" i="9"/>
  <c r="E156" i="3" s="1"/>
  <c r="E113" i="9"/>
  <c r="E113" i="3" s="1"/>
  <c r="E110" i="9"/>
  <c r="E110" i="3" s="1"/>
  <c r="E415" i="9"/>
  <c r="E414" i="3" s="1"/>
  <c r="E412" i="9"/>
  <c r="E411" i="3" s="1"/>
  <c r="E284" i="9"/>
  <c r="E284" i="3" s="1"/>
  <c r="E162" i="9"/>
  <c r="E162" i="3" s="1"/>
  <c r="E86" i="9"/>
  <c r="E86" i="3" s="1"/>
  <c r="D398" i="3"/>
  <c r="E407" i="9"/>
  <c r="E406" i="3" s="1"/>
  <c r="E404" i="9"/>
  <c r="E403" i="3" s="1"/>
  <c r="D421" i="3"/>
  <c r="E393" i="9"/>
  <c r="E393" i="3" s="1"/>
  <c r="E395" i="9"/>
  <c r="D424" i="3"/>
  <c r="D402" i="3"/>
  <c r="E390" i="9"/>
  <c r="E390" i="3" s="1"/>
  <c r="E408" i="9"/>
  <c r="E407" i="3" s="1"/>
  <c r="E388" i="9"/>
  <c r="E388" i="3" s="1"/>
  <c r="E396" i="9"/>
  <c r="E395" i="3" s="1"/>
  <c r="E426" i="9"/>
  <c r="E425" i="3" s="1"/>
  <c r="E397" i="9"/>
  <c r="E396" i="3" s="1"/>
  <c r="E421" i="9"/>
  <c r="E420" i="3" s="1"/>
  <c r="E420" i="9"/>
  <c r="E419" i="3" s="1"/>
  <c r="E409" i="9"/>
  <c r="E408" i="3" s="1"/>
  <c r="E392" i="9"/>
  <c r="E392" i="3" s="1"/>
  <c r="D389" i="3"/>
  <c r="E417" i="9"/>
  <c r="E416" i="3" s="1"/>
  <c r="E400" i="9"/>
  <c r="E399" i="3" s="1"/>
  <c r="D409" i="3"/>
  <c r="E401" i="9"/>
  <c r="E400" i="3" s="1"/>
  <c r="E405" i="9"/>
  <c r="E404" i="3" s="1"/>
  <c r="D422" i="3"/>
  <c r="E360" i="9"/>
  <c r="E360" i="3" s="1"/>
  <c r="D381" i="3"/>
  <c r="E385" i="9"/>
  <c r="E385" i="3" s="1"/>
  <c r="E376" i="9"/>
  <c r="E376" i="3" s="1"/>
  <c r="E384" i="9"/>
  <c r="E384" i="3" s="1"/>
  <c r="D349" i="3"/>
  <c r="D369" i="3"/>
  <c r="E366" i="9"/>
  <c r="E366" i="3" s="1"/>
  <c r="E352" i="9"/>
  <c r="E352" i="3" s="1"/>
  <c r="E368" i="9"/>
  <c r="E368" i="3" s="1"/>
  <c r="E365" i="9"/>
  <c r="E365" i="3" s="1"/>
  <c r="E382" i="9"/>
  <c r="E382" i="3" s="1"/>
  <c r="D382" i="3"/>
  <c r="D353" i="3"/>
  <c r="E356" i="9"/>
  <c r="E356" i="3" s="1"/>
  <c r="D356" i="3"/>
  <c r="E350" i="9"/>
  <c r="E350" i="3" s="1"/>
  <c r="E362" i="9"/>
  <c r="E362" i="3" s="1"/>
  <c r="D362" i="3"/>
  <c r="E378" i="9"/>
  <c r="E378" i="3" s="1"/>
  <c r="D378" i="3"/>
  <c r="E347" i="9"/>
  <c r="E347" i="3" s="1"/>
  <c r="E379" i="9"/>
  <c r="E379" i="3" s="1"/>
  <c r="E372" i="9"/>
  <c r="E372" i="3" s="1"/>
  <c r="E357" i="9"/>
  <c r="E357" i="3" s="1"/>
  <c r="E354" i="9"/>
  <c r="E354" i="3" s="1"/>
  <c r="E386" i="9"/>
  <c r="E386" i="3" s="1"/>
  <c r="E364" i="9"/>
  <c r="E364" i="3" s="1"/>
  <c r="E361" i="9"/>
  <c r="E361" i="3" s="1"/>
  <c r="E358" i="9"/>
  <c r="E358" i="3" s="1"/>
  <c r="E337" i="9"/>
  <c r="E337" i="3" s="1"/>
  <c r="E334" i="9"/>
  <c r="E334" i="3" s="1"/>
  <c r="E309" i="9"/>
  <c r="E309" i="3" s="1"/>
  <c r="E342" i="9"/>
  <c r="E342" i="3" s="1"/>
  <c r="D326" i="3"/>
  <c r="E344" i="9"/>
  <c r="E344" i="3" s="1"/>
  <c r="D314" i="3"/>
  <c r="E345" i="9"/>
  <c r="E345" i="3" s="1"/>
  <c r="D327" i="3"/>
  <c r="D346" i="3"/>
  <c r="D311" i="3"/>
  <c r="D331" i="3"/>
  <c r="E340" i="9"/>
  <c r="E340" i="3" s="1"/>
  <c r="D323" i="3"/>
  <c r="D315" i="3"/>
  <c r="E325" i="9"/>
  <c r="E325" i="3" s="1"/>
  <c r="D206" i="3"/>
  <c r="D195" i="3"/>
  <c r="D227" i="3"/>
  <c r="E209" i="9"/>
  <c r="E209" i="3" s="1"/>
  <c r="D203" i="3"/>
  <c r="D198" i="3"/>
  <c r="D218" i="3"/>
  <c r="D215" i="3"/>
  <c r="D213" i="3"/>
  <c r="D207" i="3"/>
  <c r="E194" i="9"/>
  <c r="E194" i="3" s="1"/>
  <c r="E197" i="9"/>
  <c r="E197" i="3" s="1"/>
  <c r="D219" i="3"/>
  <c r="D199" i="3"/>
  <c r="E226" i="9"/>
  <c r="E226" i="3" s="1"/>
  <c r="E220" i="9"/>
  <c r="E220" i="3" s="1"/>
  <c r="D193" i="3"/>
  <c r="D210" i="3"/>
  <c r="E179" i="9"/>
  <c r="E179" i="3" s="1"/>
  <c r="E177" i="9"/>
  <c r="E177" i="3" s="1"/>
  <c r="E174" i="9"/>
  <c r="E174" i="3" s="1"/>
  <c r="E165" i="9"/>
  <c r="E165" i="3" s="1"/>
  <c r="E188" i="9"/>
  <c r="E188" i="3" s="1"/>
  <c r="D187" i="3"/>
  <c r="D175" i="3"/>
  <c r="D171" i="3"/>
  <c r="D167" i="3"/>
  <c r="D163" i="3"/>
  <c r="D155" i="3"/>
  <c r="D186" i="3"/>
  <c r="D166" i="3"/>
  <c r="D154" i="3"/>
  <c r="D117" i="3"/>
  <c r="E130" i="9"/>
  <c r="E130" i="3" s="1"/>
  <c r="E126" i="9"/>
  <c r="E126" i="3" s="1"/>
  <c r="E118" i="9"/>
  <c r="E118" i="3" s="1"/>
  <c r="E121" i="9"/>
  <c r="E121" i="3" s="1"/>
  <c r="D145" i="3"/>
  <c r="D142" i="3"/>
  <c r="D122" i="3"/>
  <c r="E129" i="9"/>
  <c r="E129" i="3" s="1"/>
  <c r="E133" i="9"/>
  <c r="E133" i="3" s="1"/>
  <c r="D151" i="3"/>
  <c r="D143" i="3"/>
  <c r="D139" i="3"/>
  <c r="D135" i="3"/>
  <c r="D131" i="3"/>
  <c r="D127" i="3"/>
  <c r="D119" i="3"/>
  <c r="E81" i="9"/>
  <c r="E81" i="3" s="1"/>
  <c r="E78" i="9"/>
  <c r="E78" i="3" s="1"/>
  <c r="E101" i="9"/>
  <c r="E101" i="3" s="1"/>
  <c r="E98" i="9"/>
  <c r="E98" i="3" s="1"/>
  <c r="D90" i="3"/>
  <c r="E93" i="9"/>
  <c r="E93" i="3" s="1"/>
  <c r="E82" i="9"/>
  <c r="E82" i="3" s="1"/>
  <c r="E79" i="9"/>
  <c r="E79" i="3" s="1"/>
  <c r="E96" i="9"/>
  <c r="E96" i="3" s="1"/>
  <c r="E85" i="9"/>
  <c r="E85" i="3" s="1"/>
  <c r="E91" i="9"/>
  <c r="E91" i="3" s="1"/>
  <c r="E97" i="9"/>
  <c r="E97" i="3" s="1"/>
  <c r="E94" i="9"/>
  <c r="E94" i="3" s="1"/>
  <c r="D102" i="3"/>
  <c r="E53" i="9"/>
  <c r="E53" i="3" s="1"/>
  <c r="E50" i="9"/>
  <c r="E50" i="3" s="1"/>
  <c r="D63" i="3"/>
  <c r="E65" i="9"/>
  <c r="E65" i="3" s="1"/>
  <c r="D67" i="3"/>
  <c r="D51" i="3"/>
  <c r="D59" i="3"/>
  <c r="D47" i="3"/>
  <c r="D43" i="3"/>
  <c r="D71" i="3"/>
  <c r="D75" i="3"/>
  <c r="E61" i="9"/>
  <c r="E61" i="3" s="1"/>
  <c r="D69" i="3"/>
  <c r="E54" i="9"/>
  <c r="E54" i="3" s="1"/>
  <c r="E64" i="9"/>
  <c r="E64" i="3" s="1"/>
  <c r="E66" i="9"/>
  <c r="E66" i="3" s="1"/>
  <c r="D74" i="3"/>
  <c r="D70" i="3"/>
  <c r="D58" i="3"/>
  <c r="D42" i="3"/>
  <c r="E46" i="9"/>
  <c r="E46" i="3" s="1"/>
  <c r="E49" i="9"/>
  <c r="E49" i="3" s="1"/>
  <c r="E21" i="9"/>
  <c r="E21" i="3" s="1"/>
  <c r="E18" i="9"/>
  <c r="E18" i="3" s="1"/>
  <c r="E22" i="9"/>
  <c r="E22" i="3" s="1"/>
  <c r="E17" i="9"/>
  <c r="E17" i="3" s="1"/>
  <c r="E14" i="9"/>
  <c r="E14" i="3" s="1"/>
  <c r="D34" i="3"/>
  <c r="E33" i="9"/>
  <c r="E33" i="3" s="1"/>
  <c r="E30" i="9"/>
  <c r="E30" i="3" s="1"/>
  <c r="D37" i="3"/>
  <c r="E5" i="9"/>
  <c r="E5" i="3" s="1"/>
  <c r="D39" i="3"/>
  <c r="D35" i="3"/>
  <c r="D31" i="3"/>
  <c r="D27" i="3"/>
  <c r="E25" i="9"/>
  <c r="E25" i="3" s="1"/>
  <c r="E19" i="9"/>
  <c r="E19" i="3" s="1"/>
  <c r="E38" i="9"/>
  <c r="E38" i="3" s="1"/>
  <c r="D26" i="3"/>
  <c r="E383" i="9"/>
  <c r="E383" i="3" s="1"/>
  <c r="E351" i="9"/>
  <c r="E351" i="3" s="1"/>
  <c r="E109" i="9"/>
  <c r="E109" i="3" s="1"/>
  <c r="E41" i="9"/>
  <c r="E41" i="3" s="1"/>
  <c r="E11" i="9"/>
  <c r="E11" i="3" s="1"/>
  <c r="E355" i="9"/>
  <c r="E355" i="3" s="1"/>
  <c r="E29" i="9"/>
  <c r="E29" i="3" s="1"/>
  <c r="E320" i="9"/>
  <c r="E320" i="3" s="1"/>
  <c r="E285" i="9"/>
  <c r="E285" i="3" s="1"/>
  <c r="E256" i="9"/>
  <c r="E256" i="3" s="1"/>
  <c r="E221" i="9"/>
  <c r="E221" i="3" s="1"/>
  <c r="E189" i="9"/>
  <c r="E189" i="3" s="1"/>
  <c r="E137" i="9"/>
  <c r="E137" i="3" s="1"/>
  <c r="E80" i="9"/>
  <c r="E80" i="3" s="1"/>
  <c r="E3" i="9"/>
  <c r="E3" i="3" s="1"/>
  <c r="E414" i="9"/>
  <c r="E413" i="3" s="1"/>
  <c r="E332" i="9"/>
  <c r="E332" i="3" s="1"/>
  <c r="E300" i="9"/>
  <c r="E300" i="3" s="1"/>
  <c r="E268" i="9"/>
  <c r="E268" i="3" s="1"/>
  <c r="E236" i="9"/>
  <c r="E236" i="3" s="1"/>
  <c r="E204" i="9"/>
  <c r="E204" i="3" s="1"/>
  <c r="E128" i="9"/>
  <c r="E128" i="3" s="1"/>
  <c r="E87" i="9"/>
  <c r="E87" i="3" s="1"/>
  <c r="E57" i="9"/>
  <c r="E57" i="3" s="1"/>
  <c r="E15" i="9"/>
  <c r="E15" i="3" s="1"/>
  <c r="E424" i="9"/>
  <c r="E423" i="3" s="1"/>
  <c r="E367" i="9"/>
  <c r="E367" i="3" s="1"/>
  <c r="E330" i="9"/>
  <c r="E330" i="3" s="1"/>
  <c r="E310" i="9"/>
  <c r="E310" i="3" s="1"/>
  <c r="E307" i="9"/>
  <c r="E307" i="3" s="1"/>
  <c r="E298" i="9"/>
  <c r="E298" i="3" s="1"/>
  <c r="E278" i="9"/>
  <c r="E278" i="3" s="1"/>
  <c r="E275" i="9"/>
  <c r="E275" i="3" s="1"/>
  <c r="E266" i="9"/>
  <c r="E266" i="3" s="1"/>
  <c r="E246" i="9"/>
  <c r="E246" i="3" s="1"/>
  <c r="E243" i="9"/>
  <c r="E243" i="3" s="1"/>
  <c r="E234" i="9"/>
  <c r="E234" i="3" s="1"/>
  <c r="E214" i="9"/>
  <c r="E214" i="3" s="1"/>
  <c r="E211" i="9"/>
  <c r="E211" i="3" s="1"/>
  <c r="E202" i="9"/>
  <c r="E202" i="3" s="1"/>
  <c r="E182" i="9"/>
  <c r="E182" i="3" s="1"/>
  <c r="E170" i="9"/>
  <c r="E170" i="3" s="1"/>
  <c r="E150" i="9"/>
  <c r="E150" i="3" s="1"/>
  <c r="E147" i="9"/>
  <c r="E147" i="3" s="1"/>
  <c r="E138" i="9"/>
  <c r="E138" i="3" s="1"/>
  <c r="E123" i="9"/>
  <c r="E123" i="3" s="1"/>
  <c r="E111" i="9"/>
  <c r="E111" i="3" s="1"/>
  <c r="E105" i="9"/>
  <c r="E105" i="3" s="1"/>
  <c r="E99" i="9"/>
  <c r="E99" i="3" s="1"/>
  <c r="E55" i="9"/>
  <c r="E55" i="3" s="1"/>
  <c r="E48" i="9"/>
  <c r="E48" i="3" s="1"/>
  <c r="E45" i="9"/>
  <c r="E45" i="3" s="1"/>
  <c r="E10" i="9"/>
  <c r="E10" i="3" s="1"/>
  <c r="E7" i="9"/>
  <c r="E7" i="3" s="1"/>
  <c r="E112" i="9"/>
  <c r="E112" i="3" s="1"/>
  <c r="E83" i="9"/>
  <c r="E83" i="3" s="1"/>
  <c r="E32" i="9"/>
  <c r="E32" i="3" s="1"/>
  <c r="E391" i="9"/>
  <c r="E391" i="3" s="1"/>
  <c r="E359" i="9"/>
  <c r="E359" i="3" s="1"/>
  <c r="E329" i="9"/>
  <c r="E329" i="3" s="1"/>
  <c r="E317" i="9"/>
  <c r="E317" i="3" s="1"/>
  <c r="E297" i="9"/>
  <c r="E297" i="3" s="1"/>
  <c r="E265" i="9"/>
  <c r="E265" i="3" s="1"/>
  <c r="E233" i="9"/>
  <c r="E233" i="3" s="1"/>
  <c r="E192" i="9"/>
  <c r="E192" i="3" s="1"/>
  <c r="E160" i="9"/>
  <c r="E160" i="3" s="1"/>
  <c r="E77" i="9"/>
  <c r="E77" i="3" s="1"/>
  <c r="E9" i="9"/>
  <c r="E9" i="3" s="1"/>
  <c r="E398" i="9"/>
  <c r="E397" i="3" s="1"/>
  <c r="E363" i="9"/>
  <c r="E363" i="3" s="1"/>
  <c r="E387" i="9"/>
  <c r="E387" i="3" s="1"/>
  <c r="E89" i="9"/>
  <c r="E89" i="3" s="1"/>
  <c r="E288" i="9"/>
  <c r="E288" i="3" s="1"/>
  <c r="E253" i="9"/>
  <c r="E253" i="3" s="1"/>
  <c r="E224" i="9"/>
  <c r="E224" i="3" s="1"/>
  <c r="E201" i="9"/>
  <c r="E201" i="3" s="1"/>
  <c r="E169" i="9"/>
  <c r="E169" i="3" s="1"/>
  <c r="E157" i="9"/>
  <c r="E157" i="3" s="1"/>
  <c r="E107" i="9"/>
  <c r="E107" i="3" s="1"/>
  <c r="E95" i="9"/>
  <c r="E95" i="3" s="1"/>
  <c r="E406" i="9"/>
  <c r="E405" i="3" s="1"/>
  <c r="E172" i="9"/>
  <c r="E172" i="3" s="1"/>
  <c r="E125" i="9"/>
  <c r="E125" i="3" s="1"/>
  <c r="E375" i="9"/>
  <c r="E375" i="3" s="1"/>
  <c r="E343" i="9"/>
  <c r="E343" i="3" s="1"/>
  <c r="E336" i="9"/>
  <c r="E336" i="3" s="1"/>
  <c r="E333" i="9"/>
  <c r="E333" i="3" s="1"/>
  <c r="E319" i="9"/>
  <c r="E319" i="3" s="1"/>
  <c r="E313" i="9"/>
  <c r="E313" i="3" s="1"/>
  <c r="E304" i="9"/>
  <c r="E304" i="3" s="1"/>
  <c r="E301" i="9"/>
  <c r="E301" i="3" s="1"/>
  <c r="E287" i="9"/>
  <c r="E287" i="3" s="1"/>
  <c r="E281" i="9"/>
  <c r="E281" i="3" s="1"/>
  <c r="E272" i="9"/>
  <c r="E272" i="3" s="1"/>
  <c r="E269" i="9"/>
  <c r="E269" i="3" s="1"/>
  <c r="E255" i="9"/>
  <c r="E255" i="3" s="1"/>
  <c r="E249" i="9"/>
  <c r="E249" i="3" s="1"/>
  <c r="E240" i="9"/>
  <c r="E240" i="3" s="1"/>
  <c r="E237" i="9"/>
  <c r="E237" i="3" s="1"/>
  <c r="E223" i="9"/>
  <c r="E223" i="3" s="1"/>
  <c r="E217" i="9"/>
  <c r="E217" i="3" s="1"/>
  <c r="E208" i="9"/>
  <c r="E208" i="3" s="1"/>
  <c r="E205" i="9"/>
  <c r="E205" i="3" s="1"/>
  <c r="E191" i="9"/>
  <c r="E191" i="3" s="1"/>
  <c r="E185" i="9"/>
  <c r="E185" i="3" s="1"/>
  <c r="E176" i="9"/>
  <c r="E176" i="3" s="1"/>
  <c r="E173" i="9"/>
  <c r="E173" i="3" s="1"/>
  <c r="E159" i="9"/>
  <c r="E159" i="3" s="1"/>
  <c r="E153" i="9"/>
  <c r="E153" i="3" s="1"/>
  <c r="E144" i="9"/>
  <c r="E144" i="3" s="1"/>
  <c r="E141" i="9"/>
  <c r="E141" i="3" s="1"/>
  <c r="E115" i="9"/>
  <c r="E115" i="3" s="1"/>
  <c r="E106" i="9"/>
  <c r="E106" i="3" s="1"/>
  <c r="E103" i="9"/>
  <c r="E103" i="3" s="1"/>
  <c r="E73" i="9"/>
  <c r="E73" i="3" s="1"/>
  <c r="E23" i="9"/>
  <c r="E23" i="3" s="1"/>
  <c r="E16" i="9"/>
  <c r="E16" i="3" s="1"/>
  <c r="E13" i="9"/>
  <c r="E13" i="3" s="1"/>
  <c r="E279" i="9"/>
  <c r="E279" i="3" s="1"/>
  <c r="E276" i="9"/>
  <c r="E276" i="3" s="1"/>
  <c r="E244" i="9"/>
  <c r="E244" i="3" s="1"/>
  <c r="E212" i="9"/>
  <c r="E212" i="3" s="1"/>
  <c r="E20" i="9"/>
  <c r="E20" i="3" s="1"/>
  <c r="E4" i="9"/>
  <c r="E4" i="3" s="1"/>
  <c r="E328" i="9"/>
  <c r="E328" i="3" s="1"/>
  <c r="E312" i="9"/>
  <c r="E312" i="3" s="1"/>
  <c r="E216" i="9"/>
  <c r="E216" i="3" s="1"/>
  <c r="E152" i="9"/>
  <c r="E152" i="3" s="1"/>
  <c r="E136" i="9"/>
  <c r="E136" i="3" s="1"/>
  <c r="E120" i="9"/>
  <c r="E104" i="9"/>
  <c r="E104" i="3" s="1"/>
  <c r="E88" i="9"/>
  <c r="E88" i="3" s="1"/>
  <c r="E72" i="9"/>
  <c r="E72" i="3" s="1"/>
  <c r="E56" i="9"/>
  <c r="E56" i="3" s="1"/>
  <c r="E40" i="9"/>
  <c r="E40" i="3" s="1"/>
  <c r="E24" i="9"/>
  <c r="E24" i="3" s="1"/>
  <c r="E8" i="9"/>
  <c r="E8" i="3" s="1"/>
  <c r="E335" i="9"/>
  <c r="E335" i="3" s="1"/>
  <c r="E183" i="9"/>
  <c r="E183" i="3" s="1"/>
  <c r="E308" i="9"/>
  <c r="E308" i="3" s="1"/>
  <c r="E292" i="9"/>
  <c r="E292" i="3" s="1"/>
  <c r="E164" i="9"/>
  <c r="E164" i="3" s="1"/>
  <c r="E132" i="9"/>
  <c r="E132" i="3" s="1"/>
  <c r="E116" i="9"/>
  <c r="E116" i="3" s="1"/>
  <c r="E84" i="9"/>
  <c r="E84" i="3" s="1"/>
  <c r="E296" i="9"/>
  <c r="E296" i="3" s="1"/>
  <c r="E280" i="9"/>
  <c r="E280" i="3" s="1"/>
  <c r="E264" i="9"/>
  <c r="E264" i="3" s="1"/>
  <c r="E140" i="9"/>
  <c r="E140" i="3" s="1"/>
  <c r="E124" i="9"/>
  <c r="E124" i="3" s="1"/>
  <c r="E108" i="9"/>
  <c r="E108" i="3" s="1"/>
  <c r="E92" i="9"/>
  <c r="E92" i="3" s="1"/>
  <c r="E76" i="9"/>
  <c r="E76" i="3" s="1"/>
  <c r="E60" i="9"/>
  <c r="E60" i="3" s="1"/>
  <c r="E44" i="9"/>
  <c r="E44" i="3" s="1"/>
  <c r="E28" i="9"/>
  <c r="E28" i="3" s="1"/>
  <c r="E12" i="9"/>
  <c r="E12" i="3" s="1"/>
  <c r="E324" i="9"/>
  <c r="E324" i="3" s="1"/>
  <c r="E260" i="9"/>
  <c r="E260" i="3" s="1"/>
  <c r="E228" i="9"/>
  <c r="E228" i="3" s="1"/>
  <c r="E196" i="9"/>
  <c r="E196" i="3" s="1"/>
  <c r="E180" i="9"/>
  <c r="E180" i="3" s="1"/>
  <c r="E148" i="9"/>
  <c r="E148" i="3" s="1"/>
  <c r="E100" i="9"/>
  <c r="E100" i="3" s="1"/>
  <c r="E68" i="9"/>
  <c r="E68" i="3" s="1"/>
  <c r="E52" i="9"/>
  <c r="E52" i="3" s="1"/>
  <c r="E36" i="9"/>
  <c r="E36" i="3" s="1"/>
  <c r="E248" i="9"/>
  <c r="E248" i="3" s="1"/>
  <c r="E232" i="9"/>
  <c r="E232" i="3" s="1"/>
  <c r="E200" i="9"/>
  <c r="E200" i="3" s="1"/>
  <c r="E184" i="9"/>
  <c r="E184" i="3" s="1"/>
  <c r="E168" i="9"/>
  <c r="E168" i="3" s="1"/>
  <c r="E339" i="9"/>
  <c r="E339" i="3" s="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E1010" i="3"/>
  <c r="E1011" i="3"/>
  <c r="E1012" i="3"/>
  <c r="E1013" i="3"/>
  <c r="E1014" i="3"/>
  <c r="E1015" i="3"/>
  <c r="E1016" i="3"/>
  <c r="E1017" i="3"/>
  <c r="E1018" i="3"/>
  <c r="E1019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C17" i="29"/>
  <c r="D17" i="29"/>
  <c r="E17" i="29"/>
  <c r="E7" i="29"/>
  <c r="E8" i="29"/>
  <c r="E9" i="29"/>
  <c r="E10" i="29"/>
  <c r="E11" i="29"/>
  <c r="E12" i="29"/>
  <c r="E13" i="29"/>
  <c r="E14" i="29"/>
  <c r="E15" i="29"/>
  <c r="E16" i="29"/>
  <c r="E6" i="29"/>
  <c r="K13" i="28"/>
  <c r="C17" i="28" s="1"/>
  <c r="J13" i="28"/>
  <c r="AA13" i="4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804" i="3"/>
  <c r="Z13" i="4"/>
  <c r="A15" i="4" l="1"/>
  <c r="A15" i="28"/>
  <c r="K630" i="3"/>
  <c r="K631" i="3"/>
  <c r="K801" i="3"/>
  <c r="K802" i="3"/>
  <c r="K803" i="3"/>
  <c r="A391" i="9"/>
  <c r="K702" i="3"/>
  <c r="K703" i="3"/>
  <c r="K704" i="3"/>
  <c r="K705" i="3"/>
  <c r="K706" i="3"/>
  <c r="K707" i="3"/>
  <c r="K708" i="3"/>
  <c r="K709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A216" i="9" l="1"/>
  <c r="A215" i="9"/>
  <c r="A390" i="9"/>
  <c r="A389" i="9"/>
  <c r="K427" i="3"/>
  <c r="K428" i="3"/>
  <c r="K429" i="3"/>
  <c r="K430" i="3"/>
  <c r="K431" i="3"/>
  <c r="K432" i="3"/>
  <c r="K433" i="3"/>
  <c r="K434" i="3"/>
  <c r="K435" i="3"/>
  <c r="K436" i="3"/>
  <c r="K437" i="3"/>
  <c r="K438" i="3"/>
  <c r="G439" i="3"/>
  <c r="K439" i="3" s="1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426" i="3"/>
  <c r="A120" i="9"/>
  <c r="I13" i="27"/>
  <c r="C17" i="27" s="1"/>
  <c r="H13" i="27"/>
  <c r="A141" i="9"/>
  <c r="A143" i="9"/>
  <c r="A145" i="9"/>
  <c r="H2" i="3"/>
  <c r="B428" i="3" l="1"/>
  <c r="B432" i="3"/>
  <c r="B436" i="3"/>
  <c r="B440" i="3"/>
  <c r="B444" i="3"/>
  <c r="B448" i="3"/>
  <c r="B452" i="3"/>
  <c r="B456" i="3"/>
  <c r="B460" i="3"/>
  <c r="B464" i="3"/>
  <c r="B468" i="3"/>
  <c r="B472" i="3"/>
  <c r="B476" i="3"/>
  <c r="B480" i="3"/>
  <c r="B484" i="3"/>
  <c r="B488" i="3"/>
  <c r="B492" i="3"/>
  <c r="B496" i="3"/>
  <c r="B500" i="3"/>
  <c r="B504" i="3"/>
  <c r="B508" i="3"/>
  <c r="B511" i="3"/>
  <c r="B515" i="3"/>
  <c r="B519" i="3"/>
  <c r="B523" i="3"/>
  <c r="B527" i="3"/>
  <c r="B531" i="3"/>
  <c r="B535" i="3"/>
  <c r="B539" i="3"/>
  <c r="B543" i="3"/>
  <c r="B547" i="3"/>
  <c r="B551" i="3"/>
  <c r="B555" i="3"/>
  <c r="B559" i="3"/>
  <c r="B563" i="3"/>
  <c r="B567" i="3"/>
  <c r="B571" i="3"/>
  <c r="B575" i="3"/>
  <c r="B579" i="3"/>
  <c r="B583" i="3"/>
  <c r="B587" i="3"/>
  <c r="B591" i="3"/>
  <c r="B595" i="3"/>
  <c r="B599" i="3"/>
  <c r="B603" i="3"/>
  <c r="B607" i="3"/>
  <c r="B611" i="3"/>
  <c r="B615" i="3"/>
  <c r="B619" i="3"/>
  <c r="B623" i="3"/>
  <c r="B627" i="3"/>
  <c r="B631" i="3"/>
  <c r="B635" i="3"/>
  <c r="B639" i="3"/>
  <c r="B643" i="3"/>
  <c r="B647" i="3"/>
  <c r="B651" i="3"/>
  <c r="B655" i="3"/>
  <c r="B659" i="3"/>
  <c r="B663" i="3"/>
  <c r="B667" i="3"/>
  <c r="B671" i="3"/>
  <c r="B675" i="3"/>
  <c r="B679" i="3"/>
  <c r="B683" i="3"/>
  <c r="B687" i="3"/>
  <c r="B691" i="3"/>
  <c r="B695" i="3"/>
  <c r="B699" i="3"/>
  <c r="B703" i="3"/>
  <c r="B707" i="3"/>
  <c r="B711" i="3"/>
  <c r="B715" i="3"/>
  <c r="B719" i="3"/>
  <c r="B723" i="3"/>
  <c r="B727" i="3"/>
  <c r="B731" i="3"/>
  <c r="B735" i="3"/>
  <c r="B739" i="3"/>
  <c r="B743" i="3"/>
  <c r="B747" i="3"/>
  <c r="B751" i="3"/>
  <c r="B755" i="3"/>
  <c r="B759" i="3"/>
  <c r="B763" i="3"/>
  <c r="B767" i="3"/>
  <c r="B771" i="3"/>
  <c r="B775" i="3"/>
  <c r="B779" i="3"/>
  <c r="B783" i="3"/>
  <c r="B787" i="3"/>
  <c r="B791" i="3"/>
  <c r="B795" i="3"/>
  <c r="B799" i="3"/>
  <c r="B803" i="3"/>
  <c r="B807" i="3"/>
  <c r="B811" i="3"/>
  <c r="B815" i="3"/>
  <c r="B819" i="3"/>
  <c r="B823" i="3"/>
  <c r="B827" i="3"/>
  <c r="B831" i="3"/>
  <c r="B835" i="3"/>
  <c r="B839" i="3"/>
  <c r="B843" i="3"/>
  <c r="B847" i="3"/>
  <c r="B851" i="3"/>
  <c r="B855" i="3"/>
  <c r="B859" i="3"/>
  <c r="B863" i="3"/>
  <c r="B867" i="3"/>
  <c r="B871" i="3"/>
  <c r="B875" i="3"/>
  <c r="B879" i="3"/>
  <c r="B883" i="3"/>
  <c r="B887" i="3"/>
  <c r="B891" i="3"/>
  <c r="B895" i="3"/>
  <c r="B899" i="3"/>
  <c r="B903" i="3"/>
  <c r="B907" i="3"/>
  <c r="B911" i="3"/>
  <c r="B915" i="3"/>
  <c r="B919" i="3"/>
  <c r="B923" i="3"/>
  <c r="B927" i="3"/>
  <c r="B931" i="3"/>
  <c r="B935" i="3"/>
  <c r="B939" i="3"/>
  <c r="B943" i="3"/>
  <c r="B947" i="3"/>
  <c r="B951" i="3"/>
  <c r="B955" i="3"/>
  <c r="B959" i="3"/>
  <c r="B429" i="3"/>
  <c r="B433" i="3"/>
  <c r="B437" i="3"/>
  <c r="B441" i="3"/>
  <c r="B445" i="3"/>
  <c r="B449" i="3"/>
  <c r="B453" i="3"/>
  <c r="B457" i="3"/>
  <c r="B461" i="3"/>
  <c r="B465" i="3"/>
  <c r="B469" i="3"/>
  <c r="B473" i="3"/>
  <c r="B477" i="3"/>
  <c r="B481" i="3"/>
  <c r="B485" i="3"/>
  <c r="B489" i="3"/>
  <c r="B493" i="3"/>
  <c r="B497" i="3"/>
  <c r="B501" i="3"/>
  <c r="B505" i="3"/>
  <c r="B509" i="3"/>
  <c r="B512" i="3"/>
  <c r="B516" i="3"/>
  <c r="B520" i="3"/>
  <c r="B524" i="3"/>
  <c r="B528" i="3"/>
  <c r="B532" i="3"/>
  <c r="B536" i="3"/>
  <c r="B540" i="3"/>
  <c r="B544" i="3"/>
  <c r="B548" i="3"/>
  <c r="B552" i="3"/>
  <c r="B556" i="3"/>
  <c r="B560" i="3"/>
  <c r="B564" i="3"/>
  <c r="B568" i="3"/>
  <c r="B572" i="3"/>
  <c r="B576" i="3"/>
  <c r="B580" i="3"/>
  <c r="B584" i="3"/>
  <c r="B588" i="3"/>
  <c r="B592" i="3"/>
  <c r="B596" i="3"/>
  <c r="B600" i="3"/>
  <c r="B604" i="3"/>
  <c r="B608" i="3"/>
  <c r="B612" i="3"/>
  <c r="B616" i="3"/>
  <c r="B620" i="3"/>
  <c r="B624" i="3"/>
  <c r="B628" i="3"/>
  <c r="B632" i="3"/>
  <c r="B636" i="3"/>
  <c r="B640" i="3"/>
  <c r="B644" i="3"/>
  <c r="B648" i="3"/>
  <c r="B652" i="3"/>
  <c r="B656" i="3"/>
  <c r="B660" i="3"/>
  <c r="B664" i="3"/>
  <c r="B668" i="3"/>
  <c r="B672" i="3"/>
  <c r="B676" i="3"/>
  <c r="B680" i="3"/>
  <c r="B684" i="3"/>
  <c r="B688" i="3"/>
  <c r="B692" i="3"/>
  <c r="B696" i="3"/>
  <c r="B700" i="3"/>
  <c r="B704" i="3"/>
  <c r="B708" i="3"/>
  <c r="B712" i="3"/>
  <c r="B716" i="3"/>
  <c r="B720" i="3"/>
  <c r="B724" i="3"/>
  <c r="B728" i="3"/>
  <c r="B732" i="3"/>
  <c r="B736" i="3"/>
  <c r="B740" i="3"/>
  <c r="B744" i="3"/>
  <c r="B748" i="3"/>
  <c r="B752" i="3"/>
  <c r="B756" i="3"/>
  <c r="B760" i="3"/>
  <c r="B764" i="3"/>
  <c r="B768" i="3"/>
  <c r="B772" i="3"/>
  <c r="B776" i="3"/>
  <c r="B780" i="3"/>
  <c r="B784" i="3"/>
  <c r="B788" i="3"/>
  <c r="B792" i="3"/>
  <c r="B796" i="3"/>
  <c r="B800" i="3"/>
  <c r="B804" i="3"/>
  <c r="B808" i="3"/>
  <c r="B812" i="3"/>
  <c r="B816" i="3"/>
  <c r="B820" i="3"/>
  <c r="B824" i="3"/>
  <c r="B828" i="3"/>
  <c r="B832" i="3"/>
  <c r="B836" i="3"/>
  <c r="B840" i="3"/>
  <c r="B844" i="3"/>
  <c r="B848" i="3"/>
  <c r="B852" i="3"/>
  <c r="B856" i="3"/>
  <c r="B860" i="3"/>
  <c r="B864" i="3"/>
  <c r="B868" i="3"/>
  <c r="B872" i="3"/>
  <c r="B876" i="3"/>
  <c r="B880" i="3"/>
  <c r="B884" i="3"/>
  <c r="B888" i="3"/>
  <c r="B892" i="3"/>
  <c r="B896" i="3"/>
  <c r="B900" i="3"/>
  <c r="B904" i="3"/>
  <c r="B908" i="3"/>
  <c r="B912" i="3"/>
  <c r="B916" i="3"/>
  <c r="B920" i="3"/>
  <c r="B924" i="3"/>
  <c r="B928" i="3"/>
  <c r="B932" i="3"/>
  <c r="B936" i="3"/>
  <c r="B940" i="3"/>
  <c r="B944" i="3"/>
  <c r="B948" i="3"/>
  <c r="B952" i="3"/>
  <c r="B956" i="3"/>
  <c r="B960" i="3"/>
  <c r="B964" i="3"/>
  <c r="B968" i="3"/>
  <c r="B972" i="3"/>
  <c r="B426" i="3"/>
  <c r="B430" i="3"/>
  <c r="B434" i="3"/>
  <c r="B438" i="3"/>
  <c r="B442" i="3"/>
  <c r="B446" i="3"/>
  <c r="B450" i="3"/>
  <c r="B454" i="3"/>
  <c r="B458" i="3"/>
  <c r="B462" i="3"/>
  <c r="B466" i="3"/>
  <c r="B470" i="3"/>
  <c r="B474" i="3"/>
  <c r="B478" i="3"/>
  <c r="B482" i="3"/>
  <c r="B486" i="3"/>
  <c r="B490" i="3"/>
  <c r="B494" i="3"/>
  <c r="B498" i="3"/>
  <c r="B502" i="3"/>
  <c r="B506" i="3"/>
  <c r="B510" i="3"/>
  <c r="B513" i="3"/>
  <c r="B517" i="3"/>
  <c r="B521" i="3"/>
  <c r="B525" i="3"/>
  <c r="B529" i="3"/>
  <c r="B533" i="3"/>
  <c r="B537" i="3"/>
  <c r="B541" i="3"/>
  <c r="B545" i="3"/>
  <c r="B549" i="3"/>
  <c r="B553" i="3"/>
  <c r="B557" i="3"/>
  <c r="B561" i="3"/>
  <c r="B565" i="3"/>
  <c r="B569" i="3"/>
  <c r="B573" i="3"/>
  <c r="B577" i="3"/>
  <c r="B581" i="3"/>
  <c r="B585" i="3"/>
  <c r="B589" i="3"/>
  <c r="B593" i="3"/>
  <c r="B597" i="3"/>
  <c r="B601" i="3"/>
  <c r="B605" i="3"/>
  <c r="B609" i="3"/>
  <c r="B613" i="3"/>
  <c r="B617" i="3"/>
  <c r="B621" i="3"/>
  <c r="B625" i="3"/>
  <c r="B629" i="3"/>
  <c r="B633" i="3"/>
  <c r="B637" i="3"/>
  <c r="B641" i="3"/>
  <c r="B645" i="3"/>
  <c r="B649" i="3"/>
  <c r="B653" i="3"/>
  <c r="B657" i="3"/>
  <c r="B661" i="3"/>
  <c r="B665" i="3"/>
  <c r="B669" i="3"/>
  <c r="B673" i="3"/>
  <c r="B677" i="3"/>
  <c r="B681" i="3"/>
  <c r="B685" i="3"/>
  <c r="B689" i="3"/>
  <c r="B693" i="3"/>
  <c r="B697" i="3"/>
  <c r="B701" i="3"/>
  <c r="B705" i="3"/>
  <c r="B709" i="3"/>
  <c r="B713" i="3"/>
  <c r="B717" i="3"/>
  <c r="B721" i="3"/>
  <c r="B725" i="3"/>
  <c r="B729" i="3"/>
  <c r="B733" i="3"/>
  <c r="B737" i="3"/>
  <c r="B741" i="3"/>
  <c r="B745" i="3"/>
  <c r="B749" i="3"/>
  <c r="B753" i="3"/>
  <c r="B757" i="3"/>
  <c r="B761" i="3"/>
  <c r="B765" i="3"/>
  <c r="B769" i="3"/>
  <c r="B773" i="3"/>
  <c r="B777" i="3"/>
  <c r="B781" i="3"/>
  <c r="B785" i="3"/>
  <c r="B789" i="3"/>
  <c r="B793" i="3"/>
  <c r="B797" i="3"/>
  <c r="B801" i="3"/>
  <c r="B805" i="3"/>
  <c r="B809" i="3"/>
  <c r="B813" i="3"/>
  <c r="B817" i="3"/>
  <c r="B821" i="3"/>
  <c r="B825" i="3"/>
  <c r="B829" i="3"/>
  <c r="B833" i="3"/>
  <c r="B837" i="3"/>
  <c r="B841" i="3"/>
  <c r="B845" i="3"/>
  <c r="B849" i="3"/>
  <c r="B853" i="3"/>
  <c r="B857" i="3"/>
  <c r="B861" i="3"/>
  <c r="B865" i="3"/>
  <c r="B869" i="3"/>
  <c r="B873" i="3"/>
  <c r="B877" i="3"/>
  <c r="B881" i="3"/>
  <c r="B885" i="3"/>
  <c r="B889" i="3"/>
  <c r="B893" i="3"/>
  <c r="B897" i="3"/>
  <c r="B901" i="3"/>
  <c r="B905" i="3"/>
  <c r="B909" i="3"/>
  <c r="B913" i="3"/>
  <c r="B917" i="3"/>
  <c r="B921" i="3"/>
  <c r="B925" i="3"/>
  <c r="B929" i="3"/>
  <c r="B933" i="3"/>
  <c r="B937" i="3"/>
  <c r="B941" i="3"/>
  <c r="B945" i="3"/>
  <c r="B949" i="3"/>
  <c r="B953" i="3"/>
  <c r="B957" i="3"/>
  <c r="B961" i="3"/>
  <c r="B965" i="3"/>
  <c r="B969" i="3"/>
  <c r="B973" i="3"/>
  <c r="B427" i="3"/>
  <c r="B443" i="3"/>
  <c r="B459" i="3"/>
  <c r="B475" i="3"/>
  <c r="B491" i="3"/>
  <c r="B507" i="3"/>
  <c r="B522" i="3"/>
  <c r="B538" i="3"/>
  <c r="B554" i="3"/>
  <c r="B570" i="3"/>
  <c r="B586" i="3"/>
  <c r="B602" i="3"/>
  <c r="B618" i="3"/>
  <c r="B634" i="3"/>
  <c r="B650" i="3"/>
  <c r="B666" i="3"/>
  <c r="B682" i="3"/>
  <c r="B698" i="3"/>
  <c r="B714" i="3"/>
  <c r="B730" i="3"/>
  <c r="B746" i="3"/>
  <c r="B762" i="3"/>
  <c r="B778" i="3"/>
  <c r="B794" i="3"/>
  <c r="B810" i="3"/>
  <c r="B826" i="3"/>
  <c r="B842" i="3"/>
  <c r="B858" i="3"/>
  <c r="B874" i="3"/>
  <c r="B890" i="3"/>
  <c r="B906" i="3"/>
  <c r="B922" i="3"/>
  <c r="B938" i="3"/>
  <c r="B954" i="3"/>
  <c r="B966" i="3"/>
  <c r="B974" i="3"/>
  <c r="B978" i="3"/>
  <c r="B982" i="3"/>
  <c r="B986" i="3"/>
  <c r="B990" i="3"/>
  <c r="B994" i="3"/>
  <c r="B998" i="3"/>
  <c r="B1002" i="3"/>
  <c r="B1006" i="3"/>
  <c r="B1010" i="3"/>
  <c r="B1014" i="3"/>
  <c r="B1018" i="3"/>
  <c r="B1022" i="3"/>
  <c r="B1026" i="3"/>
  <c r="B1030" i="3"/>
  <c r="B1034" i="3"/>
  <c r="B1038" i="3"/>
  <c r="B1042" i="3"/>
  <c r="B1046" i="3"/>
  <c r="B1050" i="3"/>
  <c r="B1054" i="3"/>
  <c r="B1058" i="3"/>
  <c r="B1062" i="3"/>
  <c r="B1066" i="3"/>
  <c r="B1070" i="3"/>
  <c r="B1074" i="3"/>
  <c r="B1078" i="3"/>
  <c r="B1082" i="3"/>
  <c r="B1086" i="3"/>
  <c r="B1090" i="3"/>
  <c r="B1094" i="3"/>
  <c r="B1098" i="3"/>
  <c r="B1102" i="3"/>
  <c r="B1106" i="3"/>
  <c r="B1110" i="3"/>
  <c r="B1114" i="3"/>
  <c r="B1118" i="3"/>
  <c r="B1122" i="3"/>
  <c r="B1126" i="3"/>
  <c r="B1130" i="3"/>
  <c r="B1134" i="3"/>
  <c r="B1138" i="3"/>
  <c r="B1142" i="3"/>
  <c r="B1146" i="3"/>
  <c r="B1150" i="3"/>
  <c r="B1154" i="3"/>
  <c r="B1158" i="3"/>
  <c r="B1162" i="3"/>
  <c r="B1166" i="3"/>
  <c r="B1170" i="3"/>
  <c r="B1174" i="3"/>
  <c r="B1178" i="3"/>
  <c r="B1182" i="3"/>
  <c r="B1186" i="3"/>
  <c r="B1190" i="3"/>
  <c r="B1194" i="3"/>
  <c r="B1198" i="3"/>
  <c r="B1202" i="3"/>
  <c r="B1206" i="3"/>
  <c r="B1210" i="3"/>
  <c r="B1214" i="3"/>
  <c r="B1218" i="3"/>
  <c r="B1222" i="3"/>
  <c r="B1226" i="3"/>
  <c r="B1230" i="3"/>
  <c r="B1234" i="3"/>
  <c r="B1238" i="3"/>
  <c r="B1242" i="3"/>
  <c r="B1246" i="3"/>
  <c r="B1250" i="3"/>
  <c r="B1254" i="3"/>
  <c r="B1258" i="3"/>
  <c r="B1262" i="3"/>
  <c r="B1266" i="3"/>
  <c r="B1270" i="3"/>
  <c r="B1274" i="3"/>
  <c r="B1278" i="3"/>
  <c r="B1282" i="3"/>
  <c r="B1286" i="3"/>
  <c r="B1290" i="3"/>
  <c r="B1294" i="3"/>
  <c r="B1298" i="3"/>
  <c r="B1302" i="3"/>
  <c r="B1306" i="3"/>
  <c r="B1310" i="3"/>
  <c r="B1314" i="3"/>
  <c r="B1318" i="3"/>
  <c r="B1322" i="3"/>
  <c r="B1326" i="3"/>
  <c r="B1330" i="3"/>
  <c r="B1334" i="3"/>
  <c r="B1338" i="3"/>
  <c r="B1342" i="3"/>
  <c r="B1346" i="3"/>
  <c r="B1350" i="3"/>
  <c r="B1354" i="3"/>
  <c r="B1358" i="3"/>
  <c r="B1362" i="3"/>
  <c r="B1366" i="3"/>
  <c r="B1370" i="3"/>
  <c r="B431" i="3"/>
  <c r="B447" i="3"/>
  <c r="B463" i="3"/>
  <c r="B479" i="3"/>
  <c r="B495" i="3"/>
  <c r="B526" i="3"/>
  <c r="B542" i="3"/>
  <c r="A542" i="3" s="1"/>
  <c r="B558" i="3"/>
  <c r="B574" i="3"/>
  <c r="B590" i="3"/>
  <c r="B606" i="3"/>
  <c r="A606" i="3" s="1"/>
  <c r="B622" i="3"/>
  <c r="B638" i="3"/>
  <c r="B654" i="3"/>
  <c r="A654" i="3" s="1"/>
  <c r="B670" i="3"/>
  <c r="A670" i="3" s="1"/>
  <c r="B686" i="3"/>
  <c r="B702" i="3"/>
  <c r="B718" i="3"/>
  <c r="A718" i="3" s="1"/>
  <c r="B734" i="3"/>
  <c r="A734" i="3" s="1"/>
  <c r="B750" i="3"/>
  <c r="B766" i="3"/>
  <c r="B782" i="3"/>
  <c r="B798" i="3"/>
  <c r="A798" i="3" s="1"/>
  <c r="B814" i="3"/>
  <c r="B830" i="3"/>
  <c r="B846" i="3"/>
  <c r="B862" i="3"/>
  <c r="A862" i="3" s="1"/>
  <c r="B878" i="3"/>
  <c r="B894" i="3"/>
  <c r="A894" i="3" s="1"/>
  <c r="B910" i="3"/>
  <c r="B926" i="3"/>
  <c r="B942" i="3"/>
  <c r="B958" i="3"/>
  <c r="B967" i="3"/>
  <c r="A967" i="3" s="1"/>
  <c r="B975" i="3"/>
  <c r="A975" i="3" s="1"/>
  <c r="B979" i="3"/>
  <c r="B983" i="3"/>
  <c r="B987" i="3"/>
  <c r="A987" i="3" s="1"/>
  <c r="B991" i="3"/>
  <c r="A991" i="3" s="1"/>
  <c r="B995" i="3"/>
  <c r="B999" i="3"/>
  <c r="A999" i="3" s="1"/>
  <c r="B1003" i="3"/>
  <c r="B1007" i="3"/>
  <c r="A1007" i="3" s="1"/>
  <c r="B1011" i="3"/>
  <c r="B1015" i="3"/>
  <c r="B1019" i="3"/>
  <c r="B1023" i="3"/>
  <c r="A1023" i="3" s="1"/>
  <c r="B1027" i="3"/>
  <c r="B1031" i="3"/>
  <c r="B1035" i="3"/>
  <c r="A1035" i="3" s="1"/>
  <c r="B1039" i="3"/>
  <c r="A1039" i="3" s="1"/>
  <c r="B1043" i="3"/>
  <c r="B1047" i="3"/>
  <c r="A1047" i="3" s="1"/>
  <c r="B1051" i="3"/>
  <c r="A1051" i="3" s="1"/>
  <c r="B1055" i="3"/>
  <c r="A1055" i="3" s="1"/>
  <c r="B1059" i="3"/>
  <c r="B1063" i="3"/>
  <c r="B1067" i="3"/>
  <c r="B1071" i="3"/>
  <c r="A1071" i="3" s="1"/>
  <c r="B435" i="3"/>
  <c r="B451" i="3"/>
  <c r="B467" i="3"/>
  <c r="A467" i="3" s="1"/>
  <c r="B483" i="3"/>
  <c r="A483" i="3" s="1"/>
  <c r="B499" i="3"/>
  <c r="B514" i="3"/>
  <c r="A514" i="3" s="1"/>
  <c r="B530" i="3"/>
  <c r="B546" i="3"/>
  <c r="B562" i="3"/>
  <c r="B578" i="3"/>
  <c r="B594" i="3"/>
  <c r="B610" i="3"/>
  <c r="A610" i="3" s="1"/>
  <c r="B626" i="3"/>
  <c r="B642" i="3"/>
  <c r="A642" i="3" s="1"/>
  <c r="B658" i="3"/>
  <c r="B674" i="3"/>
  <c r="A674" i="3" s="1"/>
  <c r="B690" i="3"/>
  <c r="B706" i="3"/>
  <c r="B722" i="3"/>
  <c r="B738" i="3"/>
  <c r="A738" i="3" s="1"/>
  <c r="B754" i="3"/>
  <c r="B770" i="3"/>
  <c r="B786" i="3"/>
  <c r="B802" i="3"/>
  <c r="A802" i="3" s="1"/>
  <c r="B818" i="3"/>
  <c r="B834" i="3"/>
  <c r="B850" i="3"/>
  <c r="A850" i="3" s="1"/>
  <c r="B866" i="3"/>
  <c r="A866" i="3" s="1"/>
  <c r="B882" i="3"/>
  <c r="B898" i="3"/>
  <c r="B914" i="3"/>
  <c r="B930" i="3"/>
  <c r="A930" i="3" s="1"/>
  <c r="B946" i="3"/>
  <c r="B962" i="3"/>
  <c r="B970" i="3"/>
  <c r="A970" i="3" s="1"/>
  <c r="B976" i="3"/>
  <c r="B980" i="3"/>
  <c r="B984" i="3"/>
  <c r="B988" i="3"/>
  <c r="B992" i="3"/>
  <c r="B996" i="3"/>
  <c r="B1000" i="3"/>
  <c r="B1004" i="3"/>
  <c r="B1008" i="3"/>
  <c r="B1012" i="3"/>
  <c r="B1016" i="3"/>
  <c r="B1020" i="3"/>
  <c r="B1024" i="3"/>
  <c r="B1028" i="3"/>
  <c r="B1032" i="3"/>
  <c r="B1036" i="3"/>
  <c r="B1040" i="3"/>
  <c r="B1044" i="3"/>
  <c r="B1048" i="3"/>
  <c r="B1052" i="3"/>
  <c r="B1056" i="3"/>
  <c r="B1060" i="3"/>
  <c r="B1064" i="3"/>
  <c r="B1068" i="3"/>
  <c r="B1072" i="3"/>
  <c r="B1076" i="3"/>
  <c r="B1080" i="3"/>
  <c r="B1084" i="3"/>
  <c r="B1088" i="3"/>
  <c r="B1092" i="3"/>
  <c r="B1096" i="3"/>
  <c r="B1100" i="3"/>
  <c r="B1104" i="3"/>
  <c r="B1108" i="3"/>
  <c r="B1112" i="3"/>
  <c r="B1116" i="3"/>
  <c r="B1120" i="3"/>
  <c r="B1124" i="3"/>
  <c r="B1128" i="3"/>
  <c r="B1132" i="3"/>
  <c r="B1136" i="3"/>
  <c r="B1140" i="3"/>
  <c r="B1144" i="3"/>
  <c r="B1148" i="3"/>
  <c r="B1152" i="3"/>
  <c r="B1156" i="3"/>
  <c r="B1160" i="3"/>
  <c r="B1164" i="3"/>
  <c r="B1168" i="3"/>
  <c r="B1172" i="3"/>
  <c r="B1176" i="3"/>
  <c r="B1180" i="3"/>
  <c r="B1184" i="3"/>
  <c r="B1188" i="3"/>
  <c r="B1192" i="3"/>
  <c r="B1196" i="3"/>
  <c r="B1200" i="3"/>
  <c r="B1204" i="3"/>
  <c r="B1208" i="3"/>
  <c r="B1212" i="3"/>
  <c r="B1216" i="3"/>
  <c r="B1220" i="3"/>
  <c r="B1224" i="3"/>
  <c r="B1228" i="3"/>
  <c r="A1228" i="3" s="1"/>
  <c r="B1232" i="3"/>
  <c r="A1232" i="3" s="1"/>
  <c r="B1236" i="3"/>
  <c r="B1240" i="3"/>
  <c r="B1244" i="3"/>
  <c r="B1248" i="3"/>
  <c r="A1248" i="3" s="1"/>
  <c r="B1252" i="3"/>
  <c r="A1252" i="3" s="1"/>
  <c r="B1256" i="3"/>
  <c r="B439" i="3"/>
  <c r="A439" i="3" s="1"/>
  <c r="B503" i="3"/>
  <c r="A503" i="3" s="1"/>
  <c r="B566" i="3"/>
  <c r="B630" i="3"/>
  <c r="B694" i="3"/>
  <c r="B758" i="3"/>
  <c r="B822" i="3"/>
  <c r="B886" i="3"/>
  <c r="B950" i="3"/>
  <c r="B981" i="3"/>
  <c r="B997" i="3"/>
  <c r="A997" i="3" s="1"/>
  <c r="B1013" i="3"/>
  <c r="B1029" i="3"/>
  <c r="A1029" i="3" s="1"/>
  <c r="B1045" i="3"/>
  <c r="B1061" i="3"/>
  <c r="A1061" i="3" s="1"/>
  <c r="B1075" i="3"/>
  <c r="A1075" i="3" s="1"/>
  <c r="B1083" i="3"/>
  <c r="A1083" i="3" s="1"/>
  <c r="B1091" i="3"/>
  <c r="B1099" i="3"/>
  <c r="B1107" i="3"/>
  <c r="A1107" i="3" s="1"/>
  <c r="B1115" i="3"/>
  <c r="B1123" i="3"/>
  <c r="B1131" i="3"/>
  <c r="A1131" i="3" s="1"/>
  <c r="B1139" i="3"/>
  <c r="B1147" i="3"/>
  <c r="B1155" i="3"/>
  <c r="B1163" i="3"/>
  <c r="A1163" i="3" s="1"/>
  <c r="B1171" i="3"/>
  <c r="B1179" i="3"/>
  <c r="B1187" i="3"/>
  <c r="B1195" i="3"/>
  <c r="A1195" i="3" s="1"/>
  <c r="B1203" i="3"/>
  <c r="B1211" i="3"/>
  <c r="B1219" i="3"/>
  <c r="B1227" i="3"/>
  <c r="A1227" i="3" s="1"/>
  <c r="B1235" i="3"/>
  <c r="B1243" i="3"/>
  <c r="B1251" i="3"/>
  <c r="B1259" i="3"/>
  <c r="A1259" i="3" s="1"/>
  <c r="B1264" i="3"/>
  <c r="A1264" i="3" s="1"/>
  <c r="B1269" i="3"/>
  <c r="A1269" i="3" s="1"/>
  <c r="B1275" i="3"/>
  <c r="A1275" i="3" s="1"/>
  <c r="B1280" i="3"/>
  <c r="A1280" i="3" s="1"/>
  <c r="B1285" i="3"/>
  <c r="A1285" i="3" s="1"/>
  <c r="B1291" i="3"/>
  <c r="B1296" i="3"/>
  <c r="B1301" i="3"/>
  <c r="A1301" i="3" s="1"/>
  <c r="B1307" i="3"/>
  <c r="A1307" i="3" s="1"/>
  <c r="B1312" i="3"/>
  <c r="A1312" i="3" s="1"/>
  <c r="B1317" i="3"/>
  <c r="A1317" i="3" s="1"/>
  <c r="B1323" i="3"/>
  <c r="A1323" i="3" s="1"/>
  <c r="B1328" i="3"/>
  <c r="A1328" i="3" s="1"/>
  <c r="B1333" i="3"/>
  <c r="B1339" i="3"/>
  <c r="A1339" i="3" s="1"/>
  <c r="B1344" i="3"/>
  <c r="B1349" i="3"/>
  <c r="B1355" i="3"/>
  <c r="B1360" i="3"/>
  <c r="A1360" i="3" s="1"/>
  <c r="B1365" i="3"/>
  <c r="A1365" i="3" s="1"/>
  <c r="B1371" i="3"/>
  <c r="A1371" i="3" s="1"/>
  <c r="B455" i="3"/>
  <c r="A455" i="3" s="1"/>
  <c r="B518" i="3"/>
  <c r="B582" i="3"/>
  <c r="A582" i="3" s="1"/>
  <c r="B646" i="3"/>
  <c r="A646" i="3" s="1"/>
  <c r="B710" i="3"/>
  <c r="B774" i="3"/>
  <c r="A774" i="3" s="1"/>
  <c r="B838" i="3"/>
  <c r="B902" i="3"/>
  <c r="A902" i="3" s="1"/>
  <c r="B963" i="3"/>
  <c r="B985" i="3"/>
  <c r="A985" i="3" s="1"/>
  <c r="B1001" i="3"/>
  <c r="A1001" i="3" s="1"/>
  <c r="B1017" i="3"/>
  <c r="A1017" i="3" s="1"/>
  <c r="B1033" i="3"/>
  <c r="B1049" i="3"/>
  <c r="A1049" i="3" s="1"/>
  <c r="B1065" i="3"/>
  <c r="B1077" i="3"/>
  <c r="A1077" i="3" s="1"/>
  <c r="B1085" i="3"/>
  <c r="B1093" i="3"/>
  <c r="B1101" i="3"/>
  <c r="B1109" i="3"/>
  <c r="A1109" i="3" s="1"/>
  <c r="B1117" i="3"/>
  <c r="A1117" i="3" s="1"/>
  <c r="B1125" i="3"/>
  <c r="A1125" i="3" s="1"/>
  <c r="B1133" i="3"/>
  <c r="B1141" i="3"/>
  <c r="A1141" i="3" s="1"/>
  <c r="B1149" i="3"/>
  <c r="A1149" i="3" s="1"/>
  <c r="B1157" i="3"/>
  <c r="A1157" i="3" s="1"/>
  <c r="B1165" i="3"/>
  <c r="A1165" i="3" s="1"/>
  <c r="B1173" i="3"/>
  <c r="B1181" i="3"/>
  <c r="A1181" i="3" s="1"/>
  <c r="B1189" i="3"/>
  <c r="A1189" i="3" s="1"/>
  <c r="B1197" i="3"/>
  <c r="A1197" i="3" s="1"/>
  <c r="B1205" i="3"/>
  <c r="A1205" i="3" s="1"/>
  <c r="B1213" i="3"/>
  <c r="A1213" i="3" s="1"/>
  <c r="B1221" i="3"/>
  <c r="A1221" i="3" s="1"/>
  <c r="B1229" i="3"/>
  <c r="A1229" i="3" s="1"/>
  <c r="B1237" i="3"/>
  <c r="A1237" i="3" s="1"/>
  <c r="B1245" i="3"/>
  <c r="B1253" i="3"/>
  <c r="A1253" i="3" s="1"/>
  <c r="B1260" i="3"/>
  <c r="A1260" i="3" s="1"/>
  <c r="B1265" i="3"/>
  <c r="A1265" i="3" s="1"/>
  <c r="B1271" i="3"/>
  <c r="A1271" i="3" s="1"/>
  <c r="B1276" i="3"/>
  <c r="B1281" i="3"/>
  <c r="B1287" i="3"/>
  <c r="A1287" i="3" s="1"/>
  <c r="B1292" i="3"/>
  <c r="A1292" i="3" s="1"/>
  <c r="B1297" i="3"/>
  <c r="B1303" i="3"/>
  <c r="A1303" i="3" s="1"/>
  <c r="B1308" i="3"/>
  <c r="B1313" i="3"/>
  <c r="B1319" i="3"/>
  <c r="A1319" i="3" s="1"/>
  <c r="B1324" i="3"/>
  <c r="A1324" i="3" s="1"/>
  <c r="B1329" i="3"/>
  <c r="A1329" i="3" s="1"/>
  <c r="B1335" i="3"/>
  <c r="A1335" i="3" s="1"/>
  <c r="B1340" i="3"/>
  <c r="A1340" i="3" s="1"/>
  <c r="B1345" i="3"/>
  <c r="B1351" i="3"/>
  <c r="B1356" i="3"/>
  <c r="A1356" i="3" s="1"/>
  <c r="B1361" i="3"/>
  <c r="A1361" i="3" s="1"/>
  <c r="B1367" i="3"/>
  <c r="A1367" i="3" s="1"/>
  <c r="B1372" i="3"/>
  <c r="A1372" i="3" s="1"/>
  <c r="B471" i="3"/>
  <c r="A471" i="3" s="1"/>
  <c r="B534" i="3"/>
  <c r="A534" i="3" s="1"/>
  <c r="B598" i="3"/>
  <c r="A598" i="3" s="1"/>
  <c r="B662" i="3"/>
  <c r="A662" i="3" s="1"/>
  <c r="B726" i="3"/>
  <c r="B790" i="3"/>
  <c r="A790" i="3" s="1"/>
  <c r="B854" i="3"/>
  <c r="A854" i="3" s="1"/>
  <c r="B918" i="3"/>
  <c r="A918" i="3" s="1"/>
  <c r="B971" i="3"/>
  <c r="A971" i="3" s="1"/>
  <c r="B989" i="3"/>
  <c r="A989" i="3" s="1"/>
  <c r="B1005" i="3"/>
  <c r="A1005" i="3" s="1"/>
  <c r="B1021" i="3"/>
  <c r="B1037" i="3"/>
  <c r="B1053" i="3"/>
  <c r="A1053" i="3" s="1"/>
  <c r="B1069" i="3"/>
  <c r="A1069" i="3" s="1"/>
  <c r="B1079" i="3"/>
  <c r="A1079" i="3" s="1"/>
  <c r="B1087" i="3"/>
  <c r="B1095" i="3"/>
  <c r="A1095" i="3" s="1"/>
  <c r="B1103" i="3"/>
  <c r="A1103" i="3" s="1"/>
  <c r="B1111" i="3"/>
  <c r="A1111" i="3" s="1"/>
  <c r="B1119" i="3"/>
  <c r="A1119" i="3" s="1"/>
  <c r="B1127" i="3"/>
  <c r="A1127" i="3" s="1"/>
  <c r="B1135" i="3"/>
  <c r="A1135" i="3" s="1"/>
  <c r="B1143" i="3"/>
  <c r="A1143" i="3" s="1"/>
  <c r="B1151" i="3"/>
  <c r="A1151" i="3" s="1"/>
  <c r="B1159" i="3"/>
  <c r="A1159" i="3" s="1"/>
  <c r="B1167" i="3"/>
  <c r="A1167" i="3" s="1"/>
  <c r="B1175" i="3"/>
  <c r="A1175" i="3" s="1"/>
  <c r="B1183" i="3"/>
  <c r="A1183" i="3" s="1"/>
  <c r="B1191" i="3"/>
  <c r="A1191" i="3" s="1"/>
  <c r="B1199" i="3"/>
  <c r="A1199" i="3" s="1"/>
  <c r="B1207" i="3"/>
  <c r="B1215" i="3"/>
  <c r="A1215" i="3" s="1"/>
  <c r="B1223" i="3"/>
  <c r="A1223" i="3" s="1"/>
  <c r="B1231" i="3"/>
  <c r="A1231" i="3" s="1"/>
  <c r="B1239" i="3"/>
  <c r="B1247" i="3"/>
  <c r="A1247" i="3" s="1"/>
  <c r="B1255" i="3"/>
  <c r="A1255" i="3" s="1"/>
  <c r="B1261" i="3"/>
  <c r="A1261" i="3" s="1"/>
  <c r="B1267" i="3"/>
  <c r="B1272" i="3"/>
  <c r="A1272" i="3" s="1"/>
  <c r="B1277" i="3"/>
  <c r="A1277" i="3" s="1"/>
  <c r="B1283" i="3"/>
  <c r="A1283" i="3" s="1"/>
  <c r="B1288" i="3"/>
  <c r="A1288" i="3" s="1"/>
  <c r="B1293" i="3"/>
  <c r="A1293" i="3" s="1"/>
  <c r="B1299" i="3"/>
  <c r="A1299" i="3" s="1"/>
  <c r="B1304" i="3"/>
  <c r="A1304" i="3" s="1"/>
  <c r="B1309" i="3"/>
  <c r="A1309" i="3" s="1"/>
  <c r="B1315" i="3"/>
  <c r="A1315" i="3" s="1"/>
  <c r="B1320" i="3"/>
  <c r="A1320" i="3" s="1"/>
  <c r="B1325" i="3"/>
  <c r="A1325" i="3" s="1"/>
  <c r="B1331" i="3"/>
  <c r="A1331" i="3" s="1"/>
  <c r="B1336" i="3"/>
  <c r="A1336" i="3" s="1"/>
  <c r="B1341" i="3"/>
  <c r="A1341" i="3" s="1"/>
  <c r="B1347" i="3"/>
  <c r="A1347" i="3" s="1"/>
  <c r="B1352" i="3"/>
  <c r="B1357" i="3"/>
  <c r="A1357" i="3" s="1"/>
  <c r="B1363" i="3"/>
  <c r="A1363" i="3" s="1"/>
  <c r="B1368" i="3"/>
  <c r="A1368" i="3" s="1"/>
  <c r="B1373" i="3"/>
  <c r="A1373" i="3" s="1"/>
  <c r="B297" i="3"/>
  <c r="A297" i="3" s="1"/>
  <c r="B487" i="3"/>
  <c r="A487" i="3" s="1"/>
  <c r="B550" i="3"/>
  <c r="A550" i="3" s="1"/>
  <c r="B614" i="3"/>
  <c r="A614" i="3" s="1"/>
  <c r="B678" i="3"/>
  <c r="A678" i="3" s="1"/>
  <c r="B742" i="3"/>
  <c r="A742" i="3" s="1"/>
  <c r="B806" i="3"/>
  <c r="A806" i="3" s="1"/>
  <c r="B870" i="3"/>
  <c r="A870" i="3" s="1"/>
  <c r="B934" i="3"/>
  <c r="A934" i="3" s="1"/>
  <c r="B977" i="3"/>
  <c r="A977" i="3" s="1"/>
  <c r="B993" i="3"/>
  <c r="A993" i="3" s="1"/>
  <c r="B1009" i="3"/>
  <c r="A1009" i="3" s="1"/>
  <c r="B1025" i="3"/>
  <c r="A1025" i="3" s="1"/>
  <c r="B1041" i="3"/>
  <c r="A1041" i="3" s="1"/>
  <c r="B1057" i="3"/>
  <c r="A1057" i="3" s="1"/>
  <c r="B1073" i="3"/>
  <c r="A1073" i="3" s="1"/>
  <c r="B1081" i="3"/>
  <c r="A1081" i="3" s="1"/>
  <c r="B1089" i="3"/>
  <c r="A1089" i="3" s="1"/>
  <c r="B1097" i="3"/>
  <c r="A1097" i="3" s="1"/>
  <c r="B1105" i="3"/>
  <c r="A1105" i="3" s="1"/>
  <c r="B1113" i="3"/>
  <c r="A1113" i="3" s="1"/>
  <c r="B1121" i="3"/>
  <c r="A1121" i="3" s="1"/>
  <c r="B1129" i="3"/>
  <c r="A1129" i="3" s="1"/>
  <c r="B1137" i="3"/>
  <c r="A1137" i="3" s="1"/>
  <c r="B1145" i="3"/>
  <c r="A1145" i="3" s="1"/>
  <c r="B1153" i="3"/>
  <c r="A1153" i="3" s="1"/>
  <c r="B1161" i="3"/>
  <c r="A1161" i="3" s="1"/>
  <c r="B1169" i="3"/>
  <c r="A1169" i="3" s="1"/>
  <c r="B1177" i="3"/>
  <c r="A1177" i="3" s="1"/>
  <c r="B1185" i="3"/>
  <c r="A1185" i="3" s="1"/>
  <c r="B1193" i="3"/>
  <c r="A1193" i="3" s="1"/>
  <c r="B1201" i="3"/>
  <c r="A1201" i="3" s="1"/>
  <c r="B1209" i="3"/>
  <c r="A1209" i="3" s="1"/>
  <c r="B1217" i="3"/>
  <c r="A1217" i="3" s="1"/>
  <c r="B1225" i="3"/>
  <c r="A1225" i="3" s="1"/>
  <c r="B1233" i="3"/>
  <c r="A1233" i="3" s="1"/>
  <c r="B1241" i="3"/>
  <c r="A1241" i="3" s="1"/>
  <c r="B1249" i="3"/>
  <c r="A1249" i="3" s="1"/>
  <c r="B1257" i="3"/>
  <c r="A1257" i="3" s="1"/>
  <c r="B1263" i="3"/>
  <c r="A1263" i="3" s="1"/>
  <c r="B1268" i="3"/>
  <c r="A1268" i="3" s="1"/>
  <c r="B1273" i="3"/>
  <c r="A1273" i="3" s="1"/>
  <c r="B1279" i="3"/>
  <c r="A1279" i="3" s="1"/>
  <c r="B1284" i="3"/>
  <c r="A1284" i="3" s="1"/>
  <c r="B1289" i="3"/>
  <c r="A1289" i="3" s="1"/>
  <c r="B1295" i="3"/>
  <c r="A1295" i="3" s="1"/>
  <c r="B1300" i="3"/>
  <c r="A1300" i="3" s="1"/>
  <c r="B1305" i="3"/>
  <c r="A1305" i="3" s="1"/>
  <c r="B1311" i="3"/>
  <c r="A1311" i="3" s="1"/>
  <c r="B1316" i="3"/>
  <c r="A1316" i="3" s="1"/>
  <c r="B1321" i="3"/>
  <c r="A1321" i="3" s="1"/>
  <c r="B1327" i="3"/>
  <c r="A1327" i="3" s="1"/>
  <c r="B1332" i="3"/>
  <c r="A1332" i="3" s="1"/>
  <c r="B1337" i="3"/>
  <c r="A1337" i="3" s="1"/>
  <c r="B1343" i="3"/>
  <c r="A1343" i="3" s="1"/>
  <c r="B1348" i="3"/>
  <c r="A1348" i="3" s="1"/>
  <c r="B1353" i="3"/>
  <c r="A1353" i="3" s="1"/>
  <c r="B1359" i="3"/>
  <c r="A1359" i="3" s="1"/>
  <c r="B1364" i="3"/>
  <c r="A1364" i="3" s="1"/>
  <c r="B1369" i="3"/>
  <c r="A1369" i="3" s="1"/>
  <c r="B420" i="3"/>
  <c r="A420" i="3" s="1"/>
  <c r="B371" i="3"/>
  <c r="A371" i="3" s="1"/>
  <c r="B424" i="3"/>
  <c r="A424" i="3" s="1"/>
  <c r="B395" i="3"/>
  <c r="A395" i="3" s="1"/>
  <c r="B425" i="3"/>
  <c r="A425" i="3" s="1"/>
  <c r="B387" i="3"/>
  <c r="A387" i="3" s="1"/>
  <c r="B359" i="3"/>
  <c r="A359" i="3" s="1"/>
  <c r="B343" i="3"/>
  <c r="A343" i="3" s="1"/>
  <c r="B326" i="3"/>
  <c r="A326" i="3" s="1"/>
  <c r="B309" i="3"/>
  <c r="A309" i="3" s="1"/>
  <c r="B275" i="3"/>
  <c r="A275" i="3" s="1"/>
  <c r="B250" i="3"/>
  <c r="A250" i="3" s="1"/>
  <c r="B236" i="3"/>
  <c r="A236" i="3" s="1"/>
  <c r="B228" i="3"/>
  <c r="A228" i="3" s="1"/>
  <c r="B211" i="3"/>
  <c r="B203" i="3"/>
  <c r="A203" i="3" s="1"/>
  <c r="B188" i="3"/>
  <c r="A188" i="3" s="1"/>
  <c r="B177" i="3"/>
  <c r="B154" i="3"/>
  <c r="B146" i="3"/>
  <c r="A146" i="3" s="1"/>
  <c r="B421" i="3"/>
  <c r="A421" i="3" s="1"/>
  <c r="B404" i="3"/>
  <c r="A404" i="3" s="1"/>
  <c r="B388" i="3"/>
  <c r="A388" i="3" s="1"/>
  <c r="B372" i="3"/>
  <c r="A372" i="3" s="1"/>
  <c r="B356" i="3"/>
  <c r="A356" i="3" s="1"/>
  <c r="B339" i="3"/>
  <c r="A339" i="3" s="1"/>
  <c r="B323" i="3"/>
  <c r="A323" i="3" s="1"/>
  <c r="B298" i="3"/>
  <c r="A298" i="3" s="1"/>
  <c r="B272" i="3"/>
  <c r="A272" i="3" s="1"/>
  <c r="B258" i="3"/>
  <c r="A258" i="3" s="1"/>
  <c r="B254" i="3"/>
  <c r="A254" i="3" s="1"/>
  <c r="B246" i="3"/>
  <c r="A246" i="3" s="1"/>
  <c r="B223" i="3"/>
  <c r="B214" i="3"/>
  <c r="B195" i="3"/>
  <c r="B171" i="3"/>
  <c r="A171" i="3" s="1"/>
  <c r="B161" i="3"/>
  <c r="A161" i="3" s="1"/>
  <c r="B112" i="3"/>
  <c r="B101" i="3"/>
  <c r="B86" i="3"/>
  <c r="A86" i="3" s="1"/>
  <c r="B71" i="3"/>
  <c r="A71" i="3" s="1"/>
  <c r="B63" i="3"/>
  <c r="B422" i="3"/>
  <c r="A422" i="3" s="1"/>
  <c r="B406" i="3"/>
  <c r="A406" i="3" s="1"/>
  <c r="B394" i="3"/>
  <c r="A394" i="3" s="1"/>
  <c r="B381" i="3"/>
  <c r="A381" i="3" s="1"/>
  <c r="B365" i="3"/>
  <c r="A365" i="3" s="1"/>
  <c r="B345" i="3"/>
  <c r="A345" i="3" s="1"/>
  <c r="B328" i="3"/>
  <c r="A328" i="3" s="1"/>
  <c r="B315" i="3"/>
  <c r="A315" i="3" s="1"/>
  <c r="B305" i="3"/>
  <c r="A305" i="3" s="1"/>
  <c r="B296" i="3"/>
  <c r="A296" i="3" s="1"/>
  <c r="B288" i="3"/>
  <c r="A288" i="3" s="1"/>
  <c r="B260" i="3"/>
  <c r="A260" i="3" s="1"/>
  <c r="B245" i="3"/>
  <c r="A245" i="3" s="1"/>
  <c r="B212" i="3"/>
  <c r="B204" i="3"/>
  <c r="A204" i="3" s="1"/>
  <c r="B187" i="3"/>
  <c r="B157" i="3"/>
  <c r="B149" i="3"/>
  <c r="A149" i="3" s="1"/>
  <c r="B141" i="3"/>
  <c r="A141" i="3" s="1"/>
  <c r="B133" i="3"/>
  <c r="B122" i="3"/>
  <c r="B108" i="3"/>
  <c r="A108" i="3" s="1"/>
  <c r="B84" i="3"/>
  <c r="A84" i="3" s="1"/>
  <c r="B55" i="3"/>
  <c r="B47" i="3"/>
  <c r="B415" i="3"/>
  <c r="A415" i="3" s="1"/>
  <c r="B378" i="3"/>
  <c r="A378" i="3" s="1"/>
  <c r="B362" i="3"/>
  <c r="A362" i="3" s="1"/>
  <c r="B346" i="3"/>
  <c r="A346" i="3" s="1"/>
  <c r="B329" i="3"/>
  <c r="A329" i="3" s="1"/>
  <c r="B312" i="3"/>
  <c r="A312" i="3" s="1"/>
  <c r="B299" i="3"/>
  <c r="A299" i="3" s="1"/>
  <c r="B287" i="3"/>
  <c r="A287" i="3" s="1"/>
  <c r="B283" i="3"/>
  <c r="A283" i="3" s="1"/>
  <c r="B265" i="3"/>
  <c r="B242" i="3"/>
  <c r="A242" i="3" s="1"/>
  <c r="B222" i="3"/>
  <c r="B215" i="3"/>
  <c r="A215" i="3" s="1"/>
  <c r="B196" i="3"/>
  <c r="B172" i="3"/>
  <c r="B164" i="3"/>
  <c r="B113" i="3"/>
  <c r="A113" i="3" s="1"/>
  <c r="B102" i="3"/>
  <c r="B87" i="3"/>
  <c r="B72" i="3"/>
  <c r="A72" i="3" s="1"/>
  <c r="B64" i="3"/>
  <c r="A64" i="3" s="1"/>
  <c r="B120" i="3"/>
  <c r="A120" i="3" s="1"/>
  <c r="B134" i="3"/>
  <c r="B123" i="3"/>
  <c r="A123" i="3" s="1"/>
  <c r="B109" i="3"/>
  <c r="A109" i="3" s="1"/>
  <c r="B90" i="3"/>
  <c r="B56" i="3"/>
  <c r="B48" i="3"/>
  <c r="A48" i="3" s="1"/>
  <c r="B408" i="3"/>
  <c r="A408" i="3" s="1"/>
  <c r="B233" i="3"/>
  <c r="B416" i="3"/>
  <c r="A416" i="3" s="1"/>
  <c r="B383" i="3"/>
  <c r="A383" i="3" s="1"/>
  <c r="B423" i="3"/>
  <c r="A423" i="3" s="1"/>
  <c r="B375" i="3"/>
  <c r="A375" i="3" s="1"/>
  <c r="B355" i="3"/>
  <c r="A355" i="3" s="1"/>
  <c r="B338" i="3"/>
  <c r="A338" i="3" s="1"/>
  <c r="B322" i="3"/>
  <c r="A322" i="3" s="1"/>
  <c r="B278" i="3"/>
  <c r="A278" i="3" s="1"/>
  <c r="B274" i="3"/>
  <c r="A274" i="3" s="1"/>
  <c r="B241" i="3"/>
  <c r="A241" i="3" s="1"/>
  <c r="B235" i="3"/>
  <c r="A235" i="3" s="1"/>
  <c r="B227" i="3"/>
  <c r="B209" i="3"/>
  <c r="B194" i="3"/>
  <c r="A194" i="3" s="1"/>
  <c r="B186" i="3"/>
  <c r="A186" i="3" s="1"/>
  <c r="B175" i="3"/>
  <c r="B152" i="3"/>
  <c r="B144" i="3"/>
  <c r="B417" i="3"/>
  <c r="A417" i="3" s="1"/>
  <c r="B400" i="3"/>
  <c r="A400" i="3" s="1"/>
  <c r="B384" i="3"/>
  <c r="A384" i="3" s="1"/>
  <c r="B368" i="3"/>
  <c r="A368" i="3" s="1"/>
  <c r="B352" i="3"/>
  <c r="A352" i="3" s="1"/>
  <c r="B335" i="3"/>
  <c r="A335" i="3" s="1"/>
  <c r="B319" i="3"/>
  <c r="A319" i="3" s="1"/>
  <c r="B290" i="3"/>
  <c r="A290" i="3" s="1"/>
  <c r="B271" i="3"/>
  <c r="A271" i="3" s="1"/>
  <c r="B257" i="3"/>
  <c r="A257" i="3" s="1"/>
  <c r="B249" i="3"/>
  <c r="A249" i="3" s="1"/>
  <c r="B239" i="3"/>
  <c r="A239" i="3" s="1"/>
  <c r="B221" i="3"/>
  <c r="A221" i="3" s="1"/>
  <c r="B201" i="3"/>
  <c r="B180" i="3"/>
  <c r="B167" i="3"/>
  <c r="A167" i="3" s="1"/>
  <c r="B159" i="3"/>
  <c r="A159" i="3" s="1"/>
  <c r="B110" i="3"/>
  <c r="B99" i="3"/>
  <c r="B77" i="3"/>
  <c r="A77" i="3" s="1"/>
  <c r="B69" i="3"/>
  <c r="A69" i="3" s="1"/>
  <c r="B61" i="3"/>
  <c r="B418" i="3"/>
  <c r="A418" i="3" s="1"/>
  <c r="B405" i="3"/>
  <c r="A405" i="3" s="1"/>
  <c r="B390" i="3"/>
  <c r="A390" i="3" s="1"/>
  <c r="B377" i="3"/>
  <c r="A377" i="3" s="1"/>
  <c r="B357" i="3"/>
  <c r="A357" i="3" s="1"/>
  <c r="B340" i="3"/>
  <c r="A340" i="3" s="1"/>
  <c r="B324" i="3"/>
  <c r="A324" i="3" s="1"/>
  <c r="B311" i="3"/>
  <c r="A311" i="3" s="1"/>
  <c r="B304" i="3"/>
  <c r="A304" i="3" s="1"/>
  <c r="B295" i="3"/>
  <c r="A295" i="3" s="1"/>
  <c r="B281" i="3"/>
  <c r="A281" i="3" s="1"/>
  <c r="B253" i="3"/>
  <c r="B244" i="3"/>
  <c r="A244" i="3" s="1"/>
  <c r="B210" i="3"/>
  <c r="A210" i="3" s="1"/>
  <c r="B193" i="3"/>
  <c r="A193" i="3" s="1"/>
  <c r="B185" i="3"/>
  <c r="B155" i="3"/>
  <c r="B147" i="3"/>
  <c r="B139" i="3"/>
  <c r="A139" i="3" s="1"/>
  <c r="B128" i="3"/>
  <c r="B119" i="3"/>
  <c r="B95" i="3"/>
  <c r="A95" i="3" s="1"/>
  <c r="B82" i="3"/>
  <c r="B53" i="3"/>
  <c r="B45" i="3"/>
  <c r="B411" i="3"/>
  <c r="A411" i="3" s="1"/>
  <c r="B391" i="3"/>
  <c r="A391" i="3" s="1"/>
  <c r="B374" i="3"/>
  <c r="A374" i="3" s="1"/>
  <c r="B358" i="3"/>
  <c r="A358" i="3" s="1"/>
  <c r="B341" i="3"/>
  <c r="A341" i="3" s="1"/>
  <c r="B325" i="3"/>
  <c r="A325" i="3" s="1"/>
  <c r="B308" i="3"/>
  <c r="A308" i="3" s="1"/>
  <c r="B293" i="3"/>
  <c r="A293" i="3" s="1"/>
  <c r="B286" i="3"/>
  <c r="A286" i="3" s="1"/>
  <c r="B279" i="3"/>
  <c r="A279" i="3" s="1"/>
  <c r="B264" i="3"/>
  <c r="A264" i="3" s="1"/>
  <c r="B238" i="3"/>
  <c r="A238" i="3" s="1"/>
  <c r="B220" i="3"/>
  <c r="A220" i="3" s="1"/>
  <c r="B202" i="3"/>
  <c r="A202" i="3" s="1"/>
  <c r="B181" i="3"/>
  <c r="B170" i="3"/>
  <c r="B162" i="3"/>
  <c r="A162" i="3" s="1"/>
  <c r="B111" i="3"/>
  <c r="A111" i="3" s="1"/>
  <c r="B100" i="3"/>
  <c r="B85" i="3"/>
  <c r="B70" i="3"/>
  <c r="A70" i="3" s="1"/>
  <c r="B62" i="3"/>
  <c r="A62" i="3" s="1"/>
  <c r="B140" i="3"/>
  <c r="B129" i="3"/>
  <c r="B118" i="3"/>
  <c r="A118" i="3" s="1"/>
  <c r="B96" i="3"/>
  <c r="A96" i="3" s="1"/>
  <c r="B83" i="3"/>
  <c r="B54" i="3"/>
  <c r="B46" i="3"/>
  <c r="A46" i="3" s="1"/>
  <c r="B399" i="3"/>
  <c r="A399" i="3" s="1"/>
  <c r="B169" i="3"/>
  <c r="B412" i="3"/>
  <c r="A412" i="3" s="1"/>
  <c r="B342" i="3"/>
  <c r="A342" i="3" s="1"/>
  <c r="B407" i="3"/>
  <c r="A407" i="3" s="1"/>
  <c r="B367" i="3"/>
  <c r="A367" i="3" s="1"/>
  <c r="B351" i="3"/>
  <c r="A351" i="3" s="1"/>
  <c r="B334" i="3"/>
  <c r="A334" i="3" s="1"/>
  <c r="B318" i="3"/>
  <c r="A318" i="3" s="1"/>
  <c r="B277" i="3"/>
  <c r="A277" i="3" s="1"/>
  <c r="B269" i="3"/>
  <c r="A269" i="3" s="1"/>
  <c r="B240" i="3"/>
  <c r="A240" i="3" s="1"/>
  <c r="B234" i="3"/>
  <c r="A234" i="3" s="1"/>
  <c r="B225" i="3"/>
  <c r="B207" i="3"/>
  <c r="B192" i="3"/>
  <c r="A192" i="3" s="1"/>
  <c r="B184" i="3"/>
  <c r="A184" i="3" s="1"/>
  <c r="B158" i="3"/>
  <c r="B150" i="3"/>
  <c r="B142" i="3"/>
  <c r="A142" i="3" s="1"/>
  <c r="B413" i="3"/>
  <c r="A413" i="3" s="1"/>
  <c r="B396" i="3"/>
  <c r="A396" i="3" s="1"/>
  <c r="B380" i="3"/>
  <c r="A380" i="3" s="1"/>
  <c r="B364" i="3"/>
  <c r="A364" i="3" s="1"/>
  <c r="B348" i="3"/>
  <c r="A348" i="3" s="1"/>
  <c r="B331" i="3"/>
  <c r="A331" i="3" s="1"/>
  <c r="B314" i="3"/>
  <c r="A314" i="3" s="1"/>
  <c r="B282" i="3"/>
  <c r="A282" i="3" s="1"/>
  <c r="B267" i="3"/>
  <c r="A267" i="3" s="1"/>
  <c r="B256" i="3"/>
  <c r="B248" i="3"/>
  <c r="A248" i="3" s="1"/>
  <c r="B232" i="3"/>
  <c r="A232" i="3" s="1"/>
  <c r="B219" i="3"/>
  <c r="A219" i="3" s="1"/>
  <c r="B199" i="3"/>
  <c r="B178" i="3"/>
  <c r="B165" i="3"/>
  <c r="A165" i="3" s="1"/>
  <c r="B132" i="3"/>
  <c r="A132" i="3" s="1"/>
  <c r="B107" i="3"/>
  <c r="B97" i="3"/>
  <c r="B75" i="3"/>
  <c r="A75" i="3" s="1"/>
  <c r="B67" i="3"/>
  <c r="A67" i="3" s="1"/>
  <c r="B59" i="3"/>
  <c r="B414" i="3"/>
  <c r="A414" i="3" s="1"/>
  <c r="B401" i="3"/>
  <c r="A401" i="3" s="1"/>
  <c r="B389" i="3"/>
  <c r="A389" i="3" s="1"/>
  <c r="B373" i="3"/>
  <c r="A373" i="3" s="1"/>
  <c r="B353" i="3"/>
  <c r="A353" i="3" s="1"/>
  <c r="B336" i="3"/>
  <c r="A336" i="3" s="1"/>
  <c r="B320" i="3"/>
  <c r="A320" i="3" s="1"/>
  <c r="B307" i="3"/>
  <c r="A307" i="3" s="1"/>
  <c r="B303" i="3"/>
  <c r="A303" i="3" s="1"/>
  <c r="B294" i="3"/>
  <c r="A294" i="3" s="1"/>
  <c r="B280" i="3"/>
  <c r="A280" i="3" s="1"/>
  <c r="B252" i="3"/>
  <c r="B243" i="3"/>
  <c r="A243" i="3" s="1"/>
  <c r="B208" i="3"/>
  <c r="A208" i="3" s="1"/>
  <c r="B191" i="3"/>
  <c r="A191" i="3" s="1"/>
  <c r="B183" i="3"/>
  <c r="B153" i="3"/>
  <c r="B145" i="3"/>
  <c r="A145" i="3" s="1"/>
  <c r="B137" i="3"/>
  <c r="B126" i="3"/>
  <c r="B117" i="3"/>
  <c r="B93" i="3"/>
  <c r="B80" i="3"/>
  <c r="A80" i="3" s="1"/>
  <c r="B51" i="3"/>
  <c r="B43" i="3"/>
  <c r="B402" i="3"/>
  <c r="A402" i="3" s="1"/>
  <c r="B386" i="3"/>
  <c r="A386" i="3" s="1"/>
  <c r="B370" i="3"/>
  <c r="A370" i="3" s="1"/>
  <c r="B354" i="3"/>
  <c r="A354" i="3" s="1"/>
  <c r="B337" i="3"/>
  <c r="A337" i="3" s="1"/>
  <c r="B321" i="3"/>
  <c r="A321" i="3" s="1"/>
  <c r="B301" i="3"/>
  <c r="A301" i="3" s="1"/>
  <c r="B292" i="3"/>
  <c r="A292" i="3" s="1"/>
  <c r="B285" i="3"/>
  <c r="A285" i="3" s="1"/>
  <c r="B270" i="3"/>
  <c r="A270" i="3" s="1"/>
  <c r="B263" i="3"/>
  <c r="B230" i="3"/>
  <c r="A230" i="3" s="1"/>
  <c r="B218" i="3"/>
  <c r="A218" i="3" s="1"/>
  <c r="B200" i="3"/>
  <c r="A200" i="3" s="1"/>
  <c r="B179" i="3"/>
  <c r="B168" i="3"/>
  <c r="B160" i="3"/>
  <c r="A160" i="3" s="1"/>
  <c r="B106" i="3"/>
  <c r="A106" i="3" s="1"/>
  <c r="B98" i="3"/>
  <c r="B76" i="3"/>
  <c r="B68" i="3"/>
  <c r="B60" i="3"/>
  <c r="A60" i="3" s="1"/>
  <c r="B138" i="3"/>
  <c r="B127" i="3"/>
  <c r="B116" i="3"/>
  <c r="A116" i="3" s="1"/>
  <c r="B94" i="3"/>
  <c r="A94" i="3" s="1"/>
  <c r="B81" i="3"/>
  <c r="B52" i="3"/>
  <c r="B44" i="3"/>
  <c r="B379" i="3"/>
  <c r="A379" i="3" s="1"/>
  <c r="B105" i="3"/>
  <c r="B403" i="3"/>
  <c r="A403" i="3" s="1"/>
  <c r="B361" i="3"/>
  <c r="A361" i="3" s="1"/>
  <c r="B392" i="3"/>
  <c r="A392" i="3" s="1"/>
  <c r="B363" i="3"/>
  <c r="A363" i="3" s="1"/>
  <c r="B347" i="3"/>
  <c r="A347" i="3" s="1"/>
  <c r="B330" i="3"/>
  <c r="A330" i="3" s="1"/>
  <c r="B313" i="3"/>
  <c r="A313" i="3" s="1"/>
  <c r="B276" i="3"/>
  <c r="A276" i="3" s="1"/>
  <c r="B268" i="3"/>
  <c r="A268" i="3" s="1"/>
  <c r="B237" i="3"/>
  <c r="A237" i="3" s="1"/>
  <c r="B229" i="3"/>
  <c r="A229" i="3" s="1"/>
  <c r="B213" i="3"/>
  <c r="B205" i="3"/>
  <c r="B190" i="3"/>
  <c r="A190" i="3" s="1"/>
  <c r="B182" i="3"/>
  <c r="A182" i="3" s="1"/>
  <c r="B156" i="3"/>
  <c r="B148" i="3"/>
  <c r="A148" i="3" s="1"/>
  <c r="B121" i="3"/>
  <c r="A121" i="3" s="1"/>
  <c r="B409" i="3"/>
  <c r="A409" i="3" s="1"/>
  <c r="B393" i="3"/>
  <c r="A393" i="3" s="1"/>
  <c r="B376" i="3"/>
  <c r="A376" i="3" s="1"/>
  <c r="B360" i="3"/>
  <c r="A360" i="3" s="1"/>
  <c r="B344" i="3"/>
  <c r="A344" i="3" s="1"/>
  <c r="B327" i="3"/>
  <c r="A327" i="3" s="1"/>
  <c r="B310" i="3"/>
  <c r="A310" i="3" s="1"/>
  <c r="B273" i="3"/>
  <c r="A273" i="3" s="1"/>
  <c r="B262" i="3"/>
  <c r="A262" i="3" s="1"/>
  <c r="B255" i="3"/>
  <c r="B247" i="3"/>
  <c r="A247" i="3" s="1"/>
  <c r="B231" i="3"/>
  <c r="A231" i="3" s="1"/>
  <c r="B217" i="3"/>
  <c r="A217" i="3" s="1"/>
  <c r="B197" i="3"/>
  <c r="B173" i="3"/>
  <c r="B163" i="3"/>
  <c r="A163" i="3" s="1"/>
  <c r="B130" i="3"/>
  <c r="A130" i="3" s="1"/>
  <c r="B103" i="3"/>
  <c r="B88" i="3"/>
  <c r="B73" i="3"/>
  <c r="A73" i="3" s="1"/>
  <c r="B65" i="3"/>
  <c r="A65" i="3" s="1"/>
  <c r="B57" i="3"/>
  <c r="B410" i="3"/>
  <c r="A410" i="3" s="1"/>
  <c r="B397" i="3"/>
  <c r="A397" i="3" s="1"/>
  <c r="B385" i="3"/>
  <c r="A385" i="3" s="1"/>
  <c r="B369" i="3"/>
  <c r="A369" i="3" s="1"/>
  <c r="B349" i="3"/>
  <c r="A349" i="3" s="1"/>
  <c r="B332" i="3"/>
  <c r="A332" i="3" s="1"/>
  <c r="B316" i="3"/>
  <c r="A316" i="3" s="1"/>
  <c r="B306" i="3"/>
  <c r="A306" i="3" s="1"/>
  <c r="B302" i="3"/>
  <c r="A302" i="3" s="1"/>
  <c r="B289" i="3"/>
  <c r="A289" i="3" s="1"/>
  <c r="B261" i="3"/>
  <c r="A261" i="3" s="1"/>
  <c r="B251" i="3"/>
  <c r="A251" i="3" s="1"/>
  <c r="B226" i="3"/>
  <c r="A226" i="3" s="1"/>
  <c r="B206" i="3"/>
  <c r="A206" i="3" s="1"/>
  <c r="B189" i="3"/>
  <c r="A189" i="3" s="1"/>
  <c r="B176" i="3"/>
  <c r="B151" i="3"/>
  <c r="A151" i="3" s="1"/>
  <c r="B143" i="3"/>
  <c r="A143" i="3" s="1"/>
  <c r="B135" i="3"/>
  <c r="A135" i="3" s="1"/>
  <c r="B124" i="3"/>
  <c r="B115" i="3"/>
  <c r="B91" i="3"/>
  <c r="A91" i="3" s="1"/>
  <c r="B78" i="3"/>
  <c r="A78" i="3" s="1"/>
  <c r="B49" i="3"/>
  <c r="B419" i="3"/>
  <c r="A419" i="3" s="1"/>
  <c r="B398" i="3"/>
  <c r="A398" i="3" s="1"/>
  <c r="B382" i="3"/>
  <c r="A382" i="3" s="1"/>
  <c r="B366" i="3"/>
  <c r="A366" i="3" s="1"/>
  <c r="B350" i="3"/>
  <c r="A350" i="3" s="1"/>
  <c r="B333" i="3"/>
  <c r="A333" i="3" s="1"/>
  <c r="B317" i="3"/>
  <c r="A317" i="3" s="1"/>
  <c r="B300" i="3"/>
  <c r="A300" i="3" s="1"/>
  <c r="B291" i="3"/>
  <c r="A291" i="3" s="1"/>
  <c r="B284" i="3"/>
  <c r="A284" i="3" s="1"/>
  <c r="B266" i="3"/>
  <c r="A266" i="3" s="1"/>
  <c r="B259" i="3"/>
  <c r="B224" i="3"/>
  <c r="B216" i="3"/>
  <c r="A216" i="3" s="1"/>
  <c r="B198" i="3"/>
  <c r="A198" i="3" s="1"/>
  <c r="B174" i="3"/>
  <c r="B166" i="3"/>
  <c r="A166" i="3" s="1"/>
  <c r="B131" i="3"/>
  <c r="B104" i="3"/>
  <c r="A104" i="3" s="1"/>
  <c r="B89" i="3"/>
  <c r="B74" i="3"/>
  <c r="B66" i="3"/>
  <c r="A66" i="3" s="1"/>
  <c r="B58" i="3"/>
  <c r="A58" i="3" s="1"/>
  <c r="B136" i="3"/>
  <c r="B125" i="3"/>
  <c r="B114" i="3"/>
  <c r="A114" i="3" s="1"/>
  <c r="B92" i="3"/>
  <c r="A92" i="3" s="1"/>
  <c r="B79" i="3"/>
  <c r="B50" i="3"/>
  <c r="A50" i="3" s="1"/>
  <c r="B42" i="3"/>
  <c r="A42" i="3" s="1"/>
  <c r="A428" i="3"/>
  <c r="A429" i="3"/>
  <c r="A433" i="3"/>
  <c r="A437" i="3"/>
  <c r="A441" i="3"/>
  <c r="A445" i="3"/>
  <c r="A449" i="3"/>
  <c r="A453" i="3"/>
  <c r="A457" i="3"/>
  <c r="A461" i="3"/>
  <c r="A465" i="3"/>
  <c r="A469" i="3"/>
  <c r="A473" i="3"/>
  <c r="A477" i="3"/>
  <c r="A481" i="3"/>
  <c r="A485" i="3"/>
  <c r="A489" i="3"/>
  <c r="A493" i="3"/>
  <c r="A497" i="3"/>
  <c r="A501" i="3"/>
  <c r="A505" i="3"/>
  <c r="A509" i="3"/>
  <c r="A512" i="3"/>
  <c r="A516" i="3"/>
  <c r="A520" i="3"/>
  <c r="A524" i="3"/>
  <c r="A528" i="3"/>
  <c r="A532" i="3"/>
  <c r="A536" i="3"/>
  <c r="A540" i="3"/>
  <c r="A544" i="3"/>
  <c r="A548" i="3"/>
  <c r="A552" i="3"/>
  <c r="A556" i="3"/>
  <c r="A560" i="3"/>
  <c r="A564" i="3"/>
  <c r="A568" i="3"/>
  <c r="A572" i="3"/>
  <c r="A576" i="3"/>
  <c r="A580" i="3"/>
  <c r="A584" i="3"/>
  <c r="A588" i="3"/>
  <c r="A592" i="3"/>
  <c r="A596" i="3"/>
  <c r="A600" i="3"/>
  <c r="A604" i="3"/>
  <c r="A608" i="3"/>
  <c r="A612" i="3"/>
  <c r="A616" i="3"/>
  <c r="A426" i="3"/>
  <c r="A430" i="3"/>
  <c r="A434" i="3"/>
  <c r="A438" i="3"/>
  <c r="A442" i="3"/>
  <c r="A446" i="3"/>
  <c r="A450" i="3"/>
  <c r="A454" i="3"/>
  <c r="A458" i="3"/>
  <c r="A462" i="3"/>
  <c r="A466" i="3"/>
  <c r="A470" i="3"/>
  <c r="A474" i="3"/>
  <c r="A478" i="3"/>
  <c r="A482" i="3"/>
  <c r="A486" i="3"/>
  <c r="A490" i="3"/>
  <c r="A494" i="3"/>
  <c r="A498" i="3"/>
  <c r="A502" i="3"/>
  <c r="A506" i="3"/>
  <c r="A510" i="3"/>
  <c r="A513" i="3"/>
  <c r="A517" i="3"/>
  <c r="A521" i="3"/>
  <c r="A525" i="3"/>
  <c r="A529" i="3"/>
  <c r="A533" i="3"/>
  <c r="A537" i="3"/>
  <c r="A541" i="3"/>
  <c r="A545" i="3"/>
  <c r="A549" i="3"/>
  <c r="A553" i="3"/>
  <c r="A557" i="3"/>
  <c r="A561" i="3"/>
  <c r="A565" i="3"/>
  <c r="A569" i="3"/>
  <c r="A573" i="3"/>
  <c r="A577" i="3"/>
  <c r="A581" i="3"/>
  <c r="A585" i="3"/>
  <c r="A589" i="3"/>
  <c r="A593" i="3"/>
  <c r="A597" i="3"/>
  <c r="A601" i="3"/>
  <c r="A605" i="3"/>
  <c r="A609" i="3"/>
  <c r="A613" i="3"/>
  <c r="A427" i="3"/>
  <c r="A431" i="3"/>
  <c r="A435" i="3"/>
  <c r="A443" i="3"/>
  <c r="A447" i="3"/>
  <c r="A451" i="3"/>
  <c r="A459" i="3"/>
  <c r="A463" i="3"/>
  <c r="A475" i="3"/>
  <c r="A479" i="3"/>
  <c r="A491" i="3"/>
  <c r="A495" i="3"/>
  <c r="A499" i="3"/>
  <c r="A507" i="3"/>
  <c r="A518" i="3"/>
  <c r="A522" i="3"/>
  <c r="A526" i="3"/>
  <c r="A530" i="3"/>
  <c r="A538" i="3"/>
  <c r="A546" i="3"/>
  <c r="A554" i="3"/>
  <c r="A558" i="3"/>
  <c r="A562" i="3"/>
  <c r="A566" i="3"/>
  <c r="A432" i="3"/>
  <c r="A448" i="3"/>
  <c r="A464" i="3"/>
  <c r="A480" i="3"/>
  <c r="A496" i="3"/>
  <c r="A511" i="3"/>
  <c r="A527" i="3"/>
  <c r="A543" i="3"/>
  <c r="A559" i="3"/>
  <c r="A571" i="3"/>
  <c r="A579" i="3"/>
  <c r="A587" i="3"/>
  <c r="A595" i="3"/>
  <c r="A603" i="3"/>
  <c r="A611" i="3"/>
  <c r="A618" i="3"/>
  <c r="A622" i="3"/>
  <c r="A626" i="3"/>
  <c r="A630" i="3"/>
  <c r="A634" i="3"/>
  <c r="A638" i="3"/>
  <c r="A650" i="3"/>
  <c r="A658" i="3"/>
  <c r="A666" i="3"/>
  <c r="A682" i="3"/>
  <c r="A686" i="3"/>
  <c r="A690" i="3"/>
  <c r="A694" i="3"/>
  <c r="A698" i="3"/>
  <c r="A702" i="3"/>
  <c r="A706" i="3"/>
  <c r="A710" i="3"/>
  <c r="A714" i="3"/>
  <c r="A722" i="3"/>
  <c r="A726" i="3"/>
  <c r="A730" i="3"/>
  <c r="A746" i="3"/>
  <c r="A750" i="3"/>
  <c r="A754" i="3"/>
  <c r="A758" i="3"/>
  <c r="A762" i="3"/>
  <c r="A766" i="3"/>
  <c r="A770" i="3"/>
  <c r="A778" i="3"/>
  <c r="A782" i="3"/>
  <c r="A786" i="3"/>
  <c r="A794" i="3"/>
  <c r="A810" i="3"/>
  <c r="A814" i="3"/>
  <c r="A818" i="3"/>
  <c r="A822" i="3"/>
  <c r="A826" i="3"/>
  <c r="A830" i="3"/>
  <c r="A834" i="3"/>
  <c r="A838" i="3"/>
  <c r="A842" i="3"/>
  <c r="A846" i="3"/>
  <c r="A858" i="3"/>
  <c r="A874" i="3"/>
  <c r="A878" i="3"/>
  <c r="A882" i="3"/>
  <c r="A886" i="3"/>
  <c r="A890" i="3"/>
  <c r="A436" i="3"/>
  <c r="A452" i="3"/>
  <c r="A468" i="3"/>
  <c r="A484" i="3"/>
  <c r="A500" i="3"/>
  <c r="A515" i="3"/>
  <c r="A531" i="3"/>
  <c r="A547" i="3"/>
  <c r="A563" i="3"/>
  <c r="A574" i="3"/>
  <c r="A590" i="3"/>
  <c r="A619" i="3"/>
  <c r="A623" i="3"/>
  <c r="A627" i="3"/>
  <c r="A631" i="3"/>
  <c r="A635" i="3"/>
  <c r="A639" i="3"/>
  <c r="A643" i="3"/>
  <c r="A647" i="3"/>
  <c r="A651" i="3"/>
  <c r="A655" i="3"/>
  <c r="A659" i="3"/>
  <c r="A663" i="3"/>
  <c r="A667" i="3"/>
  <c r="A671" i="3"/>
  <c r="A675" i="3"/>
  <c r="A679" i="3"/>
  <c r="A683" i="3"/>
  <c r="A687" i="3"/>
  <c r="A691" i="3"/>
  <c r="A695" i="3"/>
  <c r="A699" i="3"/>
  <c r="A703" i="3"/>
  <c r="A707" i="3"/>
  <c r="A711" i="3"/>
  <c r="A715" i="3"/>
  <c r="A719" i="3"/>
  <c r="A723" i="3"/>
  <c r="A727" i="3"/>
  <c r="A731" i="3"/>
  <c r="A735" i="3"/>
  <c r="A739" i="3"/>
  <c r="A743" i="3"/>
  <c r="A747" i="3"/>
  <c r="A751" i="3"/>
  <c r="A755" i="3"/>
  <c r="A759" i="3"/>
  <c r="A763" i="3"/>
  <c r="A767" i="3"/>
  <c r="A771" i="3"/>
  <c r="A775" i="3"/>
  <c r="A779" i="3"/>
  <c r="A783" i="3"/>
  <c r="A787" i="3"/>
  <c r="A791" i="3"/>
  <c r="A795" i="3"/>
  <c r="A799" i="3"/>
  <c r="A803" i="3"/>
  <c r="A807" i="3"/>
  <c r="A811" i="3"/>
  <c r="A440" i="3"/>
  <c r="A456" i="3"/>
  <c r="A472" i="3"/>
  <c r="A488" i="3"/>
  <c r="A504" i="3"/>
  <c r="A519" i="3"/>
  <c r="A535" i="3"/>
  <c r="A551" i="3"/>
  <c r="A567" i="3"/>
  <c r="A575" i="3"/>
  <c r="A583" i="3"/>
  <c r="A591" i="3"/>
  <c r="A599" i="3"/>
  <c r="A607" i="3"/>
  <c r="A615" i="3"/>
  <c r="A620" i="3"/>
  <c r="A624" i="3"/>
  <c r="A628" i="3"/>
  <c r="A632" i="3"/>
  <c r="A636" i="3"/>
  <c r="A640" i="3"/>
  <c r="A644" i="3"/>
  <c r="A648" i="3"/>
  <c r="A652" i="3"/>
  <c r="A656" i="3"/>
  <c r="A660" i="3"/>
  <c r="A664" i="3"/>
  <c r="A668" i="3"/>
  <c r="A672" i="3"/>
  <c r="A676" i="3"/>
  <c r="A680" i="3"/>
  <c r="A684" i="3"/>
  <c r="A688" i="3"/>
  <c r="A692" i="3"/>
  <c r="A696" i="3"/>
  <c r="A700" i="3"/>
  <c r="A704" i="3"/>
  <c r="A708" i="3"/>
  <c r="A712" i="3"/>
  <c r="A716" i="3"/>
  <c r="A720" i="3"/>
  <c r="A724" i="3"/>
  <c r="A728" i="3"/>
  <c r="A732" i="3"/>
  <c r="A736" i="3"/>
  <c r="A740" i="3"/>
  <c r="A744" i="3"/>
  <c r="A748" i="3"/>
  <c r="A752" i="3"/>
  <c r="A756" i="3"/>
  <c r="A760" i="3"/>
  <c r="A764" i="3"/>
  <c r="A768" i="3"/>
  <c r="A772" i="3"/>
  <c r="A776" i="3"/>
  <c r="A780" i="3"/>
  <c r="A444" i="3"/>
  <c r="A508" i="3"/>
  <c r="A570" i="3"/>
  <c r="A602" i="3"/>
  <c r="A625" i="3"/>
  <c r="A641" i="3"/>
  <c r="A657" i="3"/>
  <c r="A673" i="3"/>
  <c r="A689" i="3"/>
  <c r="A705" i="3"/>
  <c r="A721" i="3"/>
  <c r="A737" i="3"/>
  <c r="A753" i="3"/>
  <c r="A769" i="3"/>
  <c r="A784" i="3"/>
  <c r="A792" i="3"/>
  <c r="A800" i="3"/>
  <c r="A808" i="3"/>
  <c r="A815" i="3"/>
  <c r="A820" i="3"/>
  <c r="A825" i="3"/>
  <c r="A831" i="3"/>
  <c r="A836" i="3"/>
  <c r="A841" i="3"/>
  <c r="A847" i="3"/>
  <c r="A852" i="3"/>
  <c r="A857" i="3"/>
  <c r="A863" i="3"/>
  <c r="A868" i="3"/>
  <c r="A873" i="3"/>
  <c r="A879" i="3"/>
  <c r="A884" i="3"/>
  <c r="A889" i="3"/>
  <c r="A895" i="3"/>
  <c r="A899" i="3"/>
  <c r="A903" i="3"/>
  <c r="A907" i="3"/>
  <c r="A911" i="3"/>
  <c r="A915" i="3"/>
  <c r="A919" i="3"/>
  <c r="A923" i="3"/>
  <c r="A927" i="3"/>
  <c r="A931" i="3"/>
  <c r="A935" i="3"/>
  <c r="A939" i="3"/>
  <c r="A943" i="3"/>
  <c r="A947" i="3"/>
  <c r="A951" i="3"/>
  <c r="A955" i="3"/>
  <c r="A959" i="3"/>
  <c r="A963" i="3"/>
  <c r="A979" i="3"/>
  <c r="A983" i="3"/>
  <c r="A995" i="3"/>
  <c r="A1003" i="3"/>
  <c r="A1011" i="3"/>
  <c r="A1015" i="3"/>
  <c r="A1019" i="3"/>
  <c r="A1027" i="3"/>
  <c r="A1031" i="3"/>
  <c r="A1043" i="3"/>
  <c r="A1059" i="3"/>
  <c r="A1063" i="3"/>
  <c r="A1067" i="3"/>
  <c r="A1087" i="3"/>
  <c r="A1091" i="3"/>
  <c r="A1099" i="3"/>
  <c r="A1115" i="3"/>
  <c r="A1123" i="3"/>
  <c r="A1139" i="3"/>
  <c r="A1147" i="3"/>
  <c r="A1155" i="3"/>
  <c r="A1171" i="3"/>
  <c r="A1179" i="3"/>
  <c r="A1187" i="3"/>
  <c r="A1203" i="3"/>
  <c r="A1207" i="3"/>
  <c r="A1211" i="3"/>
  <c r="A1219" i="3"/>
  <c r="A1222" i="3"/>
  <c r="A1226" i="3"/>
  <c r="A1230" i="3"/>
  <c r="A1234" i="3"/>
  <c r="A1238" i="3"/>
  <c r="A1242" i="3"/>
  <c r="A1246" i="3"/>
  <c r="A1250" i="3"/>
  <c r="A1254" i="3"/>
  <c r="A1258" i="3"/>
  <c r="A1262" i="3"/>
  <c r="A1266" i="3"/>
  <c r="A1270" i="3"/>
  <c r="A1274" i="3"/>
  <c r="A1278" i="3"/>
  <c r="A1282" i="3"/>
  <c r="A1286" i="3"/>
  <c r="A1290" i="3"/>
  <c r="A1294" i="3"/>
  <c r="A1298" i="3"/>
  <c r="A1302" i="3"/>
  <c r="A1306" i="3"/>
  <c r="A1310" i="3"/>
  <c r="A1314" i="3"/>
  <c r="A1318" i="3"/>
  <c r="A1322" i="3"/>
  <c r="A1326" i="3"/>
  <c r="A1330" i="3"/>
  <c r="A1334" i="3"/>
  <c r="A1338" i="3"/>
  <c r="A1342" i="3"/>
  <c r="A1346" i="3"/>
  <c r="A1350" i="3"/>
  <c r="A1354" i="3"/>
  <c r="A1358" i="3"/>
  <c r="A1362" i="3"/>
  <c r="A1366" i="3"/>
  <c r="A1370" i="3"/>
  <c r="A460" i="3"/>
  <c r="A523" i="3"/>
  <c r="A578" i="3"/>
  <c r="A629" i="3"/>
  <c r="A645" i="3"/>
  <c r="A661" i="3"/>
  <c r="A677" i="3"/>
  <c r="A693" i="3"/>
  <c r="A709" i="3"/>
  <c r="A725" i="3"/>
  <c r="A741" i="3"/>
  <c r="A757" i="3"/>
  <c r="A773" i="3"/>
  <c r="A785" i="3"/>
  <c r="A793" i="3"/>
  <c r="A801" i="3"/>
  <c r="A809" i="3"/>
  <c r="A816" i="3"/>
  <c r="A821" i="3"/>
  <c r="A827" i="3"/>
  <c r="A832" i="3"/>
  <c r="A837" i="3"/>
  <c r="A843" i="3"/>
  <c r="A848" i="3"/>
  <c r="A853" i="3"/>
  <c r="A859" i="3"/>
  <c r="A864" i="3"/>
  <c r="A869" i="3"/>
  <c r="A875" i="3"/>
  <c r="A880" i="3"/>
  <c r="A885" i="3"/>
  <c r="A891" i="3"/>
  <c r="A896" i="3"/>
  <c r="A900" i="3"/>
  <c r="A904" i="3"/>
  <c r="A908" i="3"/>
  <c r="A912" i="3"/>
  <c r="A916" i="3"/>
  <c r="A920" i="3"/>
  <c r="A924" i="3"/>
  <c r="A928" i="3"/>
  <c r="A932" i="3"/>
  <c r="A936" i="3"/>
  <c r="A940" i="3"/>
  <c r="A944" i="3"/>
  <c r="A948" i="3"/>
  <c r="A952" i="3"/>
  <c r="A956" i="3"/>
  <c r="A960" i="3"/>
  <c r="A964" i="3"/>
  <c r="A968" i="3"/>
  <c r="A972" i="3"/>
  <c r="A976" i="3"/>
  <c r="A980" i="3"/>
  <c r="A984" i="3"/>
  <c r="A988" i="3"/>
  <c r="A992" i="3"/>
  <c r="A996" i="3"/>
  <c r="A1000" i="3"/>
  <c r="A1004" i="3"/>
  <c r="A1008" i="3"/>
  <c r="A1012" i="3"/>
  <c r="A1016" i="3"/>
  <c r="A1020" i="3"/>
  <c r="A1024" i="3"/>
  <c r="A1028" i="3"/>
  <c r="A1032" i="3"/>
  <c r="A1036" i="3"/>
  <c r="A1040" i="3"/>
  <c r="A1044" i="3"/>
  <c r="A1048" i="3"/>
  <c r="A1052" i="3"/>
  <c r="A1056" i="3"/>
  <c r="A1060" i="3"/>
  <c r="A1064" i="3"/>
  <c r="A1068" i="3"/>
  <c r="A1072" i="3"/>
  <c r="A1076" i="3"/>
  <c r="A1080" i="3"/>
  <c r="A1084" i="3"/>
  <c r="A1088" i="3"/>
  <c r="A1092" i="3"/>
  <c r="A1096" i="3"/>
  <c r="A1100" i="3"/>
  <c r="A1104" i="3"/>
  <c r="A1108" i="3"/>
  <c r="A1112" i="3"/>
  <c r="A1116" i="3"/>
  <c r="A1120" i="3"/>
  <c r="A1124" i="3"/>
  <c r="A1128" i="3"/>
  <c r="A1132" i="3"/>
  <c r="A1136" i="3"/>
  <c r="A1140" i="3"/>
  <c r="A1144" i="3"/>
  <c r="A1148" i="3"/>
  <c r="A1152" i="3"/>
  <c r="A1156" i="3"/>
  <c r="A1160" i="3"/>
  <c r="A1164" i="3"/>
  <c r="A1168" i="3"/>
  <c r="A1172" i="3"/>
  <c r="A1176" i="3"/>
  <c r="A1180" i="3"/>
  <c r="A1184" i="3"/>
  <c r="A1188" i="3"/>
  <c r="A1192" i="3"/>
  <c r="A1196" i="3"/>
  <c r="A1200" i="3"/>
  <c r="A1204" i="3"/>
  <c r="A1208" i="3"/>
  <c r="A1212" i="3"/>
  <c r="A1216" i="3"/>
  <c r="A1220" i="3"/>
  <c r="A1235" i="3"/>
  <c r="A1239" i="3"/>
  <c r="A1243" i="3"/>
  <c r="A1251" i="3"/>
  <c r="A1267" i="3"/>
  <c r="A1291" i="3"/>
  <c r="A1351" i="3"/>
  <c r="A1355" i="3"/>
  <c r="B41" i="3"/>
  <c r="A41" i="3" s="1"/>
  <c r="A476" i="3"/>
  <c r="A539" i="3"/>
  <c r="A586" i="3"/>
  <c r="A617" i="3"/>
  <c r="A633" i="3"/>
  <c r="A649" i="3"/>
  <c r="A665" i="3"/>
  <c r="A681" i="3"/>
  <c r="A697" i="3"/>
  <c r="A713" i="3"/>
  <c r="A729" i="3"/>
  <c r="A745" i="3"/>
  <c r="A761" i="3"/>
  <c r="A777" i="3"/>
  <c r="A788" i="3"/>
  <c r="A796" i="3"/>
  <c r="A804" i="3"/>
  <c r="A812" i="3"/>
  <c r="A817" i="3"/>
  <c r="A823" i="3"/>
  <c r="A828" i="3"/>
  <c r="A833" i="3"/>
  <c r="A839" i="3"/>
  <c r="A844" i="3"/>
  <c r="A849" i="3"/>
  <c r="A855" i="3"/>
  <c r="A860" i="3"/>
  <c r="A865" i="3"/>
  <c r="A871" i="3"/>
  <c r="A876" i="3"/>
  <c r="A881" i="3"/>
  <c r="A887" i="3"/>
  <c r="A892" i="3"/>
  <c r="A897" i="3"/>
  <c r="A901" i="3"/>
  <c r="A905" i="3"/>
  <c r="A909" i="3"/>
  <c r="A913" i="3"/>
  <c r="A917" i="3"/>
  <c r="A921" i="3"/>
  <c r="A925" i="3"/>
  <c r="A929" i="3"/>
  <c r="A933" i="3"/>
  <c r="A937" i="3"/>
  <c r="A941" i="3"/>
  <c r="A945" i="3"/>
  <c r="A949" i="3"/>
  <c r="A953" i="3"/>
  <c r="A957" i="3"/>
  <c r="A961" i="3"/>
  <c r="A965" i="3"/>
  <c r="A969" i="3"/>
  <c r="A973" i="3"/>
  <c r="A981" i="3"/>
  <c r="A1013" i="3"/>
  <c r="A1021" i="3"/>
  <c r="A1033" i="3"/>
  <c r="A1037" i="3"/>
  <c r="A1045" i="3"/>
  <c r="A1065" i="3"/>
  <c r="A1085" i="3"/>
  <c r="A1093" i="3"/>
  <c r="A1101" i="3"/>
  <c r="A1133" i="3"/>
  <c r="A1173" i="3"/>
  <c r="A1224" i="3"/>
  <c r="A1236" i="3"/>
  <c r="A1240" i="3"/>
  <c r="A1244" i="3"/>
  <c r="A1256" i="3"/>
  <c r="A1276" i="3"/>
  <c r="A1296" i="3"/>
  <c r="A1308" i="3"/>
  <c r="A1344" i="3"/>
  <c r="A1352" i="3"/>
  <c r="A492" i="3"/>
  <c r="A637" i="3"/>
  <c r="A701" i="3"/>
  <c r="A765" i="3"/>
  <c r="A805" i="3"/>
  <c r="A829" i="3"/>
  <c r="A851" i="3"/>
  <c r="A872" i="3"/>
  <c r="A893" i="3"/>
  <c r="A910" i="3"/>
  <c r="A926" i="3"/>
  <c r="A942" i="3"/>
  <c r="A958" i="3"/>
  <c r="A974" i="3"/>
  <c r="A990" i="3"/>
  <c r="A1006" i="3"/>
  <c r="A1022" i="3"/>
  <c r="A1038" i="3"/>
  <c r="A1054" i="3"/>
  <c r="A1070" i="3"/>
  <c r="A1086" i="3"/>
  <c r="A1102" i="3"/>
  <c r="A1118" i="3"/>
  <c r="A1134" i="3"/>
  <c r="A1150" i="3"/>
  <c r="A1166" i="3"/>
  <c r="A1182" i="3"/>
  <c r="A1198" i="3"/>
  <c r="A1214" i="3"/>
  <c r="A1245" i="3"/>
  <c r="B11" i="3"/>
  <c r="A11" i="3" s="1"/>
  <c r="A555" i="3"/>
  <c r="A653" i="3"/>
  <c r="A717" i="3"/>
  <c r="A781" i="3"/>
  <c r="A813" i="3"/>
  <c r="A835" i="3"/>
  <c r="A856" i="3"/>
  <c r="A877" i="3"/>
  <c r="A898" i="3"/>
  <c r="A914" i="3"/>
  <c r="A946" i="3"/>
  <c r="A962" i="3"/>
  <c r="A978" i="3"/>
  <c r="A994" i="3"/>
  <c r="A1010" i="3"/>
  <c r="A1026" i="3"/>
  <c r="A1042" i="3"/>
  <c r="A1058" i="3"/>
  <c r="A1074" i="3"/>
  <c r="A1090" i="3"/>
  <c r="A1106" i="3"/>
  <c r="A1122" i="3"/>
  <c r="A1138" i="3"/>
  <c r="A1154" i="3"/>
  <c r="A1170" i="3"/>
  <c r="A1186" i="3"/>
  <c r="A1202" i="3"/>
  <c r="A1218" i="3"/>
  <c r="A1281" i="3"/>
  <c r="A1297" i="3"/>
  <c r="A1313" i="3"/>
  <c r="A1345" i="3"/>
  <c r="B5" i="3"/>
  <c r="A5" i="3" s="1"/>
  <c r="A594" i="3"/>
  <c r="A669" i="3"/>
  <c r="A733" i="3"/>
  <c r="A789" i="3"/>
  <c r="A819" i="3"/>
  <c r="A840" i="3"/>
  <c r="A861" i="3"/>
  <c r="A883" i="3"/>
  <c r="A950" i="3"/>
  <c r="A966" i="3"/>
  <c r="A982" i="3"/>
  <c r="A998" i="3"/>
  <c r="A1014" i="3"/>
  <c r="A1030" i="3"/>
  <c r="A1046" i="3"/>
  <c r="A1062" i="3"/>
  <c r="A1078" i="3"/>
  <c r="A1094" i="3"/>
  <c r="A1110" i="3"/>
  <c r="A1126" i="3"/>
  <c r="A1142" i="3"/>
  <c r="A1158" i="3"/>
  <c r="A1174" i="3"/>
  <c r="A1190" i="3"/>
  <c r="A1206" i="3"/>
  <c r="A1333" i="3"/>
  <c r="A1349" i="3"/>
  <c r="B7" i="3"/>
  <c r="A7" i="3" s="1"/>
  <c r="A621" i="3"/>
  <c r="A685" i="3"/>
  <c r="A749" i="3"/>
  <c r="A797" i="3"/>
  <c r="A824" i="3"/>
  <c r="A845" i="3"/>
  <c r="A867" i="3"/>
  <c r="A888" i="3"/>
  <c r="A906" i="3"/>
  <c r="A922" i="3"/>
  <c r="A938" i="3"/>
  <c r="A954" i="3"/>
  <c r="A986" i="3"/>
  <c r="A1002" i="3"/>
  <c r="A1018" i="3"/>
  <c r="A1034" i="3"/>
  <c r="A1050" i="3"/>
  <c r="A1066" i="3"/>
  <c r="A1082" i="3"/>
  <c r="A1098" i="3"/>
  <c r="A1114" i="3"/>
  <c r="A1130" i="3"/>
  <c r="A1146" i="3"/>
  <c r="A1162" i="3"/>
  <c r="A1178" i="3"/>
  <c r="A1194" i="3"/>
  <c r="A1210" i="3"/>
  <c r="B35" i="3"/>
  <c r="A35" i="3" s="1"/>
  <c r="B25" i="3"/>
  <c r="A25" i="3" s="1"/>
  <c r="B15" i="3"/>
  <c r="A15" i="3" s="1"/>
  <c r="B9" i="3"/>
  <c r="A9" i="3" s="1"/>
  <c r="B2" i="3"/>
  <c r="A2" i="3" s="1"/>
  <c r="B37" i="3"/>
  <c r="A37" i="3" s="1"/>
  <c r="B21" i="3"/>
  <c r="A21" i="3" s="1"/>
  <c r="A155" i="3"/>
  <c r="A137" i="3"/>
  <c r="A128" i="3"/>
  <c r="A124" i="3"/>
  <c r="A117" i="3"/>
  <c r="B8" i="3"/>
  <c r="A8" i="3" s="1"/>
  <c r="A196" i="3"/>
  <c r="A170" i="3"/>
  <c r="A89" i="3"/>
  <c r="A76" i="3"/>
  <c r="A225" i="3"/>
  <c r="A209" i="3"/>
  <c r="A154" i="3"/>
  <c r="A144" i="3"/>
  <c r="A127" i="3"/>
  <c r="A81" i="3"/>
  <c r="B39" i="3"/>
  <c r="A39" i="3" s="1"/>
  <c r="A199" i="3"/>
  <c r="A180" i="3"/>
  <c r="A110" i="3"/>
  <c r="A99" i="3"/>
  <c r="A63" i="3"/>
  <c r="A57" i="3"/>
  <c r="B36" i="3"/>
  <c r="A36" i="3" s="1"/>
  <c r="B32" i="3"/>
  <c r="A32" i="3" s="1"/>
  <c r="B22" i="3"/>
  <c r="A22" i="3" s="1"/>
  <c r="B33" i="3"/>
  <c r="A33" i="3" s="1"/>
  <c r="B17" i="3"/>
  <c r="A17" i="3" s="1"/>
  <c r="A253" i="3"/>
  <c r="A212" i="3"/>
  <c r="A187" i="3"/>
  <c r="A176" i="3"/>
  <c r="A153" i="3"/>
  <c r="A93" i="3"/>
  <c r="B4" i="3"/>
  <c r="A4" i="3" s="1"/>
  <c r="A259" i="3"/>
  <c r="A224" i="3"/>
  <c r="A181" i="3"/>
  <c r="A174" i="3"/>
  <c r="A168" i="3"/>
  <c r="A164" i="3"/>
  <c r="A100" i="3"/>
  <c r="A213" i="3"/>
  <c r="A207" i="3"/>
  <c r="A177" i="3"/>
  <c r="A158" i="3"/>
  <c r="A152" i="3"/>
  <c r="A138" i="3"/>
  <c r="A134" i="3"/>
  <c r="A125" i="3"/>
  <c r="A90" i="3"/>
  <c r="A79" i="3"/>
  <c r="A255" i="3"/>
  <c r="A214" i="3"/>
  <c r="A197" i="3"/>
  <c r="A103" i="3"/>
  <c r="A97" i="3"/>
  <c r="A61" i="3"/>
  <c r="B26" i="3"/>
  <c r="A26" i="3" s="1"/>
  <c r="B16" i="3"/>
  <c r="A16" i="3" s="1"/>
  <c r="B27" i="3"/>
  <c r="A27" i="3" s="1"/>
  <c r="A52" i="3"/>
  <c r="A53" i="3"/>
  <c r="B31" i="3"/>
  <c r="A31" i="3" s="1"/>
  <c r="B13" i="3"/>
  <c r="A13" i="3" s="1"/>
  <c r="A185" i="3"/>
  <c r="A157" i="3"/>
  <c r="A147" i="3"/>
  <c r="A126" i="3"/>
  <c r="A122" i="3"/>
  <c r="A115" i="3"/>
  <c r="A172" i="3"/>
  <c r="A87" i="3"/>
  <c r="A74" i="3"/>
  <c r="B23" i="3"/>
  <c r="A23" i="3" s="1"/>
  <c r="A205" i="3"/>
  <c r="A156" i="3"/>
  <c r="A129" i="3"/>
  <c r="B40" i="3"/>
  <c r="A40" i="3" s="1"/>
  <c r="A201" i="3"/>
  <c r="A178" i="3"/>
  <c r="A169" i="3"/>
  <c r="A112" i="3"/>
  <c r="A107" i="3"/>
  <c r="A101" i="3"/>
  <c r="A88" i="3"/>
  <c r="B38" i="3"/>
  <c r="A38" i="3" s="1"/>
  <c r="B34" i="3"/>
  <c r="A34" i="3" s="1"/>
  <c r="B30" i="3"/>
  <c r="A30" i="3" s="1"/>
  <c r="B24" i="3"/>
  <c r="A24" i="3" s="1"/>
  <c r="B20" i="3"/>
  <c r="A20" i="3" s="1"/>
  <c r="A56" i="3"/>
  <c r="B29" i="3"/>
  <c r="A29" i="3" s="1"/>
  <c r="A252" i="3"/>
  <c r="A183" i="3"/>
  <c r="A133" i="3"/>
  <c r="A119" i="3"/>
  <c r="A82" i="3"/>
  <c r="A55" i="3"/>
  <c r="A265" i="3"/>
  <c r="A263" i="3"/>
  <c r="A222" i="3"/>
  <c r="A179" i="3"/>
  <c r="A131" i="3"/>
  <c r="A102" i="3"/>
  <c r="A98" i="3"/>
  <c r="A85" i="3"/>
  <c r="A68" i="3"/>
  <c r="A227" i="3"/>
  <c r="A211" i="3"/>
  <c r="A175" i="3"/>
  <c r="A150" i="3"/>
  <c r="A140" i="3"/>
  <c r="A136" i="3"/>
  <c r="A83" i="3"/>
  <c r="B19" i="3"/>
  <c r="A19" i="3" s="1"/>
  <c r="A256" i="3"/>
  <c r="A233" i="3"/>
  <c r="A223" i="3"/>
  <c r="A195" i="3"/>
  <c r="A173" i="3"/>
  <c r="A105" i="3"/>
  <c r="A59" i="3"/>
  <c r="B28" i="3"/>
  <c r="A28" i="3" s="1"/>
  <c r="B14" i="3"/>
  <c r="A14" i="3" s="1"/>
  <c r="B18" i="3"/>
  <c r="A18" i="3" s="1"/>
  <c r="A45" i="3"/>
  <c r="B12" i="3"/>
  <c r="A12" i="3" s="1"/>
  <c r="A44" i="3"/>
  <c r="A51" i="3"/>
  <c r="A54" i="3"/>
  <c r="A49" i="3"/>
  <c r="A43" i="3"/>
  <c r="B6" i="3"/>
  <c r="A6" i="3" s="1"/>
  <c r="B3" i="3"/>
  <c r="A3" i="3" s="1"/>
  <c r="A47" i="3"/>
  <c r="B10" i="3"/>
  <c r="A10" i="3" s="1"/>
  <c r="A122" i="9"/>
  <c r="A121" i="9"/>
  <c r="A144" i="9"/>
  <c r="A137" i="9"/>
  <c r="A140" i="9"/>
  <c r="A136" i="9"/>
  <c r="A138" i="9"/>
  <c r="A15" i="27"/>
  <c r="A139" i="9"/>
  <c r="A146" i="9"/>
  <c r="A142" i="9"/>
  <c r="O11" i="13"/>
  <c r="N11" i="13"/>
  <c r="P11" i="13" s="1"/>
  <c r="P10" i="13"/>
  <c r="L10" i="13"/>
  <c r="K10" i="13"/>
  <c r="M10" i="13" s="1"/>
  <c r="I10" i="13"/>
  <c r="H10" i="13"/>
  <c r="F10" i="13"/>
  <c r="E10" i="13"/>
  <c r="C10" i="13"/>
  <c r="B10" i="13"/>
  <c r="P9" i="13"/>
  <c r="L9" i="13"/>
  <c r="K9" i="13"/>
  <c r="I9" i="13"/>
  <c r="H9" i="13"/>
  <c r="F9" i="13"/>
  <c r="E9" i="13"/>
  <c r="C9" i="13"/>
  <c r="B9" i="13"/>
  <c r="P8" i="13"/>
  <c r="L8" i="13"/>
  <c r="K8" i="13"/>
  <c r="I8" i="13"/>
  <c r="H8" i="13"/>
  <c r="J8" i="13" s="1"/>
  <c r="F8" i="13"/>
  <c r="E8" i="13"/>
  <c r="C8" i="13"/>
  <c r="B8" i="13"/>
  <c r="P7" i="13"/>
  <c r="L7" i="13"/>
  <c r="K7" i="13"/>
  <c r="I7" i="13"/>
  <c r="H7" i="13"/>
  <c r="F7" i="13"/>
  <c r="E7" i="13"/>
  <c r="C7" i="13"/>
  <c r="B7" i="13"/>
  <c r="C16" i="14"/>
  <c r="I15" i="14"/>
  <c r="G15" i="14"/>
  <c r="E15" i="14"/>
  <c r="D15" i="14"/>
  <c r="C15" i="14"/>
  <c r="K15" i="14" s="1"/>
  <c r="B15" i="14"/>
  <c r="J15" i="14" s="1"/>
  <c r="L15" i="14" s="1"/>
  <c r="I14" i="14"/>
  <c r="G14" i="14"/>
  <c r="E14" i="14"/>
  <c r="D14" i="14"/>
  <c r="C14" i="14"/>
  <c r="I13" i="14"/>
  <c r="G13" i="14"/>
  <c r="E13" i="14"/>
  <c r="D13" i="14"/>
  <c r="C13" i="14"/>
  <c r="K13" i="14" s="1"/>
  <c r="B13" i="14"/>
  <c r="J13" i="14" s="1"/>
  <c r="L13" i="14" s="1"/>
  <c r="I12" i="14"/>
  <c r="G12" i="14"/>
  <c r="E12" i="14"/>
  <c r="D12" i="14"/>
  <c r="C12" i="14"/>
  <c r="K12" i="14" s="1"/>
  <c r="B12" i="14"/>
  <c r="J12" i="14" s="1"/>
  <c r="L12" i="14" s="1"/>
  <c r="I11" i="14"/>
  <c r="I16" i="14" s="1"/>
  <c r="G11" i="14"/>
  <c r="E11" i="14"/>
  <c r="D11" i="14"/>
  <c r="C11" i="14"/>
  <c r="K11" i="14" s="1"/>
  <c r="B11" i="14"/>
  <c r="J11" i="14" s="1"/>
  <c r="L11" i="14" s="1"/>
  <c r="G10" i="14"/>
  <c r="E10" i="14"/>
  <c r="D10" i="14"/>
  <c r="C10" i="14"/>
  <c r="K10" i="14" s="1"/>
  <c r="B10" i="14"/>
  <c r="J10" i="14" s="1"/>
  <c r="L10" i="14" s="1"/>
  <c r="G9" i="14"/>
  <c r="G16" i="14" s="1"/>
  <c r="E9" i="14"/>
  <c r="D9" i="14"/>
  <c r="C9" i="14"/>
  <c r="K9" i="14" s="1"/>
  <c r="B9" i="14"/>
  <c r="J9" i="14" s="1"/>
  <c r="L9" i="14" s="1"/>
  <c r="E8" i="14"/>
  <c r="E16" i="14" s="1"/>
  <c r="D8" i="14"/>
  <c r="D16" i="14" s="1"/>
  <c r="C8" i="14"/>
  <c r="K8" i="14" s="1"/>
  <c r="K16" i="14" s="1"/>
  <c r="B16" i="14"/>
  <c r="L16" i="14" s="1"/>
  <c r="C17" i="4"/>
  <c r="AN13" i="26"/>
  <c r="C17" i="26" s="1"/>
  <c r="AM13" i="26"/>
  <c r="W1727" i="3"/>
  <c r="X1727" i="3" s="1"/>
  <c r="Y1727" i="3" s="1"/>
  <c r="Z1727" i="3" s="1"/>
  <c r="T1727" i="3"/>
  <c r="U1727" i="3" s="1"/>
  <c r="P1727" i="3"/>
  <c r="J1727" i="3"/>
  <c r="F1727" i="3"/>
  <c r="W1726" i="3"/>
  <c r="X1726" i="3" s="1"/>
  <c r="Y1726" i="3" s="1"/>
  <c r="Z1726" i="3" s="1"/>
  <c r="T1726" i="3"/>
  <c r="U1726" i="3" s="1"/>
  <c r="P1726" i="3"/>
  <c r="J1726" i="3"/>
  <c r="F1726" i="3"/>
  <c r="W1725" i="3"/>
  <c r="X1725" i="3" s="1"/>
  <c r="Y1725" i="3" s="1"/>
  <c r="Z1725" i="3" s="1"/>
  <c r="T1725" i="3"/>
  <c r="U1725" i="3" s="1"/>
  <c r="P1725" i="3"/>
  <c r="J1725" i="3"/>
  <c r="F1725" i="3"/>
  <c r="W1724" i="3"/>
  <c r="X1724" i="3" s="1"/>
  <c r="Y1724" i="3" s="1"/>
  <c r="Z1724" i="3" s="1"/>
  <c r="T1724" i="3"/>
  <c r="U1724" i="3" s="1"/>
  <c r="P1724" i="3"/>
  <c r="J1724" i="3"/>
  <c r="F1724" i="3"/>
  <c r="W1723" i="3"/>
  <c r="X1723" i="3" s="1"/>
  <c r="Y1723" i="3" s="1"/>
  <c r="Z1723" i="3" s="1"/>
  <c r="T1723" i="3"/>
  <c r="U1723" i="3" s="1"/>
  <c r="P1723" i="3"/>
  <c r="J1723" i="3"/>
  <c r="F1723" i="3"/>
  <c r="W1722" i="3"/>
  <c r="X1722" i="3" s="1"/>
  <c r="Y1722" i="3" s="1"/>
  <c r="Z1722" i="3" s="1"/>
  <c r="T1722" i="3"/>
  <c r="U1722" i="3" s="1"/>
  <c r="P1722" i="3"/>
  <c r="J1722" i="3"/>
  <c r="F1722" i="3"/>
  <c r="W1721" i="3"/>
  <c r="X1721" i="3" s="1"/>
  <c r="Y1721" i="3" s="1"/>
  <c r="Z1721" i="3" s="1"/>
  <c r="T1721" i="3"/>
  <c r="U1721" i="3" s="1"/>
  <c r="P1721" i="3"/>
  <c r="J1721" i="3"/>
  <c r="F1721" i="3"/>
  <c r="W1720" i="3"/>
  <c r="X1720" i="3" s="1"/>
  <c r="Y1720" i="3" s="1"/>
  <c r="Z1720" i="3" s="1"/>
  <c r="T1720" i="3"/>
  <c r="U1720" i="3" s="1"/>
  <c r="P1720" i="3"/>
  <c r="J1720" i="3"/>
  <c r="F1720" i="3"/>
  <c r="W1719" i="3"/>
  <c r="X1719" i="3" s="1"/>
  <c r="Y1719" i="3" s="1"/>
  <c r="Z1719" i="3" s="1"/>
  <c r="T1719" i="3"/>
  <c r="U1719" i="3" s="1"/>
  <c r="P1719" i="3"/>
  <c r="J1719" i="3"/>
  <c r="F1719" i="3"/>
  <c r="W1718" i="3"/>
  <c r="X1718" i="3" s="1"/>
  <c r="Y1718" i="3" s="1"/>
  <c r="Z1718" i="3" s="1"/>
  <c r="T1718" i="3"/>
  <c r="U1718" i="3" s="1"/>
  <c r="P1718" i="3"/>
  <c r="J1718" i="3"/>
  <c r="F1718" i="3"/>
  <c r="W1717" i="3"/>
  <c r="X1717" i="3" s="1"/>
  <c r="Y1717" i="3" s="1"/>
  <c r="Z1717" i="3" s="1"/>
  <c r="T1717" i="3"/>
  <c r="U1717" i="3" s="1"/>
  <c r="P1717" i="3"/>
  <c r="J1717" i="3"/>
  <c r="F1717" i="3"/>
  <c r="W1716" i="3"/>
  <c r="X1716" i="3" s="1"/>
  <c r="Y1716" i="3" s="1"/>
  <c r="Z1716" i="3" s="1"/>
  <c r="T1716" i="3"/>
  <c r="U1716" i="3" s="1"/>
  <c r="P1716" i="3"/>
  <c r="J1716" i="3"/>
  <c r="F1716" i="3"/>
  <c r="W1715" i="3"/>
  <c r="X1715" i="3" s="1"/>
  <c r="Y1715" i="3" s="1"/>
  <c r="Z1715" i="3" s="1"/>
  <c r="T1715" i="3"/>
  <c r="U1715" i="3" s="1"/>
  <c r="P1715" i="3"/>
  <c r="J1715" i="3"/>
  <c r="F1715" i="3"/>
  <c r="W1714" i="3"/>
  <c r="X1714" i="3" s="1"/>
  <c r="Y1714" i="3" s="1"/>
  <c r="Z1714" i="3" s="1"/>
  <c r="T1714" i="3"/>
  <c r="U1714" i="3" s="1"/>
  <c r="P1714" i="3"/>
  <c r="J1714" i="3"/>
  <c r="F1714" i="3"/>
  <c r="W1713" i="3"/>
  <c r="X1713" i="3" s="1"/>
  <c r="Y1713" i="3" s="1"/>
  <c r="Z1713" i="3" s="1"/>
  <c r="T1713" i="3"/>
  <c r="U1713" i="3" s="1"/>
  <c r="P1713" i="3"/>
  <c r="J1713" i="3"/>
  <c r="F1713" i="3"/>
  <c r="W1712" i="3"/>
  <c r="X1712" i="3" s="1"/>
  <c r="Y1712" i="3" s="1"/>
  <c r="Z1712" i="3" s="1"/>
  <c r="T1712" i="3"/>
  <c r="U1712" i="3" s="1"/>
  <c r="P1712" i="3"/>
  <c r="J1712" i="3"/>
  <c r="F1712" i="3"/>
  <c r="W1711" i="3"/>
  <c r="X1711" i="3" s="1"/>
  <c r="Y1711" i="3" s="1"/>
  <c r="Z1711" i="3" s="1"/>
  <c r="T1711" i="3"/>
  <c r="U1711" i="3" s="1"/>
  <c r="P1711" i="3"/>
  <c r="J1711" i="3"/>
  <c r="F1711" i="3"/>
  <c r="W1710" i="3"/>
  <c r="X1710" i="3" s="1"/>
  <c r="Y1710" i="3" s="1"/>
  <c r="Z1710" i="3" s="1"/>
  <c r="T1710" i="3"/>
  <c r="U1710" i="3" s="1"/>
  <c r="P1710" i="3"/>
  <c r="J1710" i="3"/>
  <c r="F1710" i="3"/>
  <c r="W1709" i="3"/>
  <c r="X1709" i="3" s="1"/>
  <c r="Y1709" i="3" s="1"/>
  <c r="Z1709" i="3" s="1"/>
  <c r="T1709" i="3"/>
  <c r="U1709" i="3" s="1"/>
  <c r="P1709" i="3"/>
  <c r="J1709" i="3"/>
  <c r="F1709" i="3"/>
  <c r="W1708" i="3"/>
  <c r="X1708" i="3" s="1"/>
  <c r="Y1708" i="3" s="1"/>
  <c r="Z1708" i="3" s="1"/>
  <c r="T1708" i="3"/>
  <c r="U1708" i="3" s="1"/>
  <c r="P1708" i="3"/>
  <c r="J1708" i="3"/>
  <c r="F1708" i="3"/>
  <c r="W1707" i="3"/>
  <c r="X1707" i="3" s="1"/>
  <c r="Y1707" i="3" s="1"/>
  <c r="Z1707" i="3" s="1"/>
  <c r="T1707" i="3"/>
  <c r="U1707" i="3" s="1"/>
  <c r="P1707" i="3"/>
  <c r="J1707" i="3"/>
  <c r="F1707" i="3"/>
  <c r="W1706" i="3"/>
  <c r="X1706" i="3" s="1"/>
  <c r="Y1706" i="3" s="1"/>
  <c r="Z1706" i="3" s="1"/>
  <c r="T1706" i="3"/>
  <c r="U1706" i="3" s="1"/>
  <c r="P1706" i="3"/>
  <c r="J1706" i="3"/>
  <c r="F1706" i="3"/>
  <c r="W1705" i="3"/>
  <c r="X1705" i="3" s="1"/>
  <c r="Y1705" i="3" s="1"/>
  <c r="Z1705" i="3" s="1"/>
  <c r="T1705" i="3"/>
  <c r="U1705" i="3" s="1"/>
  <c r="P1705" i="3"/>
  <c r="J1705" i="3"/>
  <c r="F1705" i="3"/>
  <c r="W1704" i="3"/>
  <c r="X1704" i="3" s="1"/>
  <c r="Y1704" i="3" s="1"/>
  <c r="Z1704" i="3" s="1"/>
  <c r="T1704" i="3"/>
  <c r="U1704" i="3" s="1"/>
  <c r="P1704" i="3"/>
  <c r="J1704" i="3"/>
  <c r="F1704" i="3"/>
  <c r="W1703" i="3"/>
  <c r="X1703" i="3" s="1"/>
  <c r="Y1703" i="3" s="1"/>
  <c r="Z1703" i="3" s="1"/>
  <c r="T1703" i="3"/>
  <c r="U1703" i="3" s="1"/>
  <c r="P1703" i="3"/>
  <c r="J1703" i="3"/>
  <c r="F1703" i="3"/>
  <c r="W1702" i="3"/>
  <c r="X1702" i="3" s="1"/>
  <c r="Y1702" i="3" s="1"/>
  <c r="Z1702" i="3" s="1"/>
  <c r="T1702" i="3"/>
  <c r="U1702" i="3" s="1"/>
  <c r="P1702" i="3"/>
  <c r="J1702" i="3"/>
  <c r="F1702" i="3"/>
  <c r="W1701" i="3"/>
  <c r="X1701" i="3" s="1"/>
  <c r="Y1701" i="3" s="1"/>
  <c r="Z1701" i="3" s="1"/>
  <c r="T1701" i="3"/>
  <c r="U1701" i="3" s="1"/>
  <c r="P1701" i="3"/>
  <c r="J1701" i="3"/>
  <c r="F1701" i="3"/>
  <c r="W1700" i="3"/>
  <c r="X1700" i="3" s="1"/>
  <c r="Y1700" i="3" s="1"/>
  <c r="Z1700" i="3" s="1"/>
  <c r="T1700" i="3"/>
  <c r="U1700" i="3" s="1"/>
  <c r="P1700" i="3"/>
  <c r="J1700" i="3"/>
  <c r="F1700" i="3"/>
  <c r="W1699" i="3"/>
  <c r="X1699" i="3" s="1"/>
  <c r="Y1699" i="3" s="1"/>
  <c r="Z1699" i="3" s="1"/>
  <c r="T1699" i="3"/>
  <c r="U1699" i="3" s="1"/>
  <c r="P1699" i="3"/>
  <c r="J1699" i="3"/>
  <c r="F1699" i="3"/>
  <c r="W1698" i="3"/>
  <c r="X1698" i="3" s="1"/>
  <c r="Y1698" i="3" s="1"/>
  <c r="Z1698" i="3" s="1"/>
  <c r="T1698" i="3"/>
  <c r="U1698" i="3" s="1"/>
  <c r="P1698" i="3"/>
  <c r="J1698" i="3"/>
  <c r="F1698" i="3"/>
  <c r="W1697" i="3"/>
  <c r="X1697" i="3" s="1"/>
  <c r="Y1697" i="3" s="1"/>
  <c r="Z1697" i="3" s="1"/>
  <c r="T1697" i="3"/>
  <c r="U1697" i="3" s="1"/>
  <c r="P1697" i="3"/>
  <c r="J1697" i="3"/>
  <c r="F1697" i="3"/>
  <c r="W1696" i="3"/>
  <c r="X1696" i="3" s="1"/>
  <c r="Y1696" i="3" s="1"/>
  <c r="Z1696" i="3" s="1"/>
  <c r="T1696" i="3"/>
  <c r="U1696" i="3" s="1"/>
  <c r="P1696" i="3"/>
  <c r="J1696" i="3"/>
  <c r="F1696" i="3"/>
  <c r="W1695" i="3"/>
  <c r="X1695" i="3" s="1"/>
  <c r="Y1695" i="3" s="1"/>
  <c r="Z1695" i="3" s="1"/>
  <c r="T1695" i="3"/>
  <c r="U1695" i="3" s="1"/>
  <c r="P1695" i="3"/>
  <c r="J1695" i="3"/>
  <c r="F1695" i="3"/>
  <c r="W1694" i="3"/>
  <c r="X1694" i="3" s="1"/>
  <c r="Y1694" i="3" s="1"/>
  <c r="Z1694" i="3" s="1"/>
  <c r="T1694" i="3"/>
  <c r="U1694" i="3" s="1"/>
  <c r="P1694" i="3"/>
  <c r="J1694" i="3"/>
  <c r="F1694" i="3"/>
  <c r="W1693" i="3"/>
  <c r="X1693" i="3" s="1"/>
  <c r="Y1693" i="3" s="1"/>
  <c r="Z1693" i="3" s="1"/>
  <c r="T1693" i="3"/>
  <c r="U1693" i="3" s="1"/>
  <c r="P1693" i="3"/>
  <c r="J1693" i="3"/>
  <c r="F1693" i="3"/>
  <c r="W1692" i="3"/>
  <c r="X1692" i="3" s="1"/>
  <c r="Y1692" i="3" s="1"/>
  <c r="Z1692" i="3" s="1"/>
  <c r="T1692" i="3"/>
  <c r="U1692" i="3" s="1"/>
  <c r="P1692" i="3"/>
  <c r="J1692" i="3"/>
  <c r="F1692" i="3"/>
  <c r="W1691" i="3"/>
  <c r="X1691" i="3" s="1"/>
  <c r="Y1691" i="3" s="1"/>
  <c r="Z1691" i="3" s="1"/>
  <c r="T1691" i="3"/>
  <c r="U1691" i="3" s="1"/>
  <c r="P1691" i="3"/>
  <c r="J1691" i="3"/>
  <c r="F1691" i="3"/>
  <c r="W1690" i="3"/>
  <c r="X1690" i="3" s="1"/>
  <c r="Y1690" i="3" s="1"/>
  <c r="Z1690" i="3" s="1"/>
  <c r="T1690" i="3"/>
  <c r="U1690" i="3" s="1"/>
  <c r="P1690" i="3"/>
  <c r="J1690" i="3"/>
  <c r="F1690" i="3"/>
  <c r="W1689" i="3"/>
  <c r="X1689" i="3" s="1"/>
  <c r="Y1689" i="3" s="1"/>
  <c r="Z1689" i="3" s="1"/>
  <c r="T1689" i="3"/>
  <c r="U1689" i="3" s="1"/>
  <c r="P1689" i="3"/>
  <c r="J1689" i="3"/>
  <c r="F1689" i="3"/>
  <c r="W1688" i="3"/>
  <c r="X1688" i="3" s="1"/>
  <c r="Y1688" i="3" s="1"/>
  <c r="Z1688" i="3" s="1"/>
  <c r="T1688" i="3"/>
  <c r="U1688" i="3" s="1"/>
  <c r="P1688" i="3"/>
  <c r="J1688" i="3"/>
  <c r="F1688" i="3"/>
  <c r="W1687" i="3"/>
  <c r="X1687" i="3" s="1"/>
  <c r="Y1687" i="3" s="1"/>
  <c r="Z1687" i="3" s="1"/>
  <c r="T1687" i="3"/>
  <c r="U1687" i="3" s="1"/>
  <c r="P1687" i="3"/>
  <c r="J1687" i="3"/>
  <c r="F1687" i="3"/>
  <c r="W1686" i="3"/>
  <c r="X1686" i="3" s="1"/>
  <c r="Y1686" i="3" s="1"/>
  <c r="Z1686" i="3" s="1"/>
  <c r="T1686" i="3"/>
  <c r="U1686" i="3" s="1"/>
  <c r="P1686" i="3"/>
  <c r="J1686" i="3"/>
  <c r="F1686" i="3"/>
  <c r="W1685" i="3"/>
  <c r="X1685" i="3" s="1"/>
  <c r="Y1685" i="3" s="1"/>
  <c r="Z1685" i="3" s="1"/>
  <c r="T1685" i="3"/>
  <c r="U1685" i="3" s="1"/>
  <c r="P1685" i="3"/>
  <c r="J1685" i="3"/>
  <c r="F1685" i="3"/>
  <c r="W1684" i="3"/>
  <c r="X1684" i="3" s="1"/>
  <c r="Y1684" i="3" s="1"/>
  <c r="Z1684" i="3" s="1"/>
  <c r="T1684" i="3"/>
  <c r="U1684" i="3" s="1"/>
  <c r="P1684" i="3"/>
  <c r="J1684" i="3"/>
  <c r="F1684" i="3"/>
  <c r="W1683" i="3"/>
  <c r="X1683" i="3" s="1"/>
  <c r="Y1683" i="3" s="1"/>
  <c r="Z1683" i="3" s="1"/>
  <c r="T1683" i="3"/>
  <c r="U1683" i="3" s="1"/>
  <c r="P1683" i="3"/>
  <c r="J1683" i="3"/>
  <c r="F1683" i="3"/>
  <c r="W1682" i="3"/>
  <c r="X1682" i="3" s="1"/>
  <c r="Y1682" i="3" s="1"/>
  <c r="Z1682" i="3" s="1"/>
  <c r="T1682" i="3"/>
  <c r="U1682" i="3" s="1"/>
  <c r="P1682" i="3"/>
  <c r="J1682" i="3"/>
  <c r="F1682" i="3"/>
  <c r="W1681" i="3"/>
  <c r="X1681" i="3" s="1"/>
  <c r="Y1681" i="3" s="1"/>
  <c r="Z1681" i="3" s="1"/>
  <c r="T1681" i="3"/>
  <c r="U1681" i="3" s="1"/>
  <c r="P1681" i="3"/>
  <c r="J1681" i="3"/>
  <c r="F1681" i="3"/>
  <c r="W1680" i="3"/>
  <c r="X1680" i="3" s="1"/>
  <c r="Y1680" i="3" s="1"/>
  <c r="Z1680" i="3" s="1"/>
  <c r="T1680" i="3"/>
  <c r="U1680" i="3" s="1"/>
  <c r="P1680" i="3"/>
  <c r="J1680" i="3"/>
  <c r="F1680" i="3"/>
  <c r="W1679" i="3"/>
  <c r="X1679" i="3" s="1"/>
  <c r="Y1679" i="3" s="1"/>
  <c r="Z1679" i="3" s="1"/>
  <c r="T1679" i="3"/>
  <c r="U1679" i="3" s="1"/>
  <c r="P1679" i="3"/>
  <c r="J1679" i="3"/>
  <c r="F1679" i="3"/>
  <c r="W1678" i="3"/>
  <c r="X1678" i="3" s="1"/>
  <c r="Y1678" i="3" s="1"/>
  <c r="Z1678" i="3" s="1"/>
  <c r="T1678" i="3"/>
  <c r="U1678" i="3" s="1"/>
  <c r="P1678" i="3"/>
  <c r="J1678" i="3"/>
  <c r="F1678" i="3"/>
  <c r="W1677" i="3"/>
  <c r="X1677" i="3" s="1"/>
  <c r="Y1677" i="3" s="1"/>
  <c r="Z1677" i="3" s="1"/>
  <c r="T1677" i="3"/>
  <c r="U1677" i="3" s="1"/>
  <c r="P1677" i="3"/>
  <c r="J1677" i="3"/>
  <c r="F1677" i="3"/>
  <c r="W1676" i="3"/>
  <c r="X1676" i="3" s="1"/>
  <c r="Y1676" i="3" s="1"/>
  <c r="Z1676" i="3" s="1"/>
  <c r="T1676" i="3"/>
  <c r="U1676" i="3" s="1"/>
  <c r="P1676" i="3"/>
  <c r="J1676" i="3"/>
  <c r="F1676" i="3"/>
  <c r="W1675" i="3"/>
  <c r="X1675" i="3" s="1"/>
  <c r="Y1675" i="3" s="1"/>
  <c r="Z1675" i="3" s="1"/>
  <c r="T1675" i="3"/>
  <c r="U1675" i="3" s="1"/>
  <c r="P1675" i="3"/>
  <c r="J1675" i="3"/>
  <c r="F1675" i="3"/>
  <c r="W1674" i="3"/>
  <c r="X1674" i="3" s="1"/>
  <c r="Y1674" i="3" s="1"/>
  <c r="Z1674" i="3" s="1"/>
  <c r="T1674" i="3"/>
  <c r="U1674" i="3" s="1"/>
  <c r="P1674" i="3"/>
  <c r="J1674" i="3"/>
  <c r="F1674" i="3"/>
  <c r="W1673" i="3"/>
  <c r="X1673" i="3" s="1"/>
  <c r="Y1673" i="3" s="1"/>
  <c r="Z1673" i="3" s="1"/>
  <c r="T1673" i="3"/>
  <c r="U1673" i="3" s="1"/>
  <c r="P1673" i="3"/>
  <c r="J1673" i="3"/>
  <c r="F1673" i="3"/>
  <c r="W1672" i="3"/>
  <c r="X1672" i="3" s="1"/>
  <c r="Y1672" i="3" s="1"/>
  <c r="Z1672" i="3" s="1"/>
  <c r="T1672" i="3"/>
  <c r="U1672" i="3" s="1"/>
  <c r="P1672" i="3"/>
  <c r="J1672" i="3"/>
  <c r="F1672" i="3"/>
  <c r="W1671" i="3"/>
  <c r="X1671" i="3" s="1"/>
  <c r="Y1671" i="3" s="1"/>
  <c r="Z1671" i="3" s="1"/>
  <c r="T1671" i="3"/>
  <c r="U1671" i="3" s="1"/>
  <c r="P1671" i="3"/>
  <c r="J1671" i="3"/>
  <c r="F1671" i="3"/>
  <c r="W1670" i="3"/>
  <c r="X1670" i="3" s="1"/>
  <c r="Y1670" i="3" s="1"/>
  <c r="Z1670" i="3" s="1"/>
  <c r="T1670" i="3"/>
  <c r="U1670" i="3" s="1"/>
  <c r="P1670" i="3"/>
  <c r="J1670" i="3"/>
  <c r="F1670" i="3"/>
  <c r="W1669" i="3"/>
  <c r="X1669" i="3" s="1"/>
  <c r="Y1669" i="3" s="1"/>
  <c r="Z1669" i="3" s="1"/>
  <c r="T1669" i="3"/>
  <c r="U1669" i="3" s="1"/>
  <c r="P1669" i="3"/>
  <c r="J1669" i="3"/>
  <c r="F1669" i="3"/>
  <c r="W1668" i="3"/>
  <c r="X1668" i="3" s="1"/>
  <c r="Y1668" i="3" s="1"/>
  <c r="Z1668" i="3" s="1"/>
  <c r="T1668" i="3"/>
  <c r="U1668" i="3" s="1"/>
  <c r="P1668" i="3"/>
  <c r="J1668" i="3"/>
  <c r="F1668" i="3"/>
  <c r="W1667" i="3"/>
  <c r="X1667" i="3" s="1"/>
  <c r="Y1667" i="3" s="1"/>
  <c r="Z1667" i="3" s="1"/>
  <c r="T1667" i="3"/>
  <c r="U1667" i="3" s="1"/>
  <c r="P1667" i="3"/>
  <c r="J1667" i="3"/>
  <c r="F1667" i="3"/>
  <c r="W1666" i="3"/>
  <c r="X1666" i="3" s="1"/>
  <c r="Y1666" i="3" s="1"/>
  <c r="Z1666" i="3" s="1"/>
  <c r="T1666" i="3"/>
  <c r="U1666" i="3" s="1"/>
  <c r="P1666" i="3"/>
  <c r="J1666" i="3"/>
  <c r="F1666" i="3"/>
  <c r="W1665" i="3"/>
  <c r="X1665" i="3" s="1"/>
  <c r="Y1665" i="3" s="1"/>
  <c r="Z1665" i="3" s="1"/>
  <c r="T1665" i="3"/>
  <c r="U1665" i="3" s="1"/>
  <c r="P1665" i="3"/>
  <c r="J1665" i="3"/>
  <c r="F1665" i="3"/>
  <c r="W1664" i="3"/>
  <c r="X1664" i="3" s="1"/>
  <c r="Y1664" i="3" s="1"/>
  <c r="Z1664" i="3" s="1"/>
  <c r="T1664" i="3"/>
  <c r="U1664" i="3" s="1"/>
  <c r="P1664" i="3"/>
  <c r="J1664" i="3"/>
  <c r="F1664" i="3"/>
  <c r="W1663" i="3"/>
  <c r="X1663" i="3" s="1"/>
  <c r="Y1663" i="3" s="1"/>
  <c r="Z1663" i="3" s="1"/>
  <c r="T1663" i="3"/>
  <c r="U1663" i="3" s="1"/>
  <c r="P1663" i="3"/>
  <c r="J1663" i="3"/>
  <c r="F1663" i="3"/>
  <c r="W1662" i="3"/>
  <c r="X1662" i="3" s="1"/>
  <c r="Y1662" i="3" s="1"/>
  <c r="Z1662" i="3" s="1"/>
  <c r="T1662" i="3"/>
  <c r="U1662" i="3" s="1"/>
  <c r="P1662" i="3"/>
  <c r="J1662" i="3"/>
  <c r="F1662" i="3"/>
  <c r="W1661" i="3"/>
  <c r="X1661" i="3" s="1"/>
  <c r="Y1661" i="3" s="1"/>
  <c r="Z1661" i="3" s="1"/>
  <c r="T1661" i="3"/>
  <c r="U1661" i="3" s="1"/>
  <c r="P1661" i="3"/>
  <c r="J1661" i="3"/>
  <c r="F1661" i="3"/>
  <c r="W1660" i="3"/>
  <c r="X1660" i="3" s="1"/>
  <c r="Y1660" i="3" s="1"/>
  <c r="Z1660" i="3" s="1"/>
  <c r="T1660" i="3"/>
  <c r="U1660" i="3" s="1"/>
  <c r="P1660" i="3"/>
  <c r="J1660" i="3"/>
  <c r="F1660" i="3"/>
  <c r="W1659" i="3"/>
  <c r="X1659" i="3" s="1"/>
  <c r="Y1659" i="3" s="1"/>
  <c r="Z1659" i="3" s="1"/>
  <c r="T1659" i="3"/>
  <c r="U1659" i="3" s="1"/>
  <c r="P1659" i="3"/>
  <c r="J1659" i="3"/>
  <c r="F1659" i="3"/>
  <c r="W1658" i="3"/>
  <c r="X1658" i="3" s="1"/>
  <c r="Y1658" i="3" s="1"/>
  <c r="Z1658" i="3" s="1"/>
  <c r="T1658" i="3"/>
  <c r="U1658" i="3" s="1"/>
  <c r="P1658" i="3"/>
  <c r="J1658" i="3"/>
  <c r="F1658" i="3"/>
  <c r="W1657" i="3"/>
  <c r="X1657" i="3" s="1"/>
  <c r="Y1657" i="3" s="1"/>
  <c r="Z1657" i="3" s="1"/>
  <c r="T1657" i="3"/>
  <c r="U1657" i="3" s="1"/>
  <c r="P1657" i="3"/>
  <c r="J1657" i="3"/>
  <c r="F1657" i="3"/>
  <c r="W1656" i="3"/>
  <c r="X1656" i="3" s="1"/>
  <c r="Y1656" i="3" s="1"/>
  <c r="Z1656" i="3" s="1"/>
  <c r="T1656" i="3"/>
  <c r="U1656" i="3" s="1"/>
  <c r="P1656" i="3"/>
  <c r="J1656" i="3"/>
  <c r="F1656" i="3"/>
  <c r="W1655" i="3"/>
  <c r="X1655" i="3" s="1"/>
  <c r="Y1655" i="3" s="1"/>
  <c r="Z1655" i="3" s="1"/>
  <c r="T1655" i="3"/>
  <c r="U1655" i="3" s="1"/>
  <c r="P1655" i="3"/>
  <c r="J1655" i="3"/>
  <c r="F1655" i="3"/>
  <c r="W1654" i="3"/>
  <c r="X1654" i="3" s="1"/>
  <c r="Y1654" i="3" s="1"/>
  <c r="Z1654" i="3" s="1"/>
  <c r="T1654" i="3"/>
  <c r="U1654" i="3" s="1"/>
  <c r="P1654" i="3"/>
  <c r="J1654" i="3"/>
  <c r="F1654" i="3"/>
  <c r="W1653" i="3"/>
  <c r="X1653" i="3" s="1"/>
  <c r="Y1653" i="3" s="1"/>
  <c r="Z1653" i="3" s="1"/>
  <c r="T1653" i="3"/>
  <c r="U1653" i="3" s="1"/>
  <c r="P1653" i="3"/>
  <c r="J1653" i="3"/>
  <c r="F1653" i="3"/>
  <c r="W1652" i="3"/>
  <c r="X1652" i="3" s="1"/>
  <c r="Y1652" i="3" s="1"/>
  <c r="Z1652" i="3" s="1"/>
  <c r="T1652" i="3"/>
  <c r="U1652" i="3" s="1"/>
  <c r="P1652" i="3"/>
  <c r="J1652" i="3"/>
  <c r="F1652" i="3"/>
  <c r="W1651" i="3"/>
  <c r="X1651" i="3" s="1"/>
  <c r="Y1651" i="3" s="1"/>
  <c r="Z1651" i="3" s="1"/>
  <c r="T1651" i="3"/>
  <c r="U1651" i="3" s="1"/>
  <c r="P1651" i="3"/>
  <c r="J1651" i="3"/>
  <c r="F1651" i="3"/>
  <c r="W1650" i="3"/>
  <c r="X1650" i="3" s="1"/>
  <c r="Y1650" i="3" s="1"/>
  <c r="Z1650" i="3" s="1"/>
  <c r="T1650" i="3"/>
  <c r="U1650" i="3" s="1"/>
  <c r="P1650" i="3"/>
  <c r="J1650" i="3"/>
  <c r="F1650" i="3"/>
  <c r="W1649" i="3"/>
  <c r="X1649" i="3" s="1"/>
  <c r="Y1649" i="3" s="1"/>
  <c r="Z1649" i="3" s="1"/>
  <c r="T1649" i="3"/>
  <c r="U1649" i="3" s="1"/>
  <c r="P1649" i="3"/>
  <c r="J1649" i="3"/>
  <c r="F1649" i="3"/>
  <c r="W1648" i="3"/>
  <c r="X1648" i="3" s="1"/>
  <c r="Y1648" i="3" s="1"/>
  <c r="Z1648" i="3" s="1"/>
  <c r="T1648" i="3"/>
  <c r="U1648" i="3" s="1"/>
  <c r="P1648" i="3"/>
  <c r="J1648" i="3"/>
  <c r="F1648" i="3"/>
  <c r="W1647" i="3"/>
  <c r="X1647" i="3" s="1"/>
  <c r="Y1647" i="3" s="1"/>
  <c r="Z1647" i="3" s="1"/>
  <c r="T1647" i="3"/>
  <c r="U1647" i="3" s="1"/>
  <c r="P1647" i="3"/>
  <c r="J1647" i="3"/>
  <c r="F1647" i="3"/>
  <c r="W1646" i="3"/>
  <c r="X1646" i="3" s="1"/>
  <c r="Y1646" i="3" s="1"/>
  <c r="Z1646" i="3" s="1"/>
  <c r="T1646" i="3"/>
  <c r="U1646" i="3" s="1"/>
  <c r="P1646" i="3"/>
  <c r="J1646" i="3"/>
  <c r="F1646" i="3"/>
  <c r="W1645" i="3"/>
  <c r="X1645" i="3" s="1"/>
  <c r="Y1645" i="3" s="1"/>
  <c r="Z1645" i="3" s="1"/>
  <c r="T1645" i="3"/>
  <c r="U1645" i="3" s="1"/>
  <c r="P1645" i="3"/>
  <c r="J1645" i="3"/>
  <c r="F1645" i="3"/>
  <c r="W1644" i="3"/>
  <c r="X1644" i="3" s="1"/>
  <c r="Y1644" i="3" s="1"/>
  <c r="Z1644" i="3" s="1"/>
  <c r="T1644" i="3"/>
  <c r="U1644" i="3" s="1"/>
  <c r="P1644" i="3"/>
  <c r="J1644" i="3"/>
  <c r="F1644" i="3"/>
  <c r="W1643" i="3"/>
  <c r="X1643" i="3" s="1"/>
  <c r="Y1643" i="3" s="1"/>
  <c r="Z1643" i="3" s="1"/>
  <c r="T1643" i="3"/>
  <c r="U1643" i="3" s="1"/>
  <c r="P1643" i="3"/>
  <c r="J1643" i="3"/>
  <c r="F1643" i="3"/>
  <c r="W1642" i="3"/>
  <c r="X1642" i="3" s="1"/>
  <c r="Y1642" i="3" s="1"/>
  <c r="Z1642" i="3" s="1"/>
  <c r="T1642" i="3"/>
  <c r="U1642" i="3" s="1"/>
  <c r="P1642" i="3"/>
  <c r="J1642" i="3"/>
  <c r="F1642" i="3"/>
  <c r="W1641" i="3"/>
  <c r="X1641" i="3" s="1"/>
  <c r="Y1641" i="3" s="1"/>
  <c r="Z1641" i="3" s="1"/>
  <c r="T1641" i="3"/>
  <c r="U1641" i="3" s="1"/>
  <c r="P1641" i="3"/>
  <c r="J1641" i="3"/>
  <c r="F1641" i="3"/>
  <c r="W1640" i="3"/>
  <c r="X1640" i="3" s="1"/>
  <c r="Y1640" i="3" s="1"/>
  <c r="Z1640" i="3" s="1"/>
  <c r="T1640" i="3"/>
  <c r="U1640" i="3" s="1"/>
  <c r="P1640" i="3"/>
  <c r="J1640" i="3"/>
  <c r="F1640" i="3"/>
  <c r="W1639" i="3"/>
  <c r="X1639" i="3" s="1"/>
  <c r="Y1639" i="3" s="1"/>
  <c r="Z1639" i="3" s="1"/>
  <c r="T1639" i="3"/>
  <c r="U1639" i="3" s="1"/>
  <c r="P1639" i="3"/>
  <c r="J1639" i="3"/>
  <c r="F1639" i="3"/>
  <c r="W1638" i="3"/>
  <c r="X1638" i="3" s="1"/>
  <c r="Y1638" i="3" s="1"/>
  <c r="Z1638" i="3" s="1"/>
  <c r="T1638" i="3"/>
  <c r="U1638" i="3" s="1"/>
  <c r="P1638" i="3"/>
  <c r="J1638" i="3"/>
  <c r="F1638" i="3"/>
  <c r="W1637" i="3"/>
  <c r="X1637" i="3" s="1"/>
  <c r="Y1637" i="3" s="1"/>
  <c r="Z1637" i="3" s="1"/>
  <c r="T1637" i="3"/>
  <c r="U1637" i="3" s="1"/>
  <c r="P1637" i="3"/>
  <c r="J1637" i="3"/>
  <c r="F1637" i="3"/>
  <c r="W1636" i="3"/>
  <c r="X1636" i="3" s="1"/>
  <c r="Y1636" i="3" s="1"/>
  <c r="Z1636" i="3" s="1"/>
  <c r="T1636" i="3"/>
  <c r="U1636" i="3" s="1"/>
  <c r="P1636" i="3"/>
  <c r="J1636" i="3"/>
  <c r="F1636" i="3"/>
  <c r="W1635" i="3"/>
  <c r="X1635" i="3" s="1"/>
  <c r="Y1635" i="3" s="1"/>
  <c r="Z1635" i="3" s="1"/>
  <c r="T1635" i="3"/>
  <c r="U1635" i="3" s="1"/>
  <c r="P1635" i="3"/>
  <c r="J1635" i="3"/>
  <c r="F1635" i="3"/>
  <c r="W1634" i="3"/>
  <c r="X1634" i="3" s="1"/>
  <c r="Y1634" i="3" s="1"/>
  <c r="Z1634" i="3" s="1"/>
  <c r="T1634" i="3"/>
  <c r="U1634" i="3" s="1"/>
  <c r="P1634" i="3"/>
  <c r="J1634" i="3"/>
  <c r="F1634" i="3"/>
  <c r="W1633" i="3"/>
  <c r="X1633" i="3" s="1"/>
  <c r="Y1633" i="3" s="1"/>
  <c r="Z1633" i="3" s="1"/>
  <c r="T1633" i="3"/>
  <c r="U1633" i="3" s="1"/>
  <c r="P1633" i="3"/>
  <c r="J1633" i="3"/>
  <c r="F1633" i="3"/>
  <c r="W1632" i="3"/>
  <c r="X1632" i="3" s="1"/>
  <c r="Y1632" i="3" s="1"/>
  <c r="Z1632" i="3" s="1"/>
  <c r="T1632" i="3"/>
  <c r="U1632" i="3" s="1"/>
  <c r="P1632" i="3"/>
  <c r="J1632" i="3"/>
  <c r="F1632" i="3"/>
  <c r="W1631" i="3"/>
  <c r="X1631" i="3" s="1"/>
  <c r="Y1631" i="3" s="1"/>
  <c r="Z1631" i="3" s="1"/>
  <c r="T1631" i="3"/>
  <c r="U1631" i="3" s="1"/>
  <c r="P1631" i="3"/>
  <c r="J1631" i="3"/>
  <c r="F1631" i="3"/>
  <c r="W1630" i="3"/>
  <c r="X1630" i="3" s="1"/>
  <c r="Y1630" i="3" s="1"/>
  <c r="Z1630" i="3" s="1"/>
  <c r="T1630" i="3"/>
  <c r="U1630" i="3" s="1"/>
  <c r="P1630" i="3"/>
  <c r="J1630" i="3"/>
  <c r="F1630" i="3"/>
  <c r="W1629" i="3"/>
  <c r="X1629" i="3" s="1"/>
  <c r="Y1629" i="3" s="1"/>
  <c r="Z1629" i="3" s="1"/>
  <c r="T1629" i="3"/>
  <c r="U1629" i="3" s="1"/>
  <c r="P1629" i="3"/>
  <c r="J1629" i="3"/>
  <c r="F1629" i="3"/>
  <c r="W1628" i="3"/>
  <c r="X1628" i="3" s="1"/>
  <c r="Y1628" i="3" s="1"/>
  <c r="Z1628" i="3" s="1"/>
  <c r="T1628" i="3"/>
  <c r="U1628" i="3" s="1"/>
  <c r="P1628" i="3"/>
  <c r="J1628" i="3"/>
  <c r="F1628" i="3"/>
  <c r="W1627" i="3"/>
  <c r="X1627" i="3" s="1"/>
  <c r="Y1627" i="3" s="1"/>
  <c r="Z1627" i="3" s="1"/>
  <c r="T1627" i="3"/>
  <c r="U1627" i="3" s="1"/>
  <c r="P1627" i="3"/>
  <c r="J1627" i="3"/>
  <c r="F1627" i="3"/>
  <c r="W1626" i="3"/>
  <c r="X1626" i="3" s="1"/>
  <c r="Y1626" i="3" s="1"/>
  <c r="Z1626" i="3" s="1"/>
  <c r="T1626" i="3"/>
  <c r="U1626" i="3" s="1"/>
  <c r="P1626" i="3"/>
  <c r="J1626" i="3"/>
  <c r="F1626" i="3"/>
  <c r="W1625" i="3"/>
  <c r="X1625" i="3" s="1"/>
  <c r="Y1625" i="3" s="1"/>
  <c r="Z1625" i="3" s="1"/>
  <c r="T1625" i="3"/>
  <c r="U1625" i="3" s="1"/>
  <c r="P1625" i="3"/>
  <c r="J1625" i="3"/>
  <c r="F1625" i="3"/>
  <c r="W1624" i="3"/>
  <c r="X1624" i="3" s="1"/>
  <c r="Y1624" i="3" s="1"/>
  <c r="Z1624" i="3" s="1"/>
  <c r="T1624" i="3"/>
  <c r="U1624" i="3" s="1"/>
  <c r="P1624" i="3"/>
  <c r="J1624" i="3"/>
  <c r="F1624" i="3"/>
  <c r="W1623" i="3"/>
  <c r="X1623" i="3" s="1"/>
  <c r="Y1623" i="3" s="1"/>
  <c r="Z1623" i="3" s="1"/>
  <c r="T1623" i="3"/>
  <c r="U1623" i="3" s="1"/>
  <c r="P1623" i="3"/>
  <c r="J1623" i="3"/>
  <c r="F1623" i="3"/>
  <c r="W1622" i="3"/>
  <c r="X1622" i="3" s="1"/>
  <c r="Y1622" i="3" s="1"/>
  <c r="Z1622" i="3" s="1"/>
  <c r="T1622" i="3"/>
  <c r="U1622" i="3" s="1"/>
  <c r="P1622" i="3"/>
  <c r="J1622" i="3"/>
  <c r="F1622" i="3"/>
  <c r="W1621" i="3"/>
  <c r="X1621" i="3" s="1"/>
  <c r="Y1621" i="3" s="1"/>
  <c r="Z1621" i="3" s="1"/>
  <c r="T1621" i="3"/>
  <c r="U1621" i="3" s="1"/>
  <c r="P1621" i="3"/>
  <c r="J1621" i="3"/>
  <c r="F1621" i="3"/>
  <c r="W1620" i="3"/>
  <c r="X1620" i="3" s="1"/>
  <c r="Y1620" i="3" s="1"/>
  <c r="Z1620" i="3" s="1"/>
  <c r="T1620" i="3"/>
  <c r="U1620" i="3" s="1"/>
  <c r="P1620" i="3"/>
  <c r="J1620" i="3"/>
  <c r="F1620" i="3"/>
  <c r="W1619" i="3"/>
  <c r="X1619" i="3" s="1"/>
  <c r="Y1619" i="3" s="1"/>
  <c r="Z1619" i="3" s="1"/>
  <c r="T1619" i="3"/>
  <c r="U1619" i="3" s="1"/>
  <c r="P1619" i="3"/>
  <c r="J1619" i="3"/>
  <c r="F1619" i="3"/>
  <c r="W1618" i="3"/>
  <c r="X1618" i="3" s="1"/>
  <c r="Y1618" i="3" s="1"/>
  <c r="Z1618" i="3" s="1"/>
  <c r="T1618" i="3"/>
  <c r="U1618" i="3" s="1"/>
  <c r="P1618" i="3"/>
  <c r="J1618" i="3"/>
  <c r="F1618" i="3"/>
  <c r="W1617" i="3"/>
  <c r="X1617" i="3" s="1"/>
  <c r="Y1617" i="3" s="1"/>
  <c r="Z1617" i="3" s="1"/>
  <c r="T1617" i="3"/>
  <c r="U1617" i="3" s="1"/>
  <c r="P1617" i="3"/>
  <c r="J1617" i="3"/>
  <c r="F1617" i="3"/>
  <c r="W1616" i="3"/>
  <c r="X1616" i="3" s="1"/>
  <c r="Y1616" i="3" s="1"/>
  <c r="Z1616" i="3" s="1"/>
  <c r="T1616" i="3"/>
  <c r="U1616" i="3" s="1"/>
  <c r="P1616" i="3"/>
  <c r="J1616" i="3"/>
  <c r="F1616" i="3"/>
  <c r="W1615" i="3"/>
  <c r="X1615" i="3" s="1"/>
  <c r="Y1615" i="3" s="1"/>
  <c r="Z1615" i="3" s="1"/>
  <c r="T1615" i="3"/>
  <c r="U1615" i="3" s="1"/>
  <c r="P1615" i="3"/>
  <c r="J1615" i="3"/>
  <c r="F1615" i="3"/>
  <c r="W1614" i="3"/>
  <c r="X1614" i="3" s="1"/>
  <c r="Y1614" i="3" s="1"/>
  <c r="Z1614" i="3" s="1"/>
  <c r="T1614" i="3"/>
  <c r="U1614" i="3" s="1"/>
  <c r="P1614" i="3"/>
  <c r="J1614" i="3"/>
  <c r="F1614" i="3"/>
  <c r="W1613" i="3"/>
  <c r="X1613" i="3" s="1"/>
  <c r="Y1613" i="3" s="1"/>
  <c r="Z1613" i="3" s="1"/>
  <c r="T1613" i="3"/>
  <c r="U1613" i="3" s="1"/>
  <c r="P1613" i="3"/>
  <c r="J1613" i="3"/>
  <c r="F1613" i="3"/>
  <c r="W1612" i="3"/>
  <c r="X1612" i="3" s="1"/>
  <c r="Y1612" i="3" s="1"/>
  <c r="Z1612" i="3" s="1"/>
  <c r="T1612" i="3"/>
  <c r="U1612" i="3" s="1"/>
  <c r="P1612" i="3"/>
  <c r="J1612" i="3"/>
  <c r="F1612" i="3"/>
  <c r="W1611" i="3"/>
  <c r="X1611" i="3" s="1"/>
  <c r="Y1611" i="3" s="1"/>
  <c r="Z1611" i="3" s="1"/>
  <c r="T1611" i="3"/>
  <c r="U1611" i="3" s="1"/>
  <c r="P1611" i="3"/>
  <c r="J1611" i="3"/>
  <c r="F1611" i="3"/>
  <c r="W1610" i="3"/>
  <c r="X1610" i="3" s="1"/>
  <c r="Y1610" i="3" s="1"/>
  <c r="Z1610" i="3" s="1"/>
  <c r="T1610" i="3"/>
  <c r="U1610" i="3" s="1"/>
  <c r="P1610" i="3"/>
  <c r="J1610" i="3"/>
  <c r="F1610" i="3"/>
  <c r="W1609" i="3"/>
  <c r="X1609" i="3" s="1"/>
  <c r="Y1609" i="3" s="1"/>
  <c r="Z1609" i="3" s="1"/>
  <c r="T1609" i="3"/>
  <c r="U1609" i="3" s="1"/>
  <c r="P1609" i="3"/>
  <c r="J1609" i="3"/>
  <c r="F1609" i="3"/>
  <c r="W1608" i="3"/>
  <c r="X1608" i="3" s="1"/>
  <c r="Y1608" i="3" s="1"/>
  <c r="Z1608" i="3" s="1"/>
  <c r="T1608" i="3"/>
  <c r="U1608" i="3" s="1"/>
  <c r="P1608" i="3"/>
  <c r="J1608" i="3"/>
  <c r="F1608" i="3"/>
  <c r="W1607" i="3"/>
  <c r="X1607" i="3" s="1"/>
  <c r="Y1607" i="3" s="1"/>
  <c r="Z1607" i="3" s="1"/>
  <c r="T1607" i="3"/>
  <c r="U1607" i="3" s="1"/>
  <c r="P1607" i="3"/>
  <c r="J1607" i="3"/>
  <c r="F1607" i="3"/>
  <c r="W1606" i="3"/>
  <c r="X1606" i="3" s="1"/>
  <c r="Y1606" i="3" s="1"/>
  <c r="Z1606" i="3" s="1"/>
  <c r="T1606" i="3"/>
  <c r="U1606" i="3" s="1"/>
  <c r="P1606" i="3"/>
  <c r="J1606" i="3"/>
  <c r="F1606" i="3"/>
  <c r="W1605" i="3"/>
  <c r="X1605" i="3" s="1"/>
  <c r="Y1605" i="3" s="1"/>
  <c r="Z1605" i="3" s="1"/>
  <c r="T1605" i="3"/>
  <c r="U1605" i="3" s="1"/>
  <c r="P1605" i="3"/>
  <c r="J1605" i="3"/>
  <c r="F1605" i="3"/>
  <c r="W1604" i="3"/>
  <c r="X1604" i="3" s="1"/>
  <c r="Y1604" i="3" s="1"/>
  <c r="Z1604" i="3" s="1"/>
  <c r="T1604" i="3"/>
  <c r="U1604" i="3" s="1"/>
  <c r="P1604" i="3"/>
  <c r="J1604" i="3"/>
  <c r="F1604" i="3"/>
  <c r="W1603" i="3"/>
  <c r="X1603" i="3" s="1"/>
  <c r="Y1603" i="3" s="1"/>
  <c r="Z1603" i="3" s="1"/>
  <c r="T1603" i="3"/>
  <c r="U1603" i="3" s="1"/>
  <c r="P1603" i="3"/>
  <c r="J1603" i="3"/>
  <c r="F1603" i="3"/>
  <c r="W1602" i="3"/>
  <c r="X1602" i="3" s="1"/>
  <c r="Y1602" i="3" s="1"/>
  <c r="Z1602" i="3" s="1"/>
  <c r="T1602" i="3"/>
  <c r="U1602" i="3" s="1"/>
  <c r="P1602" i="3"/>
  <c r="J1602" i="3"/>
  <c r="F1602" i="3"/>
  <c r="W1601" i="3"/>
  <c r="X1601" i="3" s="1"/>
  <c r="Y1601" i="3" s="1"/>
  <c r="Z1601" i="3" s="1"/>
  <c r="T1601" i="3"/>
  <c r="U1601" i="3" s="1"/>
  <c r="P1601" i="3"/>
  <c r="J1601" i="3"/>
  <c r="F1601" i="3"/>
  <c r="W1600" i="3"/>
  <c r="X1600" i="3" s="1"/>
  <c r="Y1600" i="3" s="1"/>
  <c r="Z1600" i="3" s="1"/>
  <c r="T1600" i="3"/>
  <c r="U1600" i="3" s="1"/>
  <c r="P1600" i="3"/>
  <c r="J1600" i="3"/>
  <c r="F1600" i="3"/>
  <c r="W1599" i="3"/>
  <c r="X1599" i="3" s="1"/>
  <c r="Y1599" i="3" s="1"/>
  <c r="Z1599" i="3" s="1"/>
  <c r="T1599" i="3"/>
  <c r="U1599" i="3" s="1"/>
  <c r="P1599" i="3"/>
  <c r="J1599" i="3"/>
  <c r="F1599" i="3"/>
  <c r="W1598" i="3"/>
  <c r="X1598" i="3" s="1"/>
  <c r="Y1598" i="3" s="1"/>
  <c r="Z1598" i="3" s="1"/>
  <c r="T1598" i="3"/>
  <c r="U1598" i="3" s="1"/>
  <c r="P1598" i="3"/>
  <c r="J1598" i="3"/>
  <c r="F1598" i="3"/>
  <c r="W1597" i="3"/>
  <c r="X1597" i="3" s="1"/>
  <c r="Y1597" i="3" s="1"/>
  <c r="Z1597" i="3" s="1"/>
  <c r="T1597" i="3"/>
  <c r="U1597" i="3" s="1"/>
  <c r="P1597" i="3"/>
  <c r="J1597" i="3"/>
  <c r="F1597" i="3"/>
  <c r="W1596" i="3"/>
  <c r="X1596" i="3" s="1"/>
  <c r="Y1596" i="3" s="1"/>
  <c r="Z1596" i="3" s="1"/>
  <c r="T1596" i="3"/>
  <c r="U1596" i="3" s="1"/>
  <c r="P1596" i="3"/>
  <c r="J1596" i="3"/>
  <c r="F1596" i="3"/>
  <c r="W1595" i="3"/>
  <c r="X1595" i="3" s="1"/>
  <c r="Y1595" i="3" s="1"/>
  <c r="Z1595" i="3" s="1"/>
  <c r="T1595" i="3"/>
  <c r="U1595" i="3" s="1"/>
  <c r="P1595" i="3"/>
  <c r="J1595" i="3"/>
  <c r="F1595" i="3"/>
  <c r="W1594" i="3"/>
  <c r="X1594" i="3" s="1"/>
  <c r="Y1594" i="3" s="1"/>
  <c r="Z1594" i="3" s="1"/>
  <c r="T1594" i="3"/>
  <c r="U1594" i="3" s="1"/>
  <c r="P1594" i="3"/>
  <c r="J1594" i="3"/>
  <c r="F1594" i="3"/>
  <c r="W1593" i="3"/>
  <c r="X1593" i="3" s="1"/>
  <c r="Y1593" i="3" s="1"/>
  <c r="Z1593" i="3" s="1"/>
  <c r="T1593" i="3"/>
  <c r="U1593" i="3" s="1"/>
  <c r="P1593" i="3"/>
  <c r="J1593" i="3"/>
  <c r="F1593" i="3"/>
  <c r="W1592" i="3"/>
  <c r="X1592" i="3" s="1"/>
  <c r="Y1592" i="3" s="1"/>
  <c r="Z1592" i="3" s="1"/>
  <c r="T1592" i="3"/>
  <c r="U1592" i="3" s="1"/>
  <c r="P1592" i="3"/>
  <c r="J1592" i="3"/>
  <c r="F1592" i="3"/>
  <c r="W1591" i="3"/>
  <c r="X1591" i="3" s="1"/>
  <c r="Y1591" i="3" s="1"/>
  <c r="Z1591" i="3" s="1"/>
  <c r="T1591" i="3"/>
  <c r="U1591" i="3" s="1"/>
  <c r="P1591" i="3"/>
  <c r="J1591" i="3"/>
  <c r="F1591" i="3"/>
  <c r="W1590" i="3"/>
  <c r="X1590" i="3" s="1"/>
  <c r="Y1590" i="3" s="1"/>
  <c r="Z1590" i="3" s="1"/>
  <c r="T1590" i="3"/>
  <c r="U1590" i="3" s="1"/>
  <c r="P1590" i="3"/>
  <c r="J1590" i="3"/>
  <c r="F1590" i="3"/>
  <c r="W1589" i="3"/>
  <c r="X1589" i="3" s="1"/>
  <c r="Y1589" i="3" s="1"/>
  <c r="Z1589" i="3" s="1"/>
  <c r="T1589" i="3"/>
  <c r="U1589" i="3" s="1"/>
  <c r="P1589" i="3"/>
  <c r="J1589" i="3"/>
  <c r="F1589" i="3"/>
  <c r="W1588" i="3"/>
  <c r="X1588" i="3" s="1"/>
  <c r="Y1588" i="3" s="1"/>
  <c r="Z1588" i="3" s="1"/>
  <c r="T1588" i="3"/>
  <c r="U1588" i="3" s="1"/>
  <c r="P1588" i="3"/>
  <c r="J1588" i="3"/>
  <c r="F1588" i="3"/>
  <c r="W1587" i="3"/>
  <c r="X1587" i="3" s="1"/>
  <c r="Y1587" i="3" s="1"/>
  <c r="Z1587" i="3" s="1"/>
  <c r="T1587" i="3"/>
  <c r="U1587" i="3" s="1"/>
  <c r="P1587" i="3"/>
  <c r="J1587" i="3"/>
  <c r="F1587" i="3"/>
  <c r="W1586" i="3"/>
  <c r="X1586" i="3" s="1"/>
  <c r="Y1586" i="3" s="1"/>
  <c r="Z1586" i="3" s="1"/>
  <c r="T1586" i="3"/>
  <c r="U1586" i="3" s="1"/>
  <c r="P1586" i="3"/>
  <c r="J1586" i="3"/>
  <c r="F1586" i="3"/>
  <c r="W1585" i="3"/>
  <c r="X1585" i="3" s="1"/>
  <c r="Y1585" i="3" s="1"/>
  <c r="Z1585" i="3" s="1"/>
  <c r="T1585" i="3"/>
  <c r="U1585" i="3" s="1"/>
  <c r="P1585" i="3"/>
  <c r="J1585" i="3"/>
  <c r="F1585" i="3"/>
  <c r="W1584" i="3"/>
  <c r="X1584" i="3" s="1"/>
  <c r="Y1584" i="3" s="1"/>
  <c r="Z1584" i="3" s="1"/>
  <c r="T1584" i="3"/>
  <c r="U1584" i="3" s="1"/>
  <c r="P1584" i="3"/>
  <c r="J1584" i="3"/>
  <c r="F1584" i="3"/>
  <c r="W1583" i="3"/>
  <c r="X1583" i="3" s="1"/>
  <c r="Y1583" i="3" s="1"/>
  <c r="Z1583" i="3" s="1"/>
  <c r="T1583" i="3"/>
  <c r="U1583" i="3" s="1"/>
  <c r="P1583" i="3"/>
  <c r="J1583" i="3"/>
  <c r="F1583" i="3"/>
  <c r="W1582" i="3"/>
  <c r="X1582" i="3" s="1"/>
  <c r="Y1582" i="3" s="1"/>
  <c r="Z1582" i="3" s="1"/>
  <c r="T1582" i="3"/>
  <c r="U1582" i="3" s="1"/>
  <c r="P1582" i="3"/>
  <c r="J1582" i="3"/>
  <c r="F1582" i="3"/>
  <c r="W1581" i="3"/>
  <c r="X1581" i="3" s="1"/>
  <c r="Y1581" i="3" s="1"/>
  <c r="Z1581" i="3" s="1"/>
  <c r="T1581" i="3"/>
  <c r="U1581" i="3" s="1"/>
  <c r="P1581" i="3"/>
  <c r="J1581" i="3"/>
  <c r="F1581" i="3"/>
  <c r="W1580" i="3"/>
  <c r="X1580" i="3" s="1"/>
  <c r="Y1580" i="3" s="1"/>
  <c r="Z1580" i="3" s="1"/>
  <c r="T1580" i="3"/>
  <c r="U1580" i="3" s="1"/>
  <c r="P1580" i="3"/>
  <c r="J1580" i="3"/>
  <c r="F1580" i="3"/>
  <c r="W1579" i="3"/>
  <c r="X1579" i="3" s="1"/>
  <c r="Y1579" i="3" s="1"/>
  <c r="Z1579" i="3" s="1"/>
  <c r="T1579" i="3"/>
  <c r="U1579" i="3" s="1"/>
  <c r="P1579" i="3"/>
  <c r="J1579" i="3"/>
  <c r="F1579" i="3"/>
  <c r="W1578" i="3"/>
  <c r="X1578" i="3" s="1"/>
  <c r="Y1578" i="3" s="1"/>
  <c r="Z1578" i="3" s="1"/>
  <c r="T1578" i="3"/>
  <c r="U1578" i="3" s="1"/>
  <c r="P1578" i="3"/>
  <c r="J1578" i="3"/>
  <c r="F1578" i="3"/>
  <c r="W1577" i="3"/>
  <c r="X1577" i="3" s="1"/>
  <c r="Y1577" i="3" s="1"/>
  <c r="Z1577" i="3" s="1"/>
  <c r="T1577" i="3"/>
  <c r="U1577" i="3" s="1"/>
  <c r="P1577" i="3"/>
  <c r="J1577" i="3"/>
  <c r="F1577" i="3"/>
  <c r="W1576" i="3"/>
  <c r="X1576" i="3" s="1"/>
  <c r="Y1576" i="3" s="1"/>
  <c r="Z1576" i="3" s="1"/>
  <c r="T1576" i="3"/>
  <c r="U1576" i="3" s="1"/>
  <c r="P1576" i="3"/>
  <c r="J1576" i="3"/>
  <c r="F1576" i="3"/>
  <c r="W1575" i="3"/>
  <c r="X1575" i="3" s="1"/>
  <c r="Y1575" i="3" s="1"/>
  <c r="Z1575" i="3" s="1"/>
  <c r="T1575" i="3"/>
  <c r="U1575" i="3" s="1"/>
  <c r="P1575" i="3"/>
  <c r="J1575" i="3"/>
  <c r="F1575" i="3"/>
  <c r="W1574" i="3"/>
  <c r="X1574" i="3" s="1"/>
  <c r="Y1574" i="3" s="1"/>
  <c r="Z1574" i="3" s="1"/>
  <c r="T1574" i="3"/>
  <c r="U1574" i="3" s="1"/>
  <c r="P1574" i="3"/>
  <c r="J1574" i="3"/>
  <c r="F1574" i="3"/>
  <c r="W1573" i="3"/>
  <c r="X1573" i="3" s="1"/>
  <c r="Y1573" i="3" s="1"/>
  <c r="Z1573" i="3" s="1"/>
  <c r="T1573" i="3"/>
  <c r="U1573" i="3" s="1"/>
  <c r="P1573" i="3"/>
  <c r="J1573" i="3"/>
  <c r="F1573" i="3"/>
  <c r="W1572" i="3"/>
  <c r="X1572" i="3" s="1"/>
  <c r="Y1572" i="3" s="1"/>
  <c r="Z1572" i="3" s="1"/>
  <c r="T1572" i="3"/>
  <c r="U1572" i="3" s="1"/>
  <c r="P1572" i="3"/>
  <c r="J1572" i="3"/>
  <c r="F1572" i="3"/>
  <c r="W1571" i="3"/>
  <c r="X1571" i="3" s="1"/>
  <c r="Y1571" i="3" s="1"/>
  <c r="Z1571" i="3" s="1"/>
  <c r="T1571" i="3"/>
  <c r="U1571" i="3" s="1"/>
  <c r="P1571" i="3"/>
  <c r="J1571" i="3"/>
  <c r="F1571" i="3"/>
  <c r="W1570" i="3"/>
  <c r="X1570" i="3" s="1"/>
  <c r="Y1570" i="3" s="1"/>
  <c r="Z1570" i="3" s="1"/>
  <c r="T1570" i="3"/>
  <c r="U1570" i="3" s="1"/>
  <c r="P1570" i="3"/>
  <c r="J1570" i="3"/>
  <c r="F1570" i="3"/>
  <c r="W1569" i="3"/>
  <c r="X1569" i="3" s="1"/>
  <c r="Y1569" i="3" s="1"/>
  <c r="Z1569" i="3" s="1"/>
  <c r="T1569" i="3"/>
  <c r="U1569" i="3" s="1"/>
  <c r="P1569" i="3"/>
  <c r="J1569" i="3"/>
  <c r="F1569" i="3"/>
  <c r="W1568" i="3"/>
  <c r="X1568" i="3" s="1"/>
  <c r="Y1568" i="3" s="1"/>
  <c r="Z1568" i="3" s="1"/>
  <c r="T1568" i="3"/>
  <c r="U1568" i="3" s="1"/>
  <c r="P1568" i="3"/>
  <c r="J1568" i="3"/>
  <c r="F1568" i="3"/>
  <c r="W1567" i="3"/>
  <c r="X1567" i="3" s="1"/>
  <c r="Y1567" i="3" s="1"/>
  <c r="Z1567" i="3" s="1"/>
  <c r="T1567" i="3"/>
  <c r="U1567" i="3" s="1"/>
  <c r="P1567" i="3"/>
  <c r="J1567" i="3"/>
  <c r="F1567" i="3"/>
  <c r="W1566" i="3"/>
  <c r="X1566" i="3" s="1"/>
  <c r="Y1566" i="3" s="1"/>
  <c r="Z1566" i="3" s="1"/>
  <c r="T1566" i="3"/>
  <c r="U1566" i="3" s="1"/>
  <c r="P1566" i="3"/>
  <c r="J1566" i="3"/>
  <c r="F1566" i="3"/>
  <c r="W1565" i="3"/>
  <c r="X1565" i="3" s="1"/>
  <c r="Y1565" i="3" s="1"/>
  <c r="Z1565" i="3" s="1"/>
  <c r="T1565" i="3"/>
  <c r="U1565" i="3" s="1"/>
  <c r="P1565" i="3"/>
  <c r="J1565" i="3"/>
  <c r="F1565" i="3"/>
  <c r="W1564" i="3"/>
  <c r="X1564" i="3" s="1"/>
  <c r="Y1564" i="3" s="1"/>
  <c r="Z1564" i="3" s="1"/>
  <c r="T1564" i="3"/>
  <c r="U1564" i="3" s="1"/>
  <c r="P1564" i="3"/>
  <c r="J1564" i="3"/>
  <c r="F1564" i="3"/>
  <c r="W1563" i="3"/>
  <c r="X1563" i="3" s="1"/>
  <c r="Y1563" i="3" s="1"/>
  <c r="Z1563" i="3" s="1"/>
  <c r="T1563" i="3"/>
  <c r="U1563" i="3" s="1"/>
  <c r="P1563" i="3"/>
  <c r="J1563" i="3"/>
  <c r="F1563" i="3"/>
  <c r="W1562" i="3"/>
  <c r="X1562" i="3" s="1"/>
  <c r="Y1562" i="3" s="1"/>
  <c r="Z1562" i="3" s="1"/>
  <c r="T1562" i="3"/>
  <c r="U1562" i="3" s="1"/>
  <c r="P1562" i="3"/>
  <c r="J1562" i="3"/>
  <c r="F1562" i="3"/>
  <c r="W1561" i="3"/>
  <c r="X1561" i="3" s="1"/>
  <c r="Y1561" i="3" s="1"/>
  <c r="Z1561" i="3" s="1"/>
  <c r="T1561" i="3"/>
  <c r="U1561" i="3" s="1"/>
  <c r="P1561" i="3"/>
  <c r="J1561" i="3"/>
  <c r="F1561" i="3"/>
  <c r="W1560" i="3"/>
  <c r="X1560" i="3" s="1"/>
  <c r="Y1560" i="3" s="1"/>
  <c r="Z1560" i="3" s="1"/>
  <c r="T1560" i="3"/>
  <c r="U1560" i="3" s="1"/>
  <c r="P1560" i="3"/>
  <c r="J1560" i="3"/>
  <c r="F1560" i="3"/>
  <c r="W1559" i="3"/>
  <c r="X1559" i="3" s="1"/>
  <c r="Y1559" i="3" s="1"/>
  <c r="Z1559" i="3" s="1"/>
  <c r="T1559" i="3"/>
  <c r="U1559" i="3" s="1"/>
  <c r="P1559" i="3"/>
  <c r="J1559" i="3"/>
  <c r="F1559" i="3"/>
  <c r="W1558" i="3"/>
  <c r="X1558" i="3" s="1"/>
  <c r="Y1558" i="3" s="1"/>
  <c r="Z1558" i="3" s="1"/>
  <c r="T1558" i="3"/>
  <c r="U1558" i="3" s="1"/>
  <c r="P1558" i="3"/>
  <c r="J1558" i="3"/>
  <c r="F1558" i="3"/>
  <c r="W1557" i="3"/>
  <c r="X1557" i="3" s="1"/>
  <c r="Y1557" i="3" s="1"/>
  <c r="Z1557" i="3" s="1"/>
  <c r="T1557" i="3"/>
  <c r="U1557" i="3" s="1"/>
  <c r="P1557" i="3"/>
  <c r="J1557" i="3"/>
  <c r="F1557" i="3"/>
  <c r="W1556" i="3"/>
  <c r="X1556" i="3" s="1"/>
  <c r="Y1556" i="3" s="1"/>
  <c r="Z1556" i="3" s="1"/>
  <c r="T1556" i="3"/>
  <c r="U1556" i="3" s="1"/>
  <c r="P1556" i="3"/>
  <c r="J1556" i="3"/>
  <c r="F1556" i="3"/>
  <c r="W1555" i="3"/>
  <c r="X1555" i="3" s="1"/>
  <c r="Y1555" i="3" s="1"/>
  <c r="Z1555" i="3" s="1"/>
  <c r="T1555" i="3"/>
  <c r="U1555" i="3" s="1"/>
  <c r="P1555" i="3"/>
  <c r="J1555" i="3"/>
  <c r="F1555" i="3"/>
  <c r="W1554" i="3"/>
  <c r="X1554" i="3" s="1"/>
  <c r="Y1554" i="3" s="1"/>
  <c r="Z1554" i="3" s="1"/>
  <c r="T1554" i="3"/>
  <c r="U1554" i="3" s="1"/>
  <c r="P1554" i="3"/>
  <c r="J1554" i="3"/>
  <c r="F1554" i="3"/>
  <c r="W1553" i="3"/>
  <c r="X1553" i="3" s="1"/>
  <c r="Y1553" i="3" s="1"/>
  <c r="Z1553" i="3" s="1"/>
  <c r="T1553" i="3"/>
  <c r="U1553" i="3" s="1"/>
  <c r="P1553" i="3"/>
  <c r="J1553" i="3"/>
  <c r="F1553" i="3"/>
  <c r="W1552" i="3"/>
  <c r="X1552" i="3" s="1"/>
  <c r="Y1552" i="3" s="1"/>
  <c r="Z1552" i="3" s="1"/>
  <c r="T1552" i="3"/>
  <c r="U1552" i="3" s="1"/>
  <c r="P1552" i="3"/>
  <c r="J1552" i="3"/>
  <c r="F1552" i="3"/>
  <c r="W1551" i="3"/>
  <c r="X1551" i="3" s="1"/>
  <c r="Y1551" i="3" s="1"/>
  <c r="Z1551" i="3" s="1"/>
  <c r="T1551" i="3"/>
  <c r="U1551" i="3" s="1"/>
  <c r="P1551" i="3"/>
  <c r="J1551" i="3"/>
  <c r="F1551" i="3"/>
  <c r="W1550" i="3"/>
  <c r="X1550" i="3" s="1"/>
  <c r="Y1550" i="3" s="1"/>
  <c r="Z1550" i="3" s="1"/>
  <c r="T1550" i="3"/>
  <c r="U1550" i="3" s="1"/>
  <c r="P1550" i="3"/>
  <c r="J1550" i="3"/>
  <c r="F1550" i="3"/>
  <c r="W1549" i="3"/>
  <c r="X1549" i="3" s="1"/>
  <c r="Y1549" i="3" s="1"/>
  <c r="Z1549" i="3" s="1"/>
  <c r="T1549" i="3"/>
  <c r="U1549" i="3" s="1"/>
  <c r="P1549" i="3"/>
  <c r="J1549" i="3"/>
  <c r="F1549" i="3"/>
  <c r="W1548" i="3"/>
  <c r="X1548" i="3" s="1"/>
  <c r="Y1548" i="3" s="1"/>
  <c r="Z1548" i="3" s="1"/>
  <c r="T1548" i="3"/>
  <c r="U1548" i="3" s="1"/>
  <c r="P1548" i="3"/>
  <c r="J1548" i="3"/>
  <c r="F1548" i="3"/>
  <c r="W1547" i="3"/>
  <c r="X1547" i="3" s="1"/>
  <c r="Y1547" i="3" s="1"/>
  <c r="Z1547" i="3" s="1"/>
  <c r="T1547" i="3"/>
  <c r="U1547" i="3" s="1"/>
  <c r="P1547" i="3"/>
  <c r="J1547" i="3"/>
  <c r="F1547" i="3"/>
  <c r="W1546" i="3"/>
  <c r="X1546" i="3" s="1"/>
  <c r="Y1546" i="3" s="1"/>
  <c r="Z1546" i="3" s="1"/>
  <c r="T1546" i="3"/>
  <c r="U1546" i="3" s="1"/>
  <c r="P1546" i="3"/>
  <c r="J1546" i="3"/>
  <c r="F1546" i="3"/>
  <c r="W1545" i="3"/>
  <c r="X1545" i="3" s="1"/>
  <c r="Y1545" i="3" s="1"/>
  <c r="Z1545" i="3" s="1"/>
  <c r="T1545" i="3"/>
  <c r="U1545" i="3" s="1"/>
  <c r="P1545" i="3"/>
  <c r="J1545" i="3"/>
  <c r="F1545" i="3"/>
  <c r="W1544" i="3"/>
  <c r="X1544" i="3" s="1"/>
  <c r="Y1544" i="3" s="1"/>
  <c r="Z1544" i="3" s="1"/>
  <c r="T1544" i="3"/>
  <c r="U1544" i="3" s="1"/>
  <c r="P1544" i="3"/>
  <c r="J1544" i="3"/>
  <c r="F1544" i="3"/>
  <c r="W1543" i="3"/>
  <c r="X1543" i="3" s="1"/>
  <c r="Y1543" i="3" s="1"/>
  <c r="Z1543" i="3" s="1"/>
  <c r="T1543" i="3"/>
  <c r="U1543" i="3" s="1"/>
  <c r="P1543" i="3"/>
  <c r="J1543" i="3"/>
  <c r="F1543" i="3"/>
  <c r="W1542" i="3"/>
  <c r="X1542" i="3" s="1"/>
  <c r="Y1542" i="3" s="1"/>
  <c r="Z1542" i="3" s="1"/>
  <c r="T1542" i="3"/>
  <c r="U1542" i="3" s="1"/>
  <c r="P1542" i="3"/>
  <c r="J1542" i="3"/>
  <c r="F1542" i="3"/>
  <c r="W1541" i="3"/>
  <c r="X1541" i="3" s="1"/>
  <c r="Y1541" i="3" s="1"/>
  <c r="Z1541" i="3" s="1"/>
  <c r="T1541" i="3"/>
  <c r="U1541" i="3" s="1"/>
  <c r="P1541" i="3"/>
  <c r="J1541" i="3"/>
  <c r="F1541" i="3"/>
  <c r="W1540" i="3"/>
  <c r="X1540" i="3" s="1"/>
  <c r="Y1540" i="3" s="1"/>
  <c r="Z1540" i="3" s="1"/>
  <c r="T1540" i="3"/>
  <c r="U1540" i="3" s="1"/>
  <c r="P1540" i="3"/>
  <c r="J1540" i="3"/>
  <c r="F1540" i="3"/>
  <c r="W1539" i="3"/>
  <c r="X1539" i="3" s="1"/>
  <c r="Y1539" i="3" s="1"/>
  <c r="Z1539" i="3" s="1"/>
  <c r="T1539" i="3"/>
  <c r="U1539" i="3" s="1"/>
  <c r="P1539" i="3"/>
  <c r="J1539" i="3"/>
  <c r="F1539" i="3"/>
  <c r="W1538" i="3"/>
  <c r="X1538" i="3" s="1"/>
  <c r="Y1538" i="3" s="1"/>
  <c r="Z1538" i="3" s="1"/>
  <c r="T1538" i="3"/>
  <c r="U1538" i="3" s="1"/>
  <c r="P1538" i="3"/>
  <c r="J1538" i="3"/>
  <c r="F1538" i="3"/>
  <c r="W1537" i="3"/>
  <c r="X1537" i="3" s="1"/>
  <c r="Y1537" i="3" s="1"/>
  <c r="Z1537" i="3" s="1"/>
  <c r="T1537" i="3"/>
  <c r="U1537" i="3" s="1"/>
  <c r="P1537" i="3"/>
  <c r="J1537" i="3"/>
  <c r="F1537" i="3"/>
  <c r="W1536" i="3"/>
  <c r="X1536" i="3" s="1"/>
  <c r="Y1536" i="3" s="1"/>
  <c r="Z1536" i="3" s="1"/>
  <c r="T1536" i="3"/>
  <c r="U1536" i="3" s="1"/>
  <c r="P1536" i="3"/>
  <c r="J1536" i="3"/>
  <c r="F1536" i="3"/>
  <c r="W1535" i="3"/>
  <c r="X1535" i="3" s="1"/>
  <c r="Y1535" i="3" s="1"/>
  <c r="Z1535" i="3" s="1"/>
  <c r="T1535" i="3"/>
  <c r="U1535" i="3" s="1"/>
  <c r="P1535" i="3"/>
  <c r="J1535" i="3"/>
  <c r="F1535" i="3"/>
  <c r="W1534" i="3"/>
  <c r="X1534" i="3" s="1"/>
  <c r="Y1534" i="3" s="1"/>
  <c r="Z1534" i="3" s="1"/>
  <c r="T1534" i="3"/>
  <c r="U1534" i="3" s="1"/>
  <c r="P1534" i="3"/>
  <c r="J1534" i="3"/>
  <c r="F1534" i="3"/>
  <c r="W1533" i="3"/>
  <c r="X1533" i="3" s="1"/>
  <c r="Y1533" i="3" s="1"/>
  <c r="Z1533" i="3" s="1"/>
  <c r="T1533" i="3"/>
  <c r="U1533" i="3" s="1"/>
  <c r="P1533" i="3"/>
  <c r="J1533" i="3"/>
  <c r="F1533" i="3"/>
  <c r="W1532" i="3"/>
  <c r="X1532" i="3" s="1"/>
  <c r="Y1532" i="3" s="1"/>
  <c r="Z1532" i="3" s="1"/>
  <c r="T1532" i="3"/>
  <c r="U1532" i="3" s="1"/>
  <c r="P1532" i="3"/>
  <c r="J1532" i="3"/>
  <c r="F1532" i="3"/>
  <c r="W1531" i="3"/>
  <c r="X1531" i="3" s="1"/>
  <c r="Y1531" i="3" s="1"/>
  <c r="Z1531" i="3" s="1"/>
  <c r="T1531" i="3"/>
  <c r="U1531" i="3" s="1"/>
  <c r="P1531" i="3"/>
  <c r="J1531" i="3"/>
  <c r="F1531" i="3"/>
  <c r="W1530" i="3"/>
  <c r="X1530" i="3" s="1"/>
  <c r="Y1530" i="3" s="1"/>
  <c r="Z1530" i="3" s="1"/>
  <c r="T1530" i="3"/>
  <c r="U1530" i="3" s="1"/>
  <c r="P1530" i="3"/>
  <c r="J1530" i="3"/>
  <c r="F1530" i="3"/>
  <c r="W1529" i="3"/>
  <c r="X1529" i="3" s="1"/>
  <c r="Y1529" i="3" s="1"/>
  <c r="Z1529" i="3" s="1"/>
  <c r="T1529" i="3"/>
  <c r="U1529" i="3" s="1"/>
  <c r="P1529" i="3"/>
  <c r="J1529" i="3"/>
  <c r="F1529" i="3"/>
  <c r="W1528" i="3"/>
  <c r="X1528" i="3" s="1"/>
  <c r="Y1528" i="3" s="1"/>
  <c r="Z1528" i="3" s="1"/>
  <c r="T1528" i="3"/>
  <c r="U1528" i="3" s="1"/>
  <c r="P1528" i="3"/>
  <c r="J1528" i="3"/>
  <c r="F1528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C1116" i="20"/>
  <c r="C1054" i="20"/>
  <c r="C966" i="20"/>
  <c r="C956" i="20"/>
  <c r="D952" i="20"/>
  <c r="D951" i="20"/>
  <c r="D950" i="20"/>
  <c r="D949" i="20"/>
  <c r="D948" i="20"/>
  <c r="D947" i="20"/>
  <c r="D946" i="20"/>
  <c r="D945" i="20"/>
  <c r="D944" i="20"/>
  <c r="D943" i="20"/>
  <c r="D942" i="20"/>
  <c r="D941" i="20"/>
  <c r="D940" i="20"/>
  <c r="D939" i="20"/>
  <c r="D938" i="20"/>
  <c r="D937" i="20"/>
  <c r="D936" i="20"/>
  <c r="D935" i="20"/>
  <c r="D934" i="20"/>
  <c r="D933" i="20"/>
  <c r="D932" i="20"/>
  <c r="D931" i="20"/>
  <c r="D930" i="20"/>
  <c r="D929" i="20"/>
  <c r="D928" i="20"/>
  <c r="D927" i="20"/>
  <c r="D926" i="20"/>
  <c r="D925" i="20"/>
  <c r="D924" i="20"/>
  <c r="D923" i="20"/>
  <c r="D922" i="20"/>
  <c r="D921" i="20"/>
  <c r="D920" i="20"/>
  <c r="D919" i="20"/>
  <c r="D918" i="20"/>
  <c r="D917" i="20"/>
  <c r="D916" i="20"/>
  <c r="D915" i="20"/>
  <c r="D914" i="20"/>
  <c r="D913" i="20"/>
  <c r="D912" i="20"/>
  <c r="D911" i="20"/>
  <c r="D910" i="20"/>
  <c r="D909" i="20"/>
  <c r="D908" i="20"/>
  <c r="D907" i="20"/>
  <c r="D906" i="20"/>
  <c r="D905" i="20"/>
  <c r="D904" i="20"/>
  <c r="D903" i="20"/>
  <c r="D902" i="20"/>
  <c r="D901" i="20"/>
  <c r="D900" i="20"/>
  <c r="D899" i="20"/>
  <c r="D898" i="20"/>
  <c r="D897" i="20"/>
  <c r="D896" i="20"/>
  <c r="D895" i="20"/>
  <c r="D894" i="20"/>
  <c r="D893" i="20"/>
  <c r="D892" i="20"/>
  <c r="D891" i="20"/>
  <c r="D890" i="20"/>
  <c r="D889" i="20"/>
  <c r="D888" i="20"/>
  <c r="D887" i="20"/>
  <c r="D886" i="20"/>
  <c r="D885" i="20"/>
  <c r="D884" i="20"/>
  <c r="D883" i="20"/>
  <c r="D882" i="20"/>
  <c r="D881" i="20"/>
  <c r="D880" i="20"/>
  <c r="D879" i="20"/>
  <c r="D878" i="20"/>
  <c r="D877" i="20"/>
  <c r="D876" i="20"/>
  <c r="D875" i="20"/>
  <c r="D874" i="20"/>
  <c r="D873" i="20"/>
  <c r="D872" i="20"/>
  <c r="D871" i="20"/>
  <c r="D870" i="20"/>
  <c r="D869" i="20"/>
  <c r="D868" i="20"/>
  <c r="D867" i="20"/>
  <c r="D866" i="20"/>
  <c r="D865" i="20"/>
  <c r="D864" i="20"/>
  <c r="D863" i="20"/>
  <c r="D862" i="20"/>
  <c r="D861" i="20"/>
  <c r="D860" i="20"/>
  <c r="D859" i="20"/>
  <c r="D858" i="20"/>
  <c r="D857" i="20"/>
  <c r="D856" i="20"/>
  <c r="D855" i="20"/>
  <c r="D854" i="20"/>
  <c r="D853" i="20"/>
  <c r="D852" i="20"/>
  <c r="D851" i="20"/>
  <c r="D850" i="20"/>
  <c r="D849" i="20"/>
  <c r="D848" i="20"/>
  <c r="D847" i="20"/>
  <c r="D846" i="20"/>
  <c r="D845" i="20"/>
  <c r="D844" i="20"/>
  <c r="D843" i="20"/>
  <c r="D842" i="20"/>
  <c r="D841" i="20"/>
  <c r="D840" i="20"/>
  <c r="D839" i="20"/>
  <c r="D838" i="20"/>
  <c r="D837" i="20"/>
  <c r="D836" i="20"/>
  <c r="D835" i="20"/>
  <c r="D834" i="20"/>
  <c r="D833" i="20"/>
  <c r="D832" i="20"/>
  <c r="D831" i="20"/>
  <c r="D830" i="20"/>
  <c r="D829" i="20"/>
  <c r="D828" i="20"/>
  <c r="D827" i="20"/>
  <c r="D826" i="20"/>
  <c r="D825" i="20"/>
  <c r="D824" i="20"/>
  <c r="D823" i="20"/>
  <c r="D822" i="20"/>
  <c r="D821" i="20"/>
  <c r="D820" i="20"/>
  <c r="D819" i="20"/>
  <c r="D818" i="20"/>
  <c r="D817" i="20"/>
  <c r="D816" i="20"/>
  <c r="D815" i="20"/>
  <c r="D814" i="20"/>
  <c r="D813" i="20"/>
  <c r="D812" i="20"/>
  <c r="D811" i="20"/>
  <c r="D810" i="20"/>
  <c r="D809" i="20"/>
  <c r="D808" i="20"/>
  <c r="D807" i="20"/>
  <c r="D806" i="20"/>
  <c r="D805" i="20"/>
  <c r="D804" i="20"/>
  <c r="D803" i="20"/>
  <c r="D802" i="20"/>
  <c r="D801" i="20"/>
  <c r="D800" i="20"/>
  <c r="D799" i="20"/>
  <c r="D798" i="20"/>
  <c r="D797" i="20"/>
  <c r="D796" i="20"/>
  <c r="D795" i="20"/>
  <c r="D794" i="20"/>
  <c r="D793" i="20"/>
  <c r="D792" i="20"/>
  <c r="D791" i="20"/>
  <c r="D790" i="20"/>
  <c r="D789" i="20"/>
  <c r="D788" i="20"/>
  <c r="D787" i="20"/>
  <c r="D786" i="20"/>
  <c r="D785" i="20"/>
  <c r="D784" i="20"/>
  <c r="D783" i="20"/>
  <c r="D782" i="20"/>
  <c r="D781" i="20"/>
  <c r="D780" i="20"/>
  <c r="D779" i="20"/>
  <c r="D778" i="20"/>
  <c r="D777" i="20"/>
  <c r="D776" i="20"/>
  <c r="D775" i="20"/>
  <c r="D774" i="20"/>
  <c r="D773" i="20"/>
  <c r="D772" i="20"/>
  <c r="D771" i="20"/>
  <c r="D770" i="20"/>
  <c r="D769" i="20"/>
  <c r="D768" i="20"/>
  <c r="D767" i="20"/>
  <c r="D766" i="20"/>
  <c r="D765" i="20"/>
  <c r="D764" i="20"/>
  <c r="D763" i="20"/>
  <c r="D762" i="20"/>
  <c r="D761" i="20"/>
  <c r="D760" i="20"/>
  <c r="D759" i="20"/>
  <c r="D758" i="20"/>
  <c r="D757" i="20"/>
  <c r="D756" i="20"/>
  <c r="D755" i="20"/>
  <c r="D754" i="20"/>
  <c r="D753" i="20"/>
  <c r="D752" i="20"/>
  <c r="D751" i="20"/>
  <c r="D750" i="20"/>
  <c r="D749" i="20"/>
  <c r="D748" i="20"/>
  <c r="D747" i="20"/>
  <c r="D746" i="20"/>
  <c r="D745" i="20"/>
  <c r="D744" i="20"/>
  <c r="D743" i="20"/>
  <c r="D742" i="20"/>
  <c r="D741" i="20"/>
  <c r="D740" i="20"/>
  <c r="D739" i="20"/>
  <c r="D738" i="20"/>
  <c r="D737" i="20"/>
  <c r="D736" i="20"/>
  <c r="D735" i="20"/>
  <c r="D734" i="20"/>
  <c r="D733" i="20"/>
  <c r="D732" i="20"/>
  <c r="D731" i="20"/>
  <c r="D730" i="20"/>
  <c r="D729" i="20"/>
  <c r="D728" i="20"/>
  <c r="D727" i="20"/>
  <c r="D726" i="20"/>
  <c r="D725" i="20"/>
  <c r="D724" i="20"/>
  <c r="D723" i="20"/>
  <c r="D722" i="20"/>
  <c r="D721" i="20"/>
  <c r="D720" i="20"/>
  <c r="D719" i="20"/>
  <c r="D718" i="20"/>
  <c r="D717" i="20"/>
  <c r="D716" i="20"/>
  <c r="D715" i="20"/>
  <c r="D714" i="20"/>
  <c r="D713" i="20"/>
  <c r="D712" i="20"/>
  <c r="D711" i="20"/>
  <c r="D710" i="20"/>
  <c r="D709" i="20"/>
  <c r="D708" i="20"/>
  <c r="D707" i="20"/>
  <c r="D706" i="20"/>
  <c r="D705" i="20"/>
  <c r="D704" i="20"/>
  <c r="D703" i="20"/>
  <c r="D702" i="20"/>
  <c r="D701" i="20"/>
  <c r="D700" i="20"/>
  <c r="D699" i="20"/>
  <c r="D698" i="20"/>
  <c r="D697" i="20"/>
  <c r="D696" i="20"/>
  <c r="D695" i="20"/>
  <c r="D694" i="20"/>
  <c r="D693" i="20"/>
  <c r="D692" i="20"/>
  <c r="D691" i="20"/>
  <c r="D690" i="20"/>
  <c r="D689" i="20"/>
  <c r="D688" i="20"/>
  <c r="D687" i="20"/>
  <c r="D686" i="20"/>
  <c r="D685" i="20"/>
  <c r="D684" i="20"/>
  <c r="D683" i="20"/>
  <c r="D682" i="20"/>
  <c r="D681" i="20"/>
  <c r="D680" i="20"/>
  <c r="D679" i="20"/>
  <c r="D678" i="20"/>
  <c r="D677" i="20"/>
  <c r="D676" i="20"/>
  <c r="D675" i="20"/>
  <c r="D674" i="20"/>
  <c r="D673" i="20"/>
  <c r="D672" i="20"/>
  <c r="D671" i="20"/>
  <c r="D670" i="20"/>
  <c r="D669" i="20"/>
  <c r="D668" i="20"/>
  <c r="D667" i="20"/>
  <c r="D666" i="20"/>
  <c r="D665" i="20"/>
  <c r="D664" i="20"/>
  <c r="D663" i="20"/>
  <c r="D662" i="20"/>
  <c r="D661" i="20"/>
  <c r="D660" i="20"/>
  <c r="D659" i="20"/>
  <c r="D658" i="20"/>
  <c r="D657" i="20"/>
  <c r="D656" i="20"/>
  <c r="D655" i="20"/>
  <c r="D654" i="20"/>
  <c r="D653" i="20"/>
  <c r="D652" i="20"/>
  <c r="D651" i="20"/>
  <c r="D650" i="20"/>
  <c r="D649" i="20"/>
  <c r="D648" i="20"/>
  <c r="D647" i="20"/>
  <c r="D646" i="20"/>
  <c r="D645" i="20"/>
  <c r="D644" i="20"/>
  <c r="D643" i="20"/>
  <c r="D642" i="20"/>
  <c r="D641" i="20"/>
  <c r="D640" i="20"/>
  <c r="D639" i="20"/>
  <c r="D638" i="20"/>
  <c r="D637" i="20"/>
  <c r="D636" i="20"/>
  <c r="D635" i="20"/>
  <c r="D634" i="20"/>
  <c r="D633" i="20"/>
  <c r="D632" i="20"/>
  <c r="D631" i="20"/>
  <c r="D630" i="20"/>
  <c r="D629" i="20"/>
  <c r="D628" i="20"/>
  <c r="D627" i="20"/>
  <c r="D626" i="20"/>
  <c r="D625" i="20"/>
  <c r="D624" i="20"/>
  <c r="D623" i="20"/>
  <c r="D622" i="20"/>
  <c r="D621" i="20"/>
  <c r="D620" i="20"/>
  <c r="D619" i="20"/>
  <c r="D618" i="20"/>
  <c r="D617" i="20"/>
  <c r="D616" i="20"/>
  <c r="D615" i="20"/>
  <c r="D614" i="20"/>
  <c r="D613" i="20"/>
  <c r="D612" i="20"/>
  <c r="D611" i="20"/>
  <c r="D610" i="20"/>
  <c r="D609" i="20"/>
  <c r="D608" i="20"/>
  <c r="D607" i="20"/>
  <c r="D606" i="20"/>
  <c r="D605" i="20"/>
  <c r="D604" i="20"/>
  <c r="D603" i="20"/>
  <c r="D602" i="20"/>
  <c r="D601" i="20"/>
  <c r="D600" i="20"/>
  <c r="D599" i="20"/>
  <c r="D598" i="20"/>
  <c r="D597" i="20"/>
  <c r="D596" i="20"/>
  <c r="D595" i="20"/>
  <c r="D594" i="20"/>
  <c r="D593" i="20"/>
  <c r="D592" i="20"/>
  <c r="D591" i="20"/>
  <c r="D590" i="20"/>
  <c r="D589" i="20"/>
  <c r="D588" i="20"/>
  <c r="D587" i="20"/>
  <c r="D586" i="20"/>
  <c r="D585" i="20"/>
  <c r="D584" i="20"/>
  <c r="D583" i="20"/>
  <c r="D582" i="20"/>
  <c r="D581" i="20"/>
  <c r="D580" i="20"/>
  <c r="D579" i="20"/>
  <c r="D578" i="20"/>
  <c r="D577" i="20"/>
  <c r="D576" i="20"/>
  <c r="D575" i="20"/>
  <c r="D574" i="20"/>
  <c r="D572" i="20"/>
  <c r="D571" i="20"/>
  <c r="D570" i="20"/>
  <c r="D569" i="20"/>
  <c r="D568" i="20"/>
  <c r="D567" i="20"/>
  <c r="D566" i="20"/>
  <c r="D565" i="20"/>
  <c r="D564" i="20"/>
  <c r="D563" i="20"/>
  <c r="D562" i="20"/>
  <c r="D561" i="20"/>
  <c r="D560" i="20"/>
  <c r="D559" i="20"/>
  <c r="D558" i="20"/>
  <c r="D557" i="20"/>
  <c r="D556" i="20"/>
  <c r="D555" i="20"/>
  <c r="D554" i="20"/>
  <c r="D553" i="20"/>
  <c r="D552" i="20"/>
  <c r="D551" i="20"/>
  <c r="D550" i="20"/>
  <c r="D549" i="20"/>
  <c r="D548" i="20"/>
  <c r="D547" i="20"/>
  <c r="D546" i="20"/>
  <c r="D545" i="20"/>
  <c r="D544" i="20"/>
  <c r="D543" i="20"/>
  <c r="D542" i="20"/>
  <c r="D541" i="20"/>
  <c r="D540" i="20"/>
  <c r="D539" i="20"/>
  <c r="D538" i="20"/>
  <c r="D537" i="20"/>
  <c r="D536" i="20"/>
  <c r="D535" i="20"/>
  <c r="D534" i="20"/>
  <c r="D533" i="20"/>
  <c r="D532" i="20"/>
  <c r="D531" i="20"/>
  <c r="D530" i="20"/>
  <c r="D529" i="20"/>
  <c r="D528" i="20"/>
  <c r="D527" i="20"/>
  <c r="D526" i="20"/>
  <c r="D525" i="20"/>
  <c r="D524" i="20"/>
  <c r="D523" i="20"/>
  <c r="D522" i="20"/>
  <c r="D521" i="20"/>
  <c r="D520" i="20"/>
  <c r="D519" i="20"/>
  <c r="D518" i="20"/>
  <c r="D517" i="20"/>
  <c r="D516" i="20"/>
  <c r="D515" i="20"/>
  <c r="D514" i="20"/>
  <c r="D513" i="20"/>
  <c r="D512" i="20"/>
  <c r="D511" i="20"/>
  <c r="D510" i="20"/>
  <c r="D509" i="20"/>
  <c r="D508" i="20"/>
  <c r="D507" i="20"/>
  <c r="D506" i="20"/>
  <c r="D505" i="20"/>
  <c r="D504" i="20"/>
  <c r="D503" i="20"/>
  <c r="D502" i="20"/>
  <c r="D501" i="20"/>
  <c r="D500" i="20"/>
  <c r="D499" i="20"/>
  <c r="D498" i="20"/>
  <c r="D497" i="20"/>
  <c r="D496" i="20"/>
  <c r="D495" i="20"/>
  <c r="D494" i="20"/>
  <c r="D493" i="20"/>
  <c r="D492" i="20"/>
  <c r="D491" i="20"/>
  <c r="D490" i="20"/>
  <c r="D489" i="20"/>
  <c r="D488" i="20"/>
  <c r="D487" i="20"/>
  <c r="D486" i="20"/>
  <c r="D485" i="20"/>
  <c r="D484" i="20"/>
  <c r="D483" i="20"/>
  <c r="D482" i="20"/>
  <c r="D481" i="20"/>
  <c r="D480" i="20"/>
  <c r="D479" i="20"/>
  <c r="D478" i="20"/>
  <c r="D477" i="20"/>
  <c r="D476" i="20"/>
  <c r="D475" i="20"/>
  <c r="D474" i="20"/>
  <c r="D473" i="20"/>
  <c r="D472" i="20"/>
  <c r="D471" i="20"/>
  <c r="D470" i="20"/>
  <c r="D469" i="20"/>
  <c r="D468" i="20"/>
  <c r="D467" i="20"/>
  <c r="D466" i="20"/>
  <c r="D465" i="20"/>
  <c r="D464" i="20"/>
  <c r="D463" i="20"/>
  <c r="D462" i="20"/>
  <c r="D461" i="20"/>
  <c r="D460" i="20"/>
  <c r="D459" i="20"/>
  <c r="D458" i="20"/>
  <c r="D457" i="20"/>
  <c r="D456" i="20"/>
  <c r="D455" i="20"/>
  <c r="D454" i="20"/>
  <c r="D453" i="20"/>
  <c r="D452" i="20"/>
  <c r="D451" i="20"/>
  <c r="D450" i="20"/>
  <c r="D449" i="20"/>
  <c r="D448" i="20"/>
  <c r="D447" i="20"/>
  <c r="D446" i="20"/>
  <c r="D445" i="20"/>
  <c r="D444" i="20"/>
  <c r="D443" i="20"/>
  <c r="D442" i="20"/>
  <c r="D441" i="20"/>
  <c r="D440" i="20"/>
  <c r="D439" i="20"/>
  <c r="D438" i="20"/>
  <c r="D437" i="20"/>
  <c r="D436" i="20"/>
  <c r="D435" i="20"/>
  <c r="D434" i="20"/>
  <c r="D433" i="20"/>
  <c r="D432" i="20"/>
  <c r="D431" i="20"/>
  <c r="D430" i="20"/>
  <c r="D429" i="20"/>
  <c r="D428" i="20"/>
  <c r="D427" i="20"/>
  <c r="D426" i="20"/>
  <c r="D425" i="20"/>
  <c r="D424" i="20"/>
  <c r="D423" i="20"/>
  <c r="D422" i="20"/>
  <c r="D421" i="20"/>
  <c r="D420" i="20"/>
  <c r="D419" i="20"/>
  <c r="D418" i="20"/>
  <c r="D417" i="20"/>
  <c r="D416" i="20"/>
  <c r="D415" i="20"/>
  <c r="D414" i="20"/>
  <c r="D413" i="20"/>
  <c r="D412" i="20"/>
  <c r="D411" i="20"/>
  <c r="D410" i="20"/>
  <c r="D409" i="20"/>
  <c r="D408" i="20"/>
  <c r="D407" i="20"/>
  <c r="D406" i="20"/>
  <c r="D405" i="20"/>
  <c r="D404" i="20"/>
  <c r="D403" i="20"/>
  <c r="D402" i="20"/>
  <c r="D401" i="20"/>
  <c r="D400" i="20"/>
  <c r="D399" i="20"/>
  <c r="D398" i="20"/>
  <c r="D397" i="20"/>
  <c r="D396" i="20"/>
  <c r="D395" i="20"/>
  <c r="D394" i="20"/>
  <c r="D393" i="20"/>
  <c r="D392" i="20"/>
  <c r="D391" i="20"/>
  <c r="D390" i="20"/>
  <c r="D389" i="20"/>
  <c r="D388" i="20"/>
  <c r="D387" i="20"/>
  <c r="D386" i="20"/>
  <c r="D385" i="20"/>
  <c r="D384" i="20"/>
  <c r="D383" i="20"/>
  <c r="D382" i="20"/>
  <c r="D381" i="20"/>
  <c r="D380" i="20"/>
  <c r="D379" i="20"/>
  <c r="D378" i="20"/>
  <c r="D377" i="20"/>
  <c r="D376" i="20"/>
  <c r="D375" i="20"/>
  <c r="D374" i="20"/>
  <c r="D373" i="20"/>
  <c r="D372" i="20"/>
  <c r="D371" i="20"/>
  <c r="D370" i="20"/>
  <c r="D369" i="20"/>
  <c r="D368" i="20"/>
  <c r="D367" i="20"/>
  <c r="D366" i="20"/>
  <c r="D365" i="20"/>
  <c r="D364" i="20"/>
  <c r="D363" i="20"/>
  <c r="D362" i="20"/>
  <c r="D361" i="20"/>
  <c r="D360" i="20"/>
  <c r="D359" i="20"/>
  <c r="D358" i="20"/>
  <c r="D357" i="20"/>
  <c r="D356" i="20"/>
  <c r="D355" i="20"/>
  <c r="D354" i="20"/>
  <c r="D353" i="20"/>
  <c r="D352" i="20"/>
  <c r="D351" i="20"/>
  <c r="D350" i="20"/>
  <c r="D349" i="20"/>
  <c r="D348" i="20"/>
  <c r="D347" i="20"/>
  <c r="D346" i="20"/>
  <c r="D345" i="20"/>
  <c r="D344" i="20"/>
  <c r="D343" i="20"/>
  <c r="D342" i="20"/>
  <c r="D341" i="20"/>
  <c r="D340" i="20"/>
  <c r="D339" i="20"/>
  <c r="D338" i="20"/>
  <c r="D337" i="20"/>
  <c r="D336" i="20"/>
  <c r="D335" i="20"/>
  <c r="D334" i="20"/>
  <c r="D333" i="20"/>
  <c r="D332" i="20"/>
  <c r="D331" i="20"/>
  <c r="D330" i="20"/>
  <c r="D329" i="20"/>
  <c r="D328" i="20"/>
  <c r="D327" i="20"/>
  <c r="D326" i="20"/>
  <c r="D325" i="20"/>
  <c r="D324" i="20"/>
  <c r="D323" i="20"/>
  <c r="D322" i="20"/>
  <c r="D321" i="20"/>
  <c r="D320" i="20"/>
  <c r="D319" i="20"/>
  <c r="D318" i="20"/>
  <c r="D317" i="20"/>
  <c r="D316" i="20"/>
  <c r="D315" i="20"/>
  <c r="D314" i="20"/>
  <c r="D313" i="20"/>
  <c r="D312" i="20"/>
  <c r="D311" i="20"/>
  <c r="D310" i="20"/>
  <c r="D309" i="20"/>
  <c r="D308" i="20"/>
  <c r="D307" i="20"/>
  <c r="D306" i="20"/>
  <c r="D305" i="20"/>
  <c r="D304" i="20"/>
  <c r="D303" i="20"/>
  <c r="D302" i="20"/>
  <c r="D301" i="20"/>
  <c r="D300" i="20"/>
  <c r="D299" i="20"/>
  <c r="D298" i="20"/>
  <c r="D297" i="20"/>
  <c r="D296" i="20"/>
  <c r="D295" i="20"/>
  <c r="D294" i="20"/>
  <c r="D293" i="20"/>
  <c r="D292" i="20"/>
  <c r="D291" i="20"/>
  <c r="D290" i="20"/>
  <c r="D289" i="20"/>
  <c r="D288" i="20"/>
  <c r="D287" i="20"/>
  <c r="D286" i="20"/>
  <c r="D285" i="20"/>
  <c r="D284" i="20"/>
  <c r="D283" i="20"/>
  <c r="D282" i="20"/>
  <c r="D281" i="20"/>
  <c r="D280" i="20"/>
  <c r="D279" i="20"/>
  <c r="D278" i="20"/>
  <c r="D277" i="20"/>
  <c r="D276" i="20"/>
  <c r="D275" i="20"/>
  <c r="D274" i="20"/>
  <c r="D273" i="20"/>
  <c r="D272" i="20"/>
  <c r="D271" i="20"/>
  <c r="D270" i="20"/>
  <c r="D269" i="20"/>
  <c r="D268" i="20"/>
  <c r="D267" i="20"/>
  <c r="D266" i="20"/>
  <c r="D265" i="20"/>
  <c r="D264" i="20"/>
  <c r="D263" i="20"/>
  <c r="D262" i="20"/>
  <c r="D261" i="20"/>
  <c r="D260" i="20"/>
  <c r="D259" i="20"/>
  <c r="D258" i="20"/>
  <c r="D257" i="20"/>
  <c r="D256" i="20"/>
  <c r="D255" i="20"/>
  <c r="D254" i="20"/>
  <c r="D253" i="20"/>
  <c r="D252" i="20"/>
  <c r="D251" i="20"/>
  <c r="D250" i="20"/>
  <c r="D249" i="20"/>
  <c r="D248" i="20"/>
  <c r="D247" i="20"/>
  <c r="D246" i="20"/>
  <c r="D245" i="20"/>
  <c r="D244" i="20"/>
  <c r="D243" i="20"/>
  <c r="D242" i="20"/>
  <c r="D241" i="20"/>
  <c r="D240" i="20"/>
  <c r="D239" i="20"/>
  <c r="D238" i="20"/>
  <c r="D237" i="20"/>
  <c r="D236" i="20"/>
  <c r="D235" i="20"/>
  <c r="D234" i="20"/>
  <c r="D233" i="20"/>
  <c r="D232" i="20"/>
  <c r="D231" i="20"/>
  <c r="D230" i="20"/>
  <c r="D229" i="20"/>
  <c r="D228" i="20"/>
  <c r="D227" i="20"/>
  <c r="D226" i="20"/>
  <c r="D225" i="20"/>
  <c r="D224" i="20"/>
  <c r="D223" i="20"/>
  <c r="D222" i="20"/>
  <c r="D221" i="20"/>
  <c r="D220" i="20"/>
  <c r="D219" i="20"/>
  <c r="D218" i="20"/>
  <c r="D217" i="20"/>
  <c r="D216" i="20"/>
  <c r="D215" i="20"/>
  <c r="D214" i="20"/>
  <c r="D213" i="20"/>
  <c r="D212" i="20"/>
  <c r="D211" i="20"/>
  <c r="D210" i="20"/>
  <c r="D209" i="20"/>
  <c r="D208" i="20"/>
  <c r="D207" i="20"/>
  <c r="D206" i="20"/>
  <c r="D205" i="20"/>
  <c r="D204" i="20"/>
  <c r="D203" i="20"/>
  <c r="D202" i="20"/>
  <c r="D201" i="20"/>
  <c r="D200" i="20"/>
  <c r="D199" i="20"/>
  <c r="D198" i="20"/>
  <c r="D197" i="20"/>
  <c r="D195" i="20"/>
  <c r="D194" i="20"/>
  <c r="D193" i="20"/>
  <c r="D192" i="20"/>
  <c r="D191" i="20"/>
  <c r="D190" i="20"/>
  <c r="D189" i="20"/>
  <c r="D188" i="20"/>
  <c r="D187" i="20"/>
  <c r="D186" i="20"/>
  <c r="D185" i="20"/>
  <c r="D184" i="20"/>
  <c r="D183" i="20"/>
  <c r="D182" i="20"/>
  <c r="D181" i="20"/>
  <c r="D180" i="20"/>
  <c r="D179" i="20"/>
  <c r="D178" i="20"/>
  <c r="D177" i="20"/>
  <c r="D176" i="20"/>
  <c r="D175" i="20"/>
  <c r="D174" i="20"/>
  <c r="D173" i="20"/>
  <c r="D172" i="20"/>
  <c r="D171" i="20"/>
  <c r="D170" i="20"/>
  <c r="D169" i="20"/>
  <c r="D168" i="20"/>
  <c r="D167" i="20"/>
  <c r="D166" i="20"/>
  <c r="D165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D146" i="20"/>
  <c r="D145" i="20"/>
  <c r="D144" i="20"/>
  <c r="D143" i="20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C1326" i="20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C981" i="20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19" i="9"/>
  <c r="A118" i="9"/>
  <c r="A117" i="9"/>
  <c r="A116" i="9"/>
  <c r="A115" i="9"/>
  <c r="A114" i="9"/>
  <c r="A113" i="9"/>
  <c r="A112" i="9"/>
  <c r="A111" i="9"/>
  <c r="A110" i="9"/>
  <c r="A109" i="9"/>
  <c r="C1340" i="20"/>
  <c r="A108" i="9"/>
  <c r="A107" i="9"/>
  <c r="A106" i="9"/>
  <c r="A105" i="9"/>
  <c r="A104" i="9"/>
  <c r="A103" i="9"/>
  <c r="A102" i="9"/>
  <c r="A101" i="9"/>
  <c r="A100" i="9"/>
  <c r="A99" i="9"/>
  <c r="A86" i="9"/>
  <c r="A98" i="9"/>
  <c r="A97" i="9"/>
  <c r="A96" i="9"/>
  <c r="A95" i="9"/>
  <c r="C1208" i="20"/>
  <c r="A94" i="9"/>
  <c r="A93" i="9"/>
  <c r="A92" i="9"/>
  <c r="A91" i="9"/>
  <c r="C1128" i="20"/>
  <c r="A90" i="9"/>
  <c r="A89" i="9"/>
  <c r="C1105" i="20"/>
  <c r="A88" i="9"/>
  <c r="A87" i="9"/>
  <c r="C1081" i="20"/>
  <c r="A85" i="9"/>
  <c r="A84" i="9"/>
  <c r="A83" i="9"/>
  <c r="A82" i="9"/>
  <c r="A81" i="9"/>
  <c r="A80" i="9"/>
  <c r="A79" i="9"/>
  <c r="A78" i="9"/>
  <c r="A77" i="9"/>
  <c r="A76" i="9"/>
  <c r="C1007" i="20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C1191" i="20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1" i="9"/>
  <c r="C21" i="4" l="1"/>
  <c r="B21" i="4"/>
  <c r="D36" i="28"/>
  <c r="B50" i="28"/>
  <c r="D51" i="28"/>
  <c r="B36" i="28"/>
  <c r="C47" i="28"/>
  <c r="B39" i="28"/>
  <c r="B53" i="28"/>
  <c r="D49" i="28"/>
  <c r="D24" i="28"/>
  <c r="D27" i="28"/>
  <c r="B28" i="28"/>
  <c r="C39" i="28"/>
  <c r="C32" i="28"/>
  <c r="C45" i="28"/>
  <c r="D43" i="28"/>
  <c r="B27" i="28"/>
  <c r="C51" i="28"/>
  <c r="C23" i="28"/>
  <c r="D54" i="28"/>
  <c r="D31" i="28"/>
  <c r="B38" i="28"/>
  <c r="C40" i="28"/>
  <c r="B35" i="28"/>
  <c r="C43" i="28"/>
  <c r="C46" i="28"/>
  <c r="D26" i="28"/>
  <c r="B24" i="28"/>
  <c r="C42" i="28"/>
  <c r="D42" i="28"/>
  <c r="B30" i="28"/>
  <c r="B33" i="28"/>
  <c r="C33" i="28"/>
  <c r="D44" i="28"/>
  <c r="B48" i="28"/>
  <c r="B56" i="28"/>
  <c r="C29" i="28"/>
  <c r="B22" i="28"/>
  <c r="B25" i="28"/>
  <c r="D25" i="28"/>
  <c r="D39" i="28"/>
  <c r="C44" i="28"/>
  <c r="C21" i="28"/>
  <c r="D45" i="28"/>
  <c r="C56" i="28"/>
  <c r="D48" i="28"/>
  <c r="C54" i="28"/>
  <c r="B47" i="28"/>
  <c r="D34" i="28"/>
  <c r="D22" i="28"/>
  <c r="D37" i="28"/>
  <c r="C22" i="28"/>
  <c r="C41" i="28"/>
  <c r="C55" i="28"/>
  <c r="B23" i="28"/>
  <c r="B37" i="28"/>
  <c r="D46" i="28"/>
  <c r="C24" i="28"/>
  <c r="C27" i="28"/>
  <c r="C30" i="28"/>
  <c r="C36" i="28"/>
  <c r="C50" i="28"/>
  <c r="B34" i="28"/>
  <c r="C53" i="28"/>
  <c r="C31" i="28"/>
  <c r="D56" i="28"/>
  <c r="D28" i="28"/>
  <c r="D38" i="28"/>
  <c r="B45" i="28"/>
  <c r="B40" i="28"/>
  <c r="C28" i="28"/>
  <c r="B43" i="28"/>
  <c r="C52" i="28"/>
  <c r="B52" i="28"/>
  <c r="B29" i="28"/>
  <c r="B55" i="28"/>
  <c r="B32" i="28"/>
  <c r="C25" i="28"/>
  <c r="C35" i="28"/>
  <c r="C38" i="28"/>
  <c r="B54" i="28"/>
  <c r="B26" i="28"/>
  <c r="B21" i="28"/>
  <c r="D55" i="28"/>
  <c r="D53" i="28"/>
  <c r="D21" i="28"/>
  <c r="D40" i="28"/>
  <c r="D30" i="28"/>
  <c r="B42" i="28"/>
  <c r="D33" i="28"/>
  <c r="D47" i="28"/>
  <c r="D23" i="28"/>
  <c r="B51" i="28"/>
  <c r="D52" i="28"/>
  <c r="D32" i="28"/>
  <c r="D35" i="28"/>
  <c r="D41" i="28"/>
  <c r="C34" i="28"/>
  <c r="B41" i="28"/>
  <c r="C37" i="28"/>
  <c r="D50" i="28"/>
  <c r="B46" i="28"/>
  <c r="B49" i="28"/>
  <c r="C49" i="28"/>
  <c r="C26" i="28"/>
  <c r="B44" i="28"/>
  <c r="D29" i="28"/>
  <c r="B31" i="28"/>
  <c r="C48" i="28"/>
  <c r="C1005" i="20"/>
  <c r="C1088" i="20"/>
  <c r="C1317" i="20"/>
  <c r="C1222" i="20"/>
  <c r="B22" i="26"/>
  <c r="D24" i="26"/>
  <c r="C27" i="26"/>
  <c r="B30" i="26"/>
  <c r="D32" i="26"/>
  <c r="C35" i="26"/>
  <c r="B38" i="26"/>
  <c r="D40" i="26"/>
  <c r="C43" i="26"/>
  <c r="B46" i="26"/>
  <c r="D48" i="26"/>
  <c r="C51" i="26"/>
  <c r="B54" i="26"/>
  <c r="D56" i="26"/>
  <c r="C22" i="26"/>
  <c r="B25" i="26"/>
  <c r="D27" i="26"/>
  <c r="C30" i="26"/>
  <c r="B33" i="26"/>
  <c r="D35" i="26"/>
  <c r="C38" i="26"/>
  <c r="B41" i="26"/>
  <c r="D43" i="26"/>
  <c r="C46" i="26"/>
  <c r="B49" i="26"/>
  <c r="D51" i="26"/>
  <c r="C54" i="26"/>
  <c r="D21" i="26"/>
  <c r="D22" i="26"/>
  <c r="C25" i="26"/>
  <c r="B28" i="26"/>
  <c r="D30" i="26"/>
  <c r="C33" i="26"/>
  <c r="B36" i="26"/>
  <c r="D38" i="26"/>
  <c r="C41" i="26"/>
  <c r="B44" i="26"/>
  <c r="D46" i="26"/>
  <c r="C49" i="26"/>
  <c r="B52" i="26"/>
  <c r="D54" i="26"/>
  <c r="C21" i="26"/>
  <c r="B23" i="26"/>
  <c r="D25" i="26"/>
  <c r="C28" i="26"/>
  <c r="B31" i="26"/>
  <c r="D33" i="26"/>
  <c r="C36" i="26"/>
  <c r="B39" i="26"/>
  <c r="D41" i="26"/>
  <c r="C44" i="26"/>
  <c r="B47" i="26"/>
  <c r="D49" i="26"/>
  <c r="C52" i="26"/>
  <c r="B55" i="26"/>
  <c r="B21" i="26"/>
  <c r="C23" i="26"/>
  <c r="B26" i="26"/>
  <c r="D28" i="26"/>
  <c r="C31" i="26"/>
  <c r="B34" i="26"/>
  <c r="D36" i="26"/>
  <c r="C39" i="26"/>
  <c r="B42" i="26"/>
  <c r="D44" i="26"/>
  <c r="C47" i="26"/>
  <c r="B50" i="26"/>
  <c r="D52" i="26"/>
  <c r="C55" i="26"/>
  <c r="D23" i="26"/>
  <c r="C26" i="26"/>
  <c r="B29" i="26"/>
  <c r="D31" i="26"/>
  <c r="C34" i="26"/>
  <c r="B37" i="26"/>
  <c r="D39" i="26"/>
  <c r="C42" i="26"/>
  <c r="B45" i="26"/>
  <c r="D47" i="26"/>
  <c r="C50" i="26"/>
  <c r="B53" i="26"/>
  <c r="D55" i="26"/>
  <c r="B24" i="26"/>
  <c r="D26" i="26"/>
  <c r="C29" i="26"/>
  <c r="D37" i="26"/>
  <c r="C48" i="26"/>
  <c r="B27" i="26"/>
  <c r="B40" i="26"/>
  <c r="D50" i="26"/>
  <c r="D29" i="26"/>
  <c r="B51" i="26"/>
  <c r="D42" i="26"/>
  <c r="B43" i="26"/>
  <c r="D53" i="26"/>
  <c r="D34" i="26"/>
  <c r="C45" i="26"/>
  <c r="B56" i="26"/>
  <c r="B35" i="26"/>
  <c r="D45" i="26"/>
  <c r="C56" i="26"/>
  <c r="C37" i="26"/>
  <c r="B48" i="26"/>
  <c r="C24" i="26"/>
  <c r="C40" i="26"/>
  <c r="B32" i="26"/>
  <c r="C53" i="26"/>
  <c r="C32" i="26"/>
  <c r="B21" i="27"/>
  <c r="B55" i="27"/>
  <c r="B47" i="27"/>
  <c r="B39" i="27"/>
  <c r="B31" i="27"/>
  <c r="B23" i="27"/>
  <c r="C25" i="27"/>
  <c r="B50" i="27"/>
  <c r="B42" i="27"/>
  <c r="B34" i="27"/>
  <c r="B26" i="27"/>
  <c r="B52" i="27"/>
  <c r="B44" i="27"/>
  <c r="B36" i="27"/>
  <c r="B24" i="27"/>
  <c r="C50" i="27"/>
  <c r="C42" i="27"/>
  <c r="C34" i="27"/>
  <c r="C26" i="27"/>
  <c r="C52" i="27"/>
  <c r="C44" i="27"/>
  <c r="C36" i="27"/>
  <c r="C28" i="27"/>
  <c r="C55" i="27"/>
  <c r="C47" i="27"/>
  <c r="C39" i="27"/>
  <c r="C31" i="27"/>
  <c r="C23" i="27"/>
  <c r="C49" i="27"/>
  <c r="C41" i="27"/>
  <c r="C33" i="27"/>
  <c r="C21" i="27"/>
  <c r="B49" i="27"/>
  <c r="B41" i="27"/>
  <c r="B33" i="27"/>
  <c r="B25" i="27"/>
  <c r="B51" i="27"/>
  <c r="B43" i="27"/>
  <c r="B35" i="27"/>
  <c r="B27" i="27"/>
  <c r="B56" i="27"/>
  <c r="B54" i="27"/>
  <c r="B46" i="27"/>
  <c r="B38" i="27"/>
  <c r="B30" i="27"/>
  <c r="B22" i="27"/>
  <c r="B48" i="27"/>
  <c r="B40" i="27"/>
  <c r="B32" i="27"/>
  <c r="C54" i="27"/>
  <c r="C46" i="27"/>
  <c r="C38" i="27"/>
  <c r="C30" i="27"/>
  <c r="C22" i="27"/>
  <c r="C56" i="27"/>
  <c r="C48" i="27"/>
  <c r="C40" i="27"/>
  <c r="C32" i="27"/>
  <c r="C24" i="27"/>
  <c r="B28" i="27"/>
  <c r="C51" i="27"/>
  <c r="C43" i="27"/>
  <c r="C35" i="27"/>
  <c r="C27" i="27"/>
  <c r="C53" i="27"/>
  <c r="C45" i="27"/>
  <c r="C37" i="27"/>
  <c r="C29" i="27"/>
  <c r="B53" i="27"/>
  <c r="B45" i="27"/>
  <c r="B37" i="27"/>
  <c r="B29" i="27"/>
  <c r="I69" i="4"/>
  <c r="E2" i="9"/>
  <c r="E2" i="3" s="1"/>
  <c r="D7" i="13"/>
  <c r="H11" i="13"/>
  <c r="M7" i="13"/>
  <c r="G10" i="13"/>
  <c r="D10" i="13"/>
  <c r="J10" i="13"/>
  <c r="J9" i="13"/>
  <c r="M8" i="13"/>
  <c r="E11" i="13"/>
  <c r="J7" i="13"/>
  <c r="J11" i="13" s="1"/>
  <c r="D8" i="13"/>
  <c r="K14" i="14"/>
  <c r="J14" i="14"/>
  <c r="L14" i="14" s="1"/>
  <c r="F11" i="13"/>
  <c r="G7" i="13"/>
  <c r="G11" i="13" s="1"/>
  <c r="AC1563" i="3"/>
  <c r="C11" i="13"/>
  <c r="L11" i="13"/>
  <c r="G9" i="13"/>
  <c r="M9" i="13"/>
  <c r="I11" i="13"/>
  <c r="G8" i="13"/>
  <c r="D9" i="13"/>
  <c r="C1046" i="20"/>
  <c r="C1080" i="20"/>
  <c r="C1133" i="20"/>
  <c r="C1155" i="20"/>
  <c r="C1219" i="20"/>
  <c r="C1309" i="20"/>
  <c r="C961" i="20"/>
  <c r="C995" i="20"/>
  <c r="C1035" i="20"/>
  <c r="C1085" i="20"/>
  <c r="C1147" i="20"/>
  <c r="C1168" i="20"/>
  <c r="C1207" i="20"/>
  <c r="C1262" i="20"/>
  <c r="C1323" i="20"/>
  <c r="C974" i="20"/>
  <c r="C1022" i="20"/>
  <c r="C1052" i="20"/>
  <c r="C1084" i="20"/>
  <c r="C1107" i="20"/>
  <c r="C1150" i="20"/>
  <c r="C1179" i="20"/>
  <c r="C1257" i="20"/>
  <c r="C1295" i="20"/>
  <c r="C1349" i="20"/>
  <c r="C1045" i="20"/>
  <c r="C1079" i="20"/>
  <c r="C1124" i="20"/>
  <c r="C1153" i="20"/>
  <c r="C1216" i="20"/>
  <c r="C1227" i="20"/>
  <c r="C1345" i="20"/>
  <c r="C980" i="20"/>
  <c r="C1026" i="20"/>
  <c r="C1073" i="20"/>
  <c r="C1143" i="20"/>
  <c r="C1164" i="20"/>
  <c r="C1177" i="20"/>
  <c r="C1252" i="20"/>
  <c r="C1303" i="20"/>
  <c r="C1339" i="20"/>
  <c r="C1011" i="20"/>
  <c r="C1036" i="20"/>
  <c r="C1068" i="20"/>
  <c r="C1106" i="20"/>
  <c r="C1134" i="20"/>
  <c r="C1178" i="20"/>
  <c r="C1204" i="20"/>
  <c r="C1267" i="20"/>
  <c r="C1321" i="20"/>
  <c r="C963" i="20"/>
  <c r="C970" i="20"/>
  <c r="C990" i="20"/>
  <c r="C1000" i="20"/>
  <c r="C1003" i="20"/>
  <c r="C1008" i="20"/>
  <c r="C1009" i="20"/>
  <c r="C1020" i="20"/>
  <c r="C1021" i="20"/>
  <c r="C1030" i="20"/>
  <c r="C1037" i="20"/>
  <c r="C1042" i="20"/>
  <c r="C1066" i="20"/>
  <c r="C1070" i="20"/>
  <c r="C1077" i="20"/>
  <c r="C1099" i="20"/>
  <c r="C1131" i="20"/>
  <c r="C1132" i="20"/>
  <c r="C1137" i="20"/>
  <c r="C1139" i="20"/>
  <c r="C1149" i="20"/>
  <c r="C1158" i="20"/>
  <c r="C1183" i="20"/>
  <c r="C1199" i="20"/>
  <c r="C1200" i="20"/>
  <c r="C1210" i="20"/>
  <c r="C1230" i="20"/>
  <c r="C1275" i="20"/>
  <c r="C1278" i="20"/>
  <c r="C1286" i="20"/>
  <c r="C1294" i="20"/>
  <c r="C1302" i="20"/>
  <c r="C1320" i="20"/>
  <c r="C1343" i="20"/>
  <c r="C971" i="20"/>
  <c r="C983" i="20"/>
  <c r="C984" i="20"/>
  <c r="C985" i="20"/>
  <c r="C1002" i="20"/>
  <c r="C1012" i="20"/>
  <c r="C1033" i="20"/>
  <c r="C1040" i="20"/>
  <c r="C1055" i="20"/>
  <c r="C1067" i="20"/>
  <c r="C1082" i="20"/>
  <c r="C1083" i="20"/>
  <c r="C1104" i="20"/>
  <c r="C1114" i="20"/>
  <c r="C1119" i="20"/>
  <c r="C1122" i="20"/>
  <c r="C1129" i="20"/>
  <c r="C1173" i="20"/>
  <c r="C1181" i="20"/>
  <c r="C1185" i="20"/>
  <c r="C1187" i="20"/>
  <c r="C1193" i="20"/>
  <c r="C1215" i="20"/>
  <c r="C1246" i="20"/>
  <c r="C1263" i="20"/>
  <c r="C1277" i="20"/>
  <c r="C1279" i="20"/>
  <c r="C1285" i="20"/>
  <c r="C1327" i="20"/>
  <c r="C1336" i="20"/>
  <c r="C1346" i="20"/>
  <c r="C1347" i="20"/>
  <c r="C965" i="20"/>
  <c r="C967" i="20"/>
  <c r="C1016" i="20"/>
  <c r="C1019" i="20"/>
  <c r="C1031" i="20"/>
  <c r="C1038" i="20"/>
  <c r="C1043" i="20"/>
  <c r="C1047" i="20"/>
  <c r="C1057" i="20"/>
  <c r="C1064" i="20"/>
  <c r="C1069" i="20"/>
  <c r="C1095" i="20"/>
  <c r="C1112" i="20"/>
  <c r="C1174" i="20"/>
  <c r="C1190" i="20"/>
  <c r="C1202" i="20"/>
  <c r="C1209" i="20"/>
  <c r="C1237" i="20"/>
  <c r="C1239" i="20"/>
  <c r="C1241" i="20"/>
  <c r="C1251" i="20"/>
  <c r="C1276" i="20"/>
  <c r="C1281" i="20"/>
  <c r="C1282" i="20"/>
  <c r="C1299" i="20"/>
  <c r="C1305" i="20"/>
  <c r="C1308" i="20"/>
  <c r="C1311" i="20"/>
  <c r="C1329" i="20"/>
  <c r="C1332" i="20"/>
  <c r="C954" i="20"/>
  <c r="C977" i="20"/>
  <c r="C989" i="20"/>
  <c r="C991" i="20"/>
  <c r="C1001" i="20"/>
  <c r="C1013" i="20"/>
  <c r="C1015" i="20"/>
  <c r="C1028" i="20"/>
  <c r="C1049" i="20"/>
  <c r="C1051" i="20"/>
  <c r="C1058" i="20"/>
  <c r="C1075" i="20"/>
  <c r="C1078" i="20"/>
  <c r="C1096" i="20"/>
  <c r="C1108" i="20"/>
  <c r="C1109" i="20"/>
  <c r="C1111" i="20"/>
  <c r="C1123" i="20"/>
  <c r="C1182" i="20"/>
  <c r="C1184" i="20"/>
  <c r="C1188" i="20"/>
  <c r="C1197" i="20"/>
  <c r="C1212" i="20"/>
  <c r="C1220" i="20"/>
  <c r="C1255" i="20"/>
  <c r="C1256" i="20"/>
  <c r="C1258" i="20"/>
  <c r="C1264" i="20"/>
  <c r="C1284" i="20"/>
  <c r="C1291" i="20"/>
  <c r="C1306" i="20"/>
  <c r="C1307" i="20"/>
  <c r="C1319" i="20"/>
  <c r="C1324" i="20"/>
  <c r="C1342" i="20"/>
  <c r="C972" i="20"/>
  <c r="C978" i="20"/>
  <c r="C982" i="20"/>
  <c r="C988" i="20"/>
  <c r="C1023" i="20"/>
  <c r="C1025" i="20"/>
  <c r="C1056" i="20"/>
  <c r="C1059" i="20"/>
  <c r="C1065" i="20"/>
  <c r="C1076" i="20"/>
  <c r="C1097" i="20"/>
  <c r="C1102" i="20"/>
  <c r="C1103" i="20"/>
  <c r="C1118" i="20"/>
  <c r="C1152" i="20"/>
  <c r="C1159" i="20"/>
  <c r="C1161" i="20"/>
  <c r="C1166" i="20"/>
  <c r="C1176" i="20"/>
  <c r="C1186" i="20"/>
  <c r="C1194" i="20"/>
  <c r="C1211" i="20"/>
  <c r="C1225" i="20"/>
  <c r="C1232" i="20"/>
  <c r="C1235" i="20"/>
  <c r="C1238" i="20"/>
  <c r="C1244" i="20"/>
  <c r="C1274" i="20"/>
  <c r="C1290" i="20"/>
  <c r="C1292" i="20"/>
  <c r="C1293" i="20"/>
  <c r="C1300" i="20"/>
  <c r="C1313" i="20"/>
  <c r="C1318" i="20"/>
  <c r="C1341" i="20"/>
  <c r="C1344" i="20"/>
  <c r="C955" i="20"/>
  <c r="C959" i="20"/>
  <c r="C960" i="20"/>
  <c r="C964" i="20"/>
  <c r="C969" i="20"/>
  <c r="C973" i="20"/>
  <c r="C1034" i="20"/>
  <c r="C1050" i="20"/>
  <c r="C1074" i="20"/>
  <c r="C1086" i="20"/>
  <c r="C1093" i="20"/>
  <c r="C1120" i="20"/>
  <c r="C1121" i="20"/>
  <c r="C1126" i="20"/>
  <c r="C1136" i="20"/>
  <c r="C1141" i="20"/>
  <c r="C1146" i="20"/>
  <c r="C1175" i="20"/>
  <c r="C1180" i="20"/>
  <c r="C1189" i="20"/>
  <c r="C1203" i="20"/>
  <c r="C1205" i="20"/>
  <c r="C1214" i="20"/>
  <c r="C1231" i="20"/>
  <c r="C1242" i="20"/>
  <c r="C1253" i="20"/>
  <c r="C1268" i="20"/>
  <c r="C1280" i="20"/>
  <c r="C1287" i="20"/>
  <c r="C1289" i="20"/>
  <c r="C1298" i="20"/>
  <c r="C1301" i="20"/>
  <c r="C1310" i="20"/>
  <c r="C1331" i="20"/>
  <c r="C1337" i="20"/>
  <c r="C958" i="20"/>
  <c r="C993" i="20"/>
  <c r="C1014" i="20"/>
  <c r="C1017" i="20"/>
  <c r="C1018" i="20"/>
  <c r="C1041" i="20"/>
  <c r="C1087" i="20"/>
  <c r="C1089" i="20"/>
  <c r="C1100" i="20"/>
  <c r="C1140" i="20"/>
  <c r="C1144" i="20"/>
  <c r="C1145" i="20"/>
  <c r="C1167" i="20"/>
  <c r="C1170" i="20"/>
  <c r="C1171" i="20"/>
  <c r="C1196" i="20"/>
  <c r="C1206" i="20"/>
  <c r="C1221" i="20"/>
  <c r="C1226" i="20"/>
  <c r="C1228" i="20"/>
  <c r="C1229" i="20"/>
  <c r="C1233" i="20"/>
  <c r="C1236" i="20"/>
  <c r="C1243" i="20"/>
  <c r="C1245" i="20"/>
  <c r="C1248" i="20"/>
  <c r="C1250" i="20"/>
  <c r="C1254" i="20"/>
  <c r="C1265" i="20"/>
  <c r="C1273" i="20"/>
  <c r="C1296" i="20"/>
  <c r="C1314" i="20"/>
  <c r="C1315" i="20"/>
  <c r="C1325" i="20"/>
  <c r="C1328" i="20"/>
  <c r="C957" i="20"/>
  <c r="C962" i="20"/>
  <c r="C998" i="20"/>
  <c r="C1027" i="20"/>
  <c r="C1039" i="20"/>
  <c r="C1048" i="20"/>
  <c r="C1060" i="20"/>
  <c r="C1061" i="20"/>
  <c r="C1094" i="20"/>
  <c r="C1098" i="20"/>
  <c r="C1113" i="20"/>
  <c r="C1117" i="20"/>
  <c r="C1125" i="20"/>
  <c r="C1138" i="20"/>
  <c r="C1156" i="20"/>
  <c r="C1163" i="20"/>
  <c r="C1165" i="20"/>
  <c r="C1192" i="20"/>
  <c r="C1195" i="20"/>
  <c r="C1213" i="20"/>
  <c r="C1217" i="20"/>
  <c r="C1224" i="20"/>
  <c r="C1234" i="20"/>
  <c r="C1240" i="20"/>
  <c r="C1249" i="20"/>
  <c r="C1259" i="20"/>
  <c r="C1261" i="20"/>
  <c r="C1269" i="20"/>
  <c r="C1270" i="20"/>
  <c r="C1272" i="20"/>
  <c r="C1288" i="20"/>
  <c r="C1297" i="20"/>
  <c r="C1316" i="20"/>
  <c r="C1330" i="20"/>
  <c r="C1338" i="20"/>
  <c r="C1348" i="20"/>
  <c r="C976" i="20"/>
  <c r="C987" i="20"/>
  <c r="C992" i="20"/>
  <c r="C994" i="20"/>
  <c r="C997" i="20"/>
  <c r="C999" i="20"/>
  <c r="C1006" i="20"/>
  <c r="C1010" i="20"/>
  <c r="C1024" i="20"/>
  <c r="C1072" i="20"/>
  <c r="C1101" i="20"/>
  <c r="C1151" i="20"/>
  <c r="C1201" i="20"/>
  <c r="C1223" i="20"/>
  <c r="C1334" i="20"/>
  <c r="C979" i="20"/>
  <c r="C1004" i="20"/>
  <c r="C1053" i="20"/>
  <c r="C1135" i="20"/>
  <c r="C1162" i="20"/>
  <c r="C1172" i="20"/>
  <c r="C1247" i="20"/>
  <c r="C1283" i="20"/>
  <c r="C1335" i="20"/>
  <c r="C986" i="20"/>
  <c r="C1032" i="20"/>
  <c r="C1063" i="20"/>
  <c r="C1091" i="20"/>
  <c r="C1115" i="20"/>
  <c r="C1160" i="20"/>
  <c r="C1198" i="20"/>
  <c r="C1266" i="20"/>
  <c r="C1312" i="20"/>
  <c r="C1071" i="20"/>
  <c r="C1092" i="20"/>
  <c r="C1142" i="20"/>
  <c r="C1157" i="20"/>
  <c r="C1322" i="20"/>
  <c r="C968" i="20"/>
  <c r="C996" i="20"/>
  <c r="C1044" i="20"/>
  <c r="C1127" i="20"/>
  <c r="C1148" i="20"/>
  <c r="C1169" i="20"/>
  <c r="C1218" i="20"/>
  <c r="C1271" i="20"/>
  <c r="C1333" i="20"/>
  <c r="C975" i="20"/>
  <c r="C1029" i="20"/>
  <c r="C1062" i="20"/>
  <c r="C1090" i="20"/>
  <c r="C1110" i="20"/>
  <c r="C1154" i="20"/>
  <c r="C1130" i="20"/>
  <c r="C1260" i="20"/>
  <c r="C1304" i="20"/>
  <c r="AC1538" i="3"/>
  <c r="AC1545" i="3"/>
  <c r="AC1551" i="3"/>
  <c r="AC1562" i="3"/>
  <c r="AC1560" i="3"/>
  <c r="AC1558" i="3"/>
  <c r="AC1556" i="3"/>
  <c r="AC1554" i="3"/>
  <c r="AC1552" i="3"/>
  <c r="AC1550" i="3"/>
  <c r="AC1553" i="3"/>
  <c r="AC1544" i="3"/>
  <c r="AC1543" i="3"/>
  <c r="AC1536" i="3"/>
  <c r="AC1535" i="3"/>
  <c r="AC1561" i="3"/>
  <c r="AC1555" i="3"/>
  <c r="AC1542" i="3"/>
  <c r="AC1541" i="3"/>
  <c r="AC1534" i="3"/>
  <c r="AC1533" i="3"/>
  <c r="AC1557" i="3"/>
  <c r="AC1549" i="3"/>
  <c r="AC1548" i="3"/>
  <c r="AC1547" i="3"/>
  <c r="AC1540" i="3"/>
  <c r="AC1539" i="3"/>
  <c r="AC1537" i="3"/>
  <c r="AC1546" i="3"/>
  <c r="AC1559" i="3"/>
  <c r="A15" i="26"/>
  <c r="H66" i="26"/>
  <c r="J8" i="14"/>
  <c r="B11" i="13"/>
  <c r="K11" i="13"/>
  <c r="M11" i="13" s="1"/>
  <c r="C60" i="28" l="1"/>
  <c r="C59" i="28"/>
  <c r="Q7" i="13"/>
  <c r="Q10" i="13"/>
  <c r="D11" i="13"/>
  <c r="Q11" i="13" s="1"/>
  <c r="Q8" i="13"/>
  <c r="Q9" i="13"/>
  <c r="L8" i="14"/>
  <c r="J16" i="14"/>
  <c r="AC1564" i="3"/>
  <c r="C60" i="26"/>
  <c r="C59" i="26"/>
  <c r="B49" i="4"/>
  <c r="B25" i="4"/>
  <c r="B26" i="4"/>
  <c r="B34" i="4"/>
  <c r="B46" i="4"/>
  <c r="B57" i="4"/>
  <c r="B30" i="4"/>
  <c r="B54" i="4"/>
  <c r="B22" i="4"/>
  <c r="K307" i="3"/>
  <c r="K248" i="3"/>
  <c r="K288" i="3"/>
  <c r="B41" i="4"/>
  <c r="B55" i="4"/>
  <c r="K263" i="3"/>
  <c r="K303" i="3"/>
  <c r="K296" i="3"/>
  <c r="K273" i="3"/>
  <c r="K300" i="3"/>
  <c r="B23" i="4"/>
  <c r="K281" i="3"/>
  <c r="B36" i="4"/>
  <c r="B47" i="4"/>
  <c r="B35" i="4"/>
  <c r="K304" i="3"/>
  <c r="K292" i="3"/>
  <c r="K295" i="3"/>
  <c r="K247" i="3"/>
  <c r="K287" i="3"/>
  <c r="B58" i="4"/>
  <c r="K264" i="3"/>
  <c r="B56" i="4"/>
  <c r="B50" i="4"/>
  <c r="K256" i="3"/>
  <c r="B48" i="4"/>
  <c r="B44" i="4"/>
  <c r="D34" i="4"/>
  <c r="K241" i="3"/>
  <c r="K306" i="3"/>
  <c r="D55" i="4"/>
  <c r="K302" i="3"/>
  <c r="K258" i="3"/>
  <c r="K298" i="3"/>
  <c r="K254" i="3"/>
  <c r="K294" i="3"/>
  <c r="K290" i="3"/>
  <c r="D38" i="4"/>
  <c r="K285" i="3"/>
  <c r="K277" i="3"/>
  <c r="K259" i="3"/>
  <c r="K299" i="3"/>
  <c r="K291" i="3"/>
  <c r="K239" i="3"/>
  <c r="K279" i="3"/>
  <c r="B60" i="4"/>
  <c r="D53" i="4"/>
  <c r="D45" i="4"/>
  <c r="K252" i="3"/>
  <c r="D30" i="4"/>
  <c r="K233" i="3"/>
  <c r="K305" i="3"/>
  <c r="K261" i="3"/>
  <c r="K301" i="3"/>
  <c r="K297" i="3"/>
  <c r="K253" i="3"/>
  <c r="K293" i="3"/>
  <c r="D42" i="4"/>
  <c r="K289" i="3"/>
  <c r="K243" i="3"/>
  <c r="K283" i="3"/>
  <c r="K275" i="3"/>
  <c r="K231" i="3"/>
  <c r="K271" i="3"/>
  <c r="K286" i="3"/>
  <c r="D35" i="4"/>
  <c r="K282" i="3"/>
  <c r="K278" i="3"/>
  <c r="K234" i="3"/>
  <c r="K274" i="3"/>
  <c r="K270" i="3"/>
  <c r="D22" i="4"/>
  <c r="K269" i="3"/>
  <c r="K244" i="3"/>
  <c r="K284" i="3"/>
  <c r="D33" i="4"/>
  <c r="K280" i="3"/>
  <c r="K276" i="3"/>
  <c r="D25" i="4"/>
  <c r="K272" i="3"/>
  <c r="K268" i="3"/>
  <c r="D56" i="4" l="1"/>
  <c r="D57" i="4"/>
  <c r="B37" i="4"/>
  <c r="D26" i="4"/>
  <c r="K260" i="3"/>
  <c r="K237" i="3"/>
  <c r="B51" i="4"/>
  <c r="B28" i="4"/>
  <c r="D41" i="4"/>
  <c r="D36" i="4"/>
  <c r="K245" i="3"/>
  <c r="D47" i="4"/>
  <c r="K249" i="3"/>
  <c r="D58" i="4"/>
  <c r="D49" i="4"/>
  <c r="D27" i="4"/>
  <c r="K229" i="3"/>
  <c r="K242" i="3"/>
  <c r="K232" i="3"/>
  <c r="D59" i="4"/>
  <c r="D29" i="4"/>
  <c r="D31" i="4"/>
  <c r="K238" i="3"/>
  <c r="K251" i="3"/>
  <c r="D44" i="4"/>
  <c r="K250" i="3"/>
  <c r="D48" i="4"/>
  <c r="K255" i="3"/>
  <c r="B43" i="4"/>
  <c r="B24" i="4"/>
  <c r="K267" i="3"/>
  <c r="D60" i="4"/>
  <c r="K230" i="3"/>
  <c r="D23" i="4"/>
  <c r="K235" i="3"/>
  <c r="K257" i="3"/>
  <c r="D28" i="4"/>
  <c r="K246" i="3"/>
  <c r="D39" i="4"/>
  <c r="K236" i="3"/>
  <c r="D50" i="4"/>
  <c r="D43" i="4"/>
  <c r="B38" i="4"/>
  <c r="B31" i="4"/>
  <c r="D37" i="4"/>
  <c r="K262" i="3"/>
  <c r="K240" i="3"/>
  <c r="D24" i="4"/>
  <c r="D46" i="4"/>
  <c r="D54" i="4"/>
  <c r="D51" i="4"/>
  <c r="D32" i="4"/>
  <c r="D40" i="4"/>
  <c r="D52" i="4"/>
  <c r="B52" i="4"/>
  <c r="B59" i="4"/>
  <c r="B27" i="4"/>
  <c r="B32" i="4"/>
  <c r="B40" i="4"/>
  <c r="B53" i="4"/>
  <c r="B39" i="4"/>
  <c r="K265" i="3"/>
  <c r="K266" i="3"/>
  <c r="B29" i="4"/>
  <c r="B33" i="4"/>
  <c r="D21" i="4"/>
  <c r="B42" i="4"/>
  <c r="B45" i="4"/>
  <c r="C63" i="4" l="1"/>
  <c r="C64" i="4"/>
  <c r="C34" i="4"/>
  <c r="C54" i="4"/>
  <c r="C59" i="4"/>
  <c r="C33" i="4"/>
  <c r="C58" i="4"/>
  <c r="C47" i="4"/>
  <c r="C56" i="4"/>
  <c r="C49" i="4"/>
  <c r="C35" i="4"/>
  <c r="C57" i="4"/>
  <c r="C60" i="4"/>
  <c r="C27" i="4"/>
  <c r="C43" i="4"/>
  <c r="C23" i="4"/>
  <c r="C51" i="4"/>
  <c r="C40" i="4"/>
  <c r="C25" i="4"/>
  <c r="C52" i="4"/>
  <c r="C53" i="4"/>
  <c r="C29" i="4"/>
  <c r="C39" i="4"/>
  <c r="C45" i="4" l="1"/>
  <c r="C32" i="4"/>
  <c r="C41" i="4"/>
  <c r="C31" i="4"/>
  <c r="C48" i="4"/>
  <c r="C44" i="4"/>
  <c r="C38" i="4"/>
  <c r="C37" i="4"/>
  <c r="C24" i="4"/>
  <c r="C30" i="4"/>
  <c r="C26" i="4"/>
  <c r="C46" i="4"/>
  <c r="C42" i="4"/>
  <c r="C36" i="4"/>
  <c r="C28" i="4"/>
  <c r="C55" i="4"/>
  <c r="C50" i="4"/>
  <c r="C22" i="4"/>
</calcChain>
</file>

<file path=xl/sharedStrings.xml><?xml version="1.0" encoding="utf-8"?>
<sst xmlns="http://schemas.openxmlformats.org/spreadsheetml/2006/main" count="21637" uniqueCount="6389">
  <si>
    <t>NISN</t>
  </si>
  <si>
    <t>0067982907</t>
  </si>
  <si>
    <t>FINA OKTAVIANA</t>
  </si>
  <si>
    <t>0061442485</t>
  </si>
  <si>
    <t>BALQIS MUTIARA KHANSA</t>
  </si>
  <si>
    <t>0138310660</t>
  </si>
  <si>
    <t>RAYANA SANDI</t>
  </si>
  <si>
    <t>0079857627</t>
  </si>
  <si>
    <t>PRAMESTI TOTENG HIDAYAT WIRADISASTRA</t>
  </si>
  <si>
    <t>0062374604</t>
  </si>
  <si>
    <t>ARDAH AYUNINGTYAS</t>
  </si>
  <si>
    <t>0071058351</t>
  </si>
  <si>
    <t>MUDJTAHID FARREL RACHMAN NUGROHO</t>
  </si>
  <si>
    <t>0077467461</t>
  </si>
  <si>
    <t>NASYWA NUR WAHIBAH</t>
  </si>
  <si>
    <t>0071357365</t>
  </si>
  <si>
    <t>IBNATI MULKI NUR AZIZAH</t>
  </si>
  <si>
    <t>0078692304</t>
  </si>
  <si>
    <t>REVANI AYUDIFA PUTRI</t>
  </si>
  <si>
    <t>0069590294</t>
  </si>
  <si>
    <t>NANDA NURRI NABILA</t>
  </si>
  <si>
    <t>0072910003</t>
  </si>
  <si>
    <t>FEBRA VALENCIA FERINO</t>
  </si>
  <si>
    <t>0074288136</t>
  </si>
  <si>
    <t>LAELY NUR ANISA</t>
  </si>
  <si>
    <t>0065279671</t>
  </si>
  <si>
    <t>HAZNA RAHMASARI</t>
  </si>
  <si>
    <t>0069126912</t>
  </si>
  <si>
    <t>ANDIANA RAFI SAPUTRO</t>
  </si>
  <si>
    <t>0062122603</t>
  </si>
  <si>
    <t>AGIES DWI UTAMI</t>
  </si>
  <si>
    <t>0071790855</t>
  </si>
  <si>
    <t>RAIHANNUN KEYZIA AL-QALLIFI</t>
  </si>
  <si>
    <t>0067583120</t>
  </si>
  <si>
    <t>FITRI OKTAVIANI</t>
  </si>
  <si>
    <t>0062528618</t>
  </si>
  <si>
    <t>NAOMY ARSYLIA</t>
  </si>
  <si>
    <t>0083732226</t>
  </si>
  <si>
    <t>NAZHIRA BERLIANA WIJAYA</t>
  </si>
  <si>
    <t>0079008600</t>
  </si>
  <si>
    <t>SYIFA NUR FUZIAH</t>
  </si>
  <si>
    <t>NAYLA DESTIANI AZZAHRA</t>
  </si>
  <si>
    <t>0068551036</t>
  </si>
  <si>
    <t>GEORGE GEZYARA RASPATI</t>
  </si>
  <si>
    <t>0061121582</t>
  </si>
  <si>
    <t>AUZIAH SAFFANI</t>
  </si>
  <si>
    <t>0064738084</t>
  </si>
  <si>
    <t>MELYA RAHMA DESTIANI</t>
  </si>
  <si>
    <t>0061440453</t>
  </si>
  <si>
    <t>DITHA REINAFA</t>
  </si>
  <si>
    <t>0064902533</t>
  </si>
  <si>
    <t>HANAA AFIIFAH QURROTU AINII</t>
  </si>
  <si>
    <t>0071494999</t>
  </si>
  <si>
    <t>SANIA DWI APRILIA</t>
  </si>
  <si>
    <t>0063353817</t>
  </si>
  <si>
    <t>RENEINA SALSABILA AZZAHRA</t>
  </si>
  <si>
    <t>0071513010</t>
  </si>
  <si>
    <t>DITHA MAHARANI</t>
  </si>
  <si>
    <t>0074115915</t>
  </si>
  <si>
    <t>RIFKY PRIYANGGA SUKMARA</t>
  </si>
  <si>
    <t>0073767434</t>
  </si>
  <si>
    <t>VIKA AZ-ZAHRAH WULANDARI</t>
  </si>
  <si>
    <t>0075354711</t>
  </si>
  <si>
    <t>BUNGA DESRIVIANA</t>
  </si>
  <si>
    <t>0074878143</t>
  </si>
  <si>
    <t>ZHAFIRA AZMI RAMADHANI KHOIRUNNISA</t>
  </si>
  <si>
    <t>0063163049</t>
  </si>
  <si>
    <t>ANDREAN FIRZI HIDAYAT</t>
  </si>
  <si>
    <t>0075293552</t>
  </si>
  <si>
    <t>BILQIS MAULIDA APRIANI</t>
  </si>
  <si>
    <t>0069723046</t>
  </si>
  <si>
    <t>RIZKA DWI AGNITA</t>
  </si>
  <si>
    <t>3063843651</t>
  </si>
  <si>
    <t>NAJWA NUR FADHILAH</t>
  </si>
  <si>
    <t>0064760851</t>
  </si>
  <si>
    <t>GEA SITI NURJANAH</t>
  </si>
  <si>
    <t>0076518346</t>
  </si>
  <si>
    <t>FADHIL MUTAWALLI SULTHAN NATSIR</t>
  </si>
  <si>
    <t>0068470603</t>
  </si>
  <si>
    <t>SILMI SITI HASANAH</t>
  </si>
  <si>
    <t>0063443152</t>
  </si>
  <si>
    <t>MARCIA HELEN HERAWATI SIGIRO</t>
  </si>
  <si>
    <t>3074726855</t>
  </si>
  <si>
    <t>TSAWWA AZZAHRA MARSAPADILAH PERMANA</t>
  </si>
  <si>
    <t>0072757307</t>
  </si>
  <si>
    <t>SELFI TRIYANI</t>
  </si>
  <si>
    <t>0078469067</t>
  </si>
  <si>
    <t>RAKA FADILLAH</t>
  </si>
  <si>
    <t>0074004821</t>
  </si>
  <si>
    <t>OBI MAULANA</t>
  </si>
  <si>
    <t>0087793032</t>
  </si>
  <si>
    <t>RIFA NADHIFA</t>
  </si>
  <si>
    <t>0085993149</t>
  </si>
  <si>
    <t>NURINA</t>
  </si>
  <si>
    <t>0078550136</t>
  </si>
  <si>
    <t>DIEZ TIZAR SUKMA</t>
  </si>
  <si>
    <t>0062095372</t>
  </si>
  <si>
    <t>ROHMAN PAUZI</t>
  </si>
  <si>
    <t>0071967787</t>
  </si>
  <si>
    <t>MUHAMMAD MARDIANSYAH</t>
  </si>
  <si>
    <t>0063788272</t>
  </si>
  <si>
    <t>SULAEMAN SETYO RAHARJO</t>
  </si>
  <si>
    <t>0063956915</t>
  </si>
  <si>
    <t>DHIANA AGUSTHYNA</t>
  </si>
  <si>
    <t>0074610762</t>
  </si>
  <si>
    <t>MUHAMMAD HAIDAR AL ASYKARI</t>
  </si>
  <si>
    <t>0065259709</t>
  </si>
  <si>
    <t>DINAR SURYA NURZAMAN</t>
  </si>
  <si>
    <t>0078034264</t>
  </si>
  <si>
    <t>AKMAL NUGRAHA</t>
  </si>
  <si>
    <t>0074079884</t>
  </si>
  <si>
    <t>RIO IRGI</t>
  </si>
  <si>
    <t>0068803177</t>
  </si>
  <si>
    <t>RIAN FERDIANSYAH</t>
  </si>
  <si>
    <t>0073660739</t>
  </si>
  <si>
    <t>KIKI AULIA</t>
  </si>
  <si>
    <t>0078835029</t>
  </si>
  <si>
    <t>BAYU EKA JULIANZAH</t>
  </si>
  <si>
    <t>0072679427</t>
  </si>
  <si>
    <t>EKA YULIANI</t>
  </si>
  <si>
    <t>0064451805</t>
  </si>
  <si>
    <t>DICKY HERMAWAN SUPRIATNA</t>
  </si>
  <si>
    <t>0073265891</t>
  </si>
  <si>
    <t>RIA RESTIANI</t>
  </si>
  <si>
    <t>0076711818</t>
  </si>
  <si>
    <t>NANDINI RAHMAWATI</t>
  </si>
  <si>
    <t>0072206122</t>
  </si>
  <si>
    <t>KARLINA</t>
  </si>
  <si>
    <t>0068605473</t>
  </si>
  <si>
    <t>MUHAMMAD AZRIL ASSEGAF</t>
  </si>
  <si>
    <t>0072109042</t>
  </si>
  <si>
    <t>INTAN VIRNA DAMAYANTI</t>
  </si>
  <si>
    <t>0069534857</t>
  </si>
  <si>
    <t>OKTAVIA RAHMADANI</t>
  </si>
  <si>
    <t>0064628494</t>
  </si>
  <si>
    <t>ALPIN GALIH PINUNJUL</t>
  </si>
  <si>
    <t>0061450282</t>
  </si>
  <si>
    <t>NOVIYANTI SRI UTAMI</t>
  </si>
  <si>
    <t>0078451872</t>
  </si>
  <si>
    <t>AZZAHRA SEPPIYA CHANDRAWINATA</t>
  </si>
  <si>
    <t>0074475247</t>
  </si>
  <si>
    <t>SEBIRA MEISA NAZWA</t>
  </si>
  <si>
    <t>0065180388</t>
  </si>
  <si>
    <t>ZAHRAN FAUZAAN</t>
  </si>
  <si>
    <t>0074134072</t>
  </si>
  <si>
    <t>DITA NUR ALIFA</t>
  </si>
  <si>
    <t>0075583610</t>
  </si>
  <si>
    <t>RAVINA AZ ZAHRA</t>
  </si>
  <si>
    <t>0077623926</t>
  </si>
  <si>
    <t>FADHIL MUSSAFFA INDARTO</t>
  </si>
  <si>
    <t>0065199809</t>
  </si>
  <si>
    <t>INTAN JIHAN RAHMAWATI</t>
  </si>
  <si>
    <t>0071735202</t>
  </si>
  <si>
    <t>DARA ANANDA NAZHIRA YUSUF</t>
  </si>
  <si>
    <t>0074385845</t>
  </si>
  <si>
    <t>RIO ALFATHIR RIYADI</t>
  </si>
  <si>
    <t>0068770202</t>
  </si>
  <si>
    <t>YUSUP BUDIMAN</t>
  </si>
  <si>
    <t>0078676589</t>
  </si>
  <si>
    <t>MUHAMMAD HILMAN NASHRULLAH</t>
  </si>
  <si>
    <t>0072330872</t>
  </si>
  <si>
    <t>RAIHAN JULIAN SAPUTRA</t>
  </si>
  <si>
    <t>0073307088</t>
  </si>
  <si>
    <t>ADRIAN MAULANA</t>
  </si>
  <si>
    <t>0075679516</t>
  </si>
  <si>
    <t>MEISYA FEBRIYANTI</t>
  </si>
  <si>
    <t>0075708769</t>
  </si>
  <si>
    <t>MUHAMMAD NAFIS ALFAFA</t>
  </si>
  <si>
    <t>MUHAMAD FARHAN</t>
  </si>
  <si>
    <t>0062788475</t>
  </si>
  <si>
    <t>0069394339</t>
  </si>
  <si>
    <t>RIZKY ZAYDAN MAULANA</t>
  </si>
  <si>
    <t>0072851097</t>
  </si>
  <si>
    <t>IKHWAN AKBAR RIZQI</t>
  </si>
  <si>
    <t>Drs. Erwin Sambas, M.M.Pd</t>
  </si>
  <si>
    <t>0063055801</t>
  </si>
  <si>
    <t>ERDI SAMBASTIAN</t>
  </si>
  <si>
    <t>0076990322</t>
  </si>
  <si>
    <t>MUHAMMAD HAFIZ BINTANG ASYSYIDIQI</t>
  </si>
  <si>
    <t>0067024710</t>
  </si>
  <si>
    <t>VENEZIA VALERINA</t>
  </si>
  <si>
    <t>0067354362</t>
  </si>
  <si>
    <t>HASYALINA LATHIFAH ROENIE</t>
  </si>
  <si>
    <t>0069415344</t>
  </si>
  <si>
    <t>MAHARDIKA MUHAMMAD FADIL SAHELLAN</t>
  </si>
  <si>
    <t>0074852714</t>
  </si>
  <si>
    <t>NADYA AMELIA FIRDAUSA</t>
  </si>
  <si>
    <t>0065034436</t>
  </si>
  <si>
    <t>YASMIN HANIFAH</t>
  </si>
  <si>
    <t>0061837841</t>
  </si>
  <si>
    <t>SENI TRIMULIANI</t>
  </si>
  <si>
    <t>0065061996</t>
  </si>
  <si>
    <t>SHAYLA DIKA AULIA</t>
  </si>
  <si>
    <t>0064320637</t>
  </si>
  <si>
    <t>REZA MUHAMAD FAUZI</t>
  </si>
  <si>
    <t>0075478362</t>
  </si>
  <si>
    <t>REVINA MAESA AYU</t>
  </si>
  <si>
    <t>0065021576</t>
  </si>
  <si>
    <t>SALWA NURHANIFAH LAZIRA</t>
  </si>
  <si>
    <t>0071890217</t>
  </si>
  <si>
    <t>ZAHRA AZIZAH</t>
  </si>
  <si>
    <t>0066461721</t>
  </si>
  <si>
    <t>ALYSHA SALSYABILA KURNIAWAN</t>
  </si>
  <si>
    <t>0074325427</t>
  </si>
  <si>
    <t>NADIA FEBRYANI PUTRI</t>
  </si>
  <si>
    <t>0079164502</t>
  </si>
  <si>
    <t>MUHAMMAD BILLY PUTRA SYAHRIL</t>
  </si>
  <si>
    <t>0079193845</t>
  </si>
  <si>
    <t>NAISYA CHAMILAN</t>
  </si>
  <si>
    <t>0062704858</t>
  </si>
  <si>
    <t>LEI BEB CHANISA</t>
  </si>
  <si>
    <t>0068795209</t>
  </si>
  <si>
    <t>FACHRI MAULANA AKBAR</t>
  </si>
  <si>
    <t>0078105219</t>
  </si>
  <si>
    <t>DIANTI NURUL QOLBI</t>
  </si>
  <si>
    <t>0067278636</t>
  </si>
  <si>
    <t>FATTAH RIZQULLAH MARWAN</t>
  </si>
  <si>
    <t>0072015523</t>
  </si>
  <si>
    <t>AISYAH AL KHADIAH KHANDANI</t>
  </si>
  <si>
    <t>0063498210</t>
  </si>
  <si>
    <t>DHEA PUTRI ANGGRAENI</t>
  </si>
  <si>
    <t>0066628629</t>
  </si>
  <si>
    <t>RIVANI SEPTIANI</t>
  </si>
  <si>
    <t>0065323973</t>
  </si>
  <si>
    <t>SHAFIRA PUTRI FIRZA</t>
  </si>
  <si>
    <t>0073496608</t>
  </si>
  <si>
    <t>SAFINA PUTRI HAPSARI</t>
  </si>
  <si>
    <t>0062854269</t>
  </si>
  <si>
    <t>AGIL FAJAR RAMADHAN</t>
  </si>
  <si>
    <t>0061677527</t>
  </si>
  <si>
    <t>RAFI MALIKA ADI PRADANA</t>
  </si>
  <si>
    <t>0069314423</t>
  </si>
  <si>
    <t>M. `ADLI FADHLURRAHMAN FIRDAUS</t>
  </si>
  <si>
    <t>0071427187</t>
  </si>
  <si>
    <t>DEANDRA PRATIWI</t>
  </si>
  <si>
    <t>0064483537</t>
  </si>
  <si>
    <t>MOCH PASHA ARDIANSYAH</t>
  </si>
  <si>
    <t>0066134663</t>
  </si>
  <si>
    <t>FANNY NOVI LESTARI</t>
  </si>
  <si>
    <t>0071102443</t>
  </si>
  <si>
    <t>GHIBRAN EL MEIZYAN SYAH</t>
  </si>
  <si>
    <t>0069525851</t>
  </si>
  <si>
    <t>AULIA FITRIANI</t>
  </si>
  <si>
    <t>0071320562</t>
  </si>
  <si>
    <t>LADYA NURAINI</t>
  </si>
  <si>
    <t>3060891765</t>
  </si>
  <si>
    <t>RAFI FIRDAUS</t>
  </si>
  <si>
    <t>0079305753</t>
  </si>
  <si>
    <t>WIDYA ZAHRA AZIZAH</t>
  </si>
  <si>
    <t>0061776069</t>
  </si>
  <si>
    <t>RIBI DISAN AL ZHAFRAN</t>
  </si>
  <si>
    <t>0066278243</t>
  </si>
  <si>
    <t>FARIS FIRANSYAH</t>
  </si>
  <si>
    <t>0074908142</t>
  </si>
  <si>
    <t>LINDA OLIVIA</t>
  </si>
  <si>
    <t>0067502686</t>
  </si>
  <si>
    <t>FATHYA NUR ATAMI NISA</t>
  </si>
  <si>
    <t>0072890072</t>
  </si>
  <si>
    <t>ERMAYA FASTIKA</t>
  </si>
  <si>
    <t>0069224230</t>
  </si>
  <si>
    <t>NAYZA ZALFA ANALOKA</t>
  </si>
  <si>
    <t>0062440664</t>
  </si>
  <si>
    <t>JONATHAN JASON</t>
  </si>
  <si>
    <t>0071900542</t>
  </si>
  <si>
    <t>MOCHAMAD NAUFAL YASIN</t>
  </si>
  <si>
    <t>0068603569</t>
  </si>
  <si>
    <t>MUHAMMAD WILDAN ARDIAN</t>
  </si>
  <si>
    <t>0064543769</t>
  </si>
  <si>
    <t>SELLY SOLEHAH RAMADHANI</t>
  </si>
  <si>
    <t>0061649406</t>
  </si>
  <si>
    <t>MAZAYA SHAFADIRA GHANIS NAHAYU GANDARA</t>
  </si>
  <si>
    <t>0064242841</t>
  </si>
  <si>
    <t>JASMINE AURELLIA AZZAHRA</t>
  </si>
  <si>
    <t>0099410961</t>
  </si>
  <si>
    <t>AHMAD RIZKI MULYANA</t>
  </si>
  <si>
    <t>0068768589</t>
  </si>
  <si>
    <t>RHEYNA FAHIRA SOFWAN</t>
  </si>
  <si>
    <t>3063482441</t>
  </si>
  <si>
    <t>FARID NU`MAN RIZQULLAH</t>
  </si>
  <si>
    <t>0076431691</t>
  </si>
  <si>
    <t>NAJLA HASNA NURLITA</t>
  </si>
  <si>
    <t>0072800119</t>
  </si>
  <si>
    <t>DARA PUTRI MEYLANI</t>
  </si>
  <si>
    <t>0073496361</t>
  </si>
  <si>
    <t>YETI DIANCA AYU NADHIROH</t>
  </si>
  <si>
    <t>0064907481</t>
  </si>
  <si>
    <t>INAYAH NADINE FIORESTI NURDIN</t>
  </si>
  <si>
    <t>0067080957</t>
  </si>
  <si>
    <t>AZIZAH JAHRO</t>
  </si>
  <si>
    <t>0062685509</t>
  </si>
  <si>
    <t>IHSAN RASYAD FADILA</t>
  </si>
  <si>
    <t>0063921818</t>
  </si>
  <si>
    <t>MARSYA VIRGINIA SANTOSO</t>
  </si>
  <si>
    <t>3077052403</t>
  </si>
  <si>
    <t>MUHAMMAD ROFILAH AKHDAN</t>
  </si>
  <si>
    <t>0074788212</t>
  </si>
  <si>
    <t>RYMELDA RAMADANNY</t>
  </si>
  <si>
    <t>0064811473</t>
  </si>
  <si>
    <t>RAFA` TSAQIFAH NURASYIFA `ARIFAH</t>
  </si>
  <si>
    <t>0071916580</t>
  </si>
  <si>
    <t>GERYAN KARIMBA GARDIANTO</t>
  </si>
  <si>
    <t>0077107632</t>
  </si>
  <si>
    <t>GHINA ANGGRAENI</t>
  </si>
  <si>
    <t>0069250935</t>
  </si>
  <si>
    <t>MUHAMAD ICHSAN FADILAH</t>
  </si>
  <si>
    <t>0071996126</t>
  </si>
  <si>
    <t>RAYA MULIAWATI</t>
  </si>
  <si>
    <t>0061254430</t>
  </si>
  <si>
    <t>ADITYA KUSUMA PUTRA</t>
  </si>
  <si>
    <t>0076518471</t>
  </si>
  <si>
    <t>PUTRI FEGIA NURAMANAH</t>
  </si>
  <si>
    <t>0077374469</t>
  </si>
  <si>
    <t>SHAKA ALMAS BILBINA</t>
  </si>
  <si>
    <t>0074922248</t>
  </si>
  <si>
    <t>BUNGA AISYAH JULIYANTI</t>
  </si>
  <si>
    <t>0069233900</t>
  </si>
  <si>
    <t>DAMAYANTI AZAHRA</t>
  </si>
  <si>
    <t>0077862663</t>
  </si>
  <si>
    <t>ASEP KURNIAWAN</t>
  </si>
  <si>
    <t>0066282150</t>
  </si>
  <si>
    <t>WILLDAN RISWANDI</t>
  </si>
  <si>
    <t>0061028704</t>
  </si>
  <si>
    <t>FARIHA USWATUN HASANAH</t>
  </si>
  <si>
    <t>0064587375</t>
  </si>
  <si>
    <t>LUNA DI MEDINNA RUBIANSYAH</t>
  </si>
  <si>
    <t>0073872879</t>
  </si>
  <si>
    <t>ANDIKA RAIHAN ALBIRUNI</t>
  </si>
  <si>
    <t>0064715200</t>
  </si>
  <si>
    <t>ANGGA YUDHA</t>
  </si>
  <si>
    <t>0072923627</t>
  </si>
  <si>
    <t>DYAS SAPUTRA PEPRIYANA</t>
  </si>
  <si>
    <t>0065729578</t>
  </si>
  <si>
    <t>SHOPY SAHIRA</t>
  </si>
  <si>
    <t>0078690685</t>
  </si>
  <si>
    <t>LAISYA MALIK</t>
  </si>
  <si>
    <t>0066894523</t>
  </si>
  <si>
    <t>VANIF PUTRI NAYDA</t>
  </si>
  <si>
    <t>0073112526</t>
  </si>
  <si>
    <t>ALLISA NUR AZMI</t>
  </si>
  <si>
    <t>0072371254</t>
  </si>
  <si>
    <t>NAUFAL IZZANI</t>
  </si>
  <si>
    <t>0078104551</t>
  </si>
  <si>
    <t>KHANSA NUR RAYA KINTAN</t>
  </si>
  <si>
    <t>0069021206</t>
  </si>
  <si>
    <t>MUHAMMAD NAUFAL HIDAYATULLOH</t>
  </si>
  <si>
    <t>0072571548</t>
  </si>
  <si>
    <t>SALMA FADILLA OKTAVITA</t>
  </si>
  <si>
    <t>0071714297</t>
  </si>
  <si>
    <t>FADIA NUR FEBRIANTI</t>
  </si>
  <si>
    <t>0064067144</t>
  </si>
  <si>
    <t>DIANA PUTRI</t>
  </si>
  <si>
    <t>0075651511</t>
  </si>
  <si>
    <t>RAINA EL HUMAIRA</t>
  </si>
  <si>
    <t>0076683600</t>
  </si>
  <si>
    <t>ASTRI NAZIHAH KURNIA</t>
  </si>
  <si>
    <t>0074524470</t>
  </si>
  <si>
    <t>RIZKA MEILIANI</t>
  </si>
  <si>
    <t>0075147590</t>
  </si>
  <si>
    <t>ARJEN AZIZ SURAWIJAYA</t>
  </si>
  <si>
    <t>0071087065</t>
  </si>
  <si>
    <t>BAGAS TRI LAKSONO</t>
  </si>
  <si>
    <t>0068854482</t>
  </si>
  <si>
    <t>FAHREZI HARRY KURNIAWAN</t>
  </si>
  <si>
    <t>0074790817</t>
  </si>
  <si>
    <t>KARTIKA DIWANA</t>
  </si>
  <si>
    <t>0075642187</t>
  </si>
  <si>
    <t>REVINNA FEBRIANTI</t>
  </si>
  <si>
    <t>0077517349</t>
  </si>
  <si>
    <t>LOVA RIWIANI</t>
  </si>
  <si>
    <t>0069831963</t>
  </si>
  <si>
    <t>HILBRAM BRASSALI BUDIMAN</t>
  </si>
  <si>
    <t>0077771746</t>
  </si>
  <si>
    <t>RAMADHAN IBNU WARDHANA</t>
  </si>
  <si>
    <t>0065267141</t>
  </si>
  <si>
    <t>ABDUL JABBAR</t>
  </si>
  <si>
    <t>0065031351</t>
  </si>
  <si>
    <t>RAHMAWATI</t>
  </si>
  <si>
    <t>NAMA</t>
  </si>
  <si>
    <t>KLS</t>
  </si>
  <si>
    <t>L</t>
  </si>
  <si>
    <t>KA 1</t>
  </si>
  <si>
    <t>P</t>
  </si>
  <si>
    <t>0061578805</t>
  </si>
  <si>
    <t>EKA SYARIF HAKIM</t>
  </si>
  <si>
    <t>KA 2</t>
  </si>
  <si>
    <t>0068616252</t>
  </si>
  <si>
    <t>LED AKHMAD HAKIM AMARULLOH</t>
  </si>
  <si>
    <t>KA 3</t>
  </si>
  <si>
    <t>CLARA CLAUDIA SURYADI</t>
  </si>
  <si>
    <t>0073973304</t>
  </si>
  <si>
    <t>RISKA DWI RAHMADANI</t>
  </si>
  <si>
    <t>KA 4</t>
  </si>
  <si>
    <t>0073213381</t>
  </si>
  <si>
    <t>KEYLA ALIFFASYA</t>
  </si>
  <si>
    <t>KA 5</t>
  </si>
  <si>
    <t>0073498957</t>
  </si>
  <si>
    <t>ARIEF HIDAYAT</t>
  </si>
  <si>
    <t>KA 6</t>
  </si>
  <si>
    <t>0078759833</t>
  </si>
  <si>
    <t>HADI SUTRISNO</t>
  </si>
  <si>
    <t>0076859813</t>
  </si>
  <si>
    <t>FAUZAN TSANI MUHARAM</t>
  </si>
  <si>
    <t>SELY KUSMAWATI</t>
  </si>
  <si>
    <t>HAZVAN RAMADHAN JUHARI</t>
  </si>
  <si>
    <t>X KA 1</t>
  </si>
  <si>
    <t>akhir 2017</t>
  </si>
  <si>
    <t>AHKIR 2018</t>
  </si>
  <si>
    <t>AHKIR 2019</t>
  </si>
  <si>
    <t>AKHIR 2020</t>
  </si>
  <si>
    <t>JEC</t>
  </si>
  <si>
    <t>awal 2021</t>
  </si>
  <si>
    <t>akhir 2021</t>
  </si>
  <si>
    <t>siswa masuk 2org</t>
  </si>
  <si>
    <t>awal 2022</t>
  </si>
  <si>
    <t>AKHIR 2022</t>
  </si>
  <si>
    <t>SISWA MASUK</t>
  </si>
  <si>
    <t>X KA 2</t>
  </si>
  <si>
    <t>X KA 3</t>
  </si>
  <si>
    <t>3067142610</t>
  </si>
  <si>
    <t>X KA 4</t>
  </si>
  <si>
    <t>X KA 5</t>
  </si>
  <si>
    <t>X KA 6</t>
  </si>
  <si>
    <t>X PPLG 1</t>
  </si>
  <si>
    <t>X PPLG 2</t>
  </si>
  <si>
    <t>X TJKT 1</t>
  </si>
  <si>
    <t>X TJKT 2</t>
  </si>
  <si>
    <t>X TJKT 3</t>
  </si>
  <si>
    <t>ADHITYA ANDHIKA</t>
  </si>
  <si>
    <t>KATOLIK</t>
  </si>
  <si>
    <t>tinggal kelas</t>
  </si>
  <si>
    <t>No</t>
  </si>
  <si>
    <t>NIS</t>
  </si>
  <si>
    <t>NIS/NISN</t>
  </si>
  <si>
    <t>NAMA SISWA</t>
  </si>
  <si>
    <t>L/P</t>
  </si>
  <si>
    <t>TAHUN MASUK</t>
  </si>
  <si>
    <t>KET</t>
  </si>
  <si>
    <t>2018/2019</t>
  </si>
  <si>
    <t>2019/2020</t>
  </si>
  <si>
    <t>2020/2021</t>
  </si>
  <si>
    <t>2021/2022</t>
  </si>
  <si>
    <t>0034452167</t>
  </si>
  <si>
    <t>ABELLYA NADINE PANGESTU</t>
  </si>
  <si>
    <t>XIII AK 4</t>
  </si>
  <si>
    <t>Lulus 4 Juni 2022</t>
  </si>
  <si>
    <t>0028014768</t>
  </si>
  <si>
    <t>ADHIFIAN DHIYA 'ULHAQ</t>
  </si>
  <si>
    <t>0034475483</t>
  </si>
  <si>
    <t>AENY RACHMY HODIZAH</t>
  </si>
  <si>
    <t>XIII AK 2</t>
  </si>
  <si>
    <t>0033681597</t>
  </si>
  <si>
    <t>AFRILLA MUTHI ARIZONA</t>
  </si>
  <si>
    <t>XIII AK 6</t>
  </si>
  <si>
    <t>0028941471</t>
  </si>
  <si>
    <t>AGHNIYA NUR RIZKA FADILA</t>
  </si>
  <si>
    <t>XIII AK 3</t>
  </si>
  <si>
    <t>0033370746</t>
  </si>
  <si>
    <t>AGUNG RAKHMADI</t>
  </si>
  <si>
    <t>0037735544</t>
  </si>
  <si>
    <t>AGUNG SOLEHUDIN</t>
  </si>
  <si>
    <t>0031331031</t>
  </si>
  <si>
    <t>AIDA KHOIRUNISA</t>
  </si>
  <si>
    <t>XIII AK 5</t>
  </si>
  <si>
    <t>0037593018</t>
  </si>
  <si>
    <t>AKBAR DWI YULIANTO</t>
  </si>
  <si>
    <t>0009155871</t>
  </si>
  <si>
    <t>ALIEF RAVALDHO</t>
  </si>
  <si>
    <t>0029831699</t>
  </si>
  <si>
    <t>ALYA RAMADHANI</t>
  </si>
  <si>
    <t>0033864103</t>
  </si>
  <si>
    <t>AMBAR SARI FITRIANNY</t>
  </si>
  <si>
    <t>0036297993</t>
  </si>
  <si>
    <t>ANDHITA NURBAYANTI</t>
  </si>
  <si>
    <t>0027686582</t>
  </si>
  <si>
    <t>ANDHYKA  SATRIA DEWANTARA OSADENI</t>
  </si>
  <si>
    <t>0033175792</t>
  </si>
  <si>
    <t>ANDI ARNELIA PUTRI MAHARANI</t>
  </si>
  <si>
    <t>0033934863</t>
  </si>
  <si>
    <t>ANDRANA RIVALDY</t>
  </si>
  <si>
    <t>0026312394</t>
  </si>
  <si>
    <t>ANGGA MUHAMMAD IBRAHIM HUSAIN</t>
  </si>
  <si>
    <t>0038412471</t>
  </si>
  <si>
    <t>ANGKI ALIANI</t>
  </si>
  <si>
    <t>XIII AK 1</t>
  </si>
  <si>
    <t>0033370747</t>
  </si>
  <si>
    <t>ANI SEPTAQIANI</t>
  </si>
  <si>
    <t>0025439786</t>
  </si>
  <si>
    <t>ANISA SITI AISYAH</t>
  </si>
  <si>
    <t>0032495447</t>
  </si>
  <si>
    <t>ANNISA CAHYA KIRANA</t>
  </si>
  <si>
    <t>0029899415</t>
  </si>
  <si>
    <t>ANNISA RAMADHANIA AZZAHRA</t>
  </si>
  <si>
    <t>0027932385</t>
  </si>
  <si>
    <t>ANNISA SA'ADAH</t>
  </si>
  <si>
    <t>0033831579</t>
  </si>
  <si>
    <t>ANNISA VALENTINA FEBRIANY</t>
  </si>
  <si>
    <t>0033858808</t>
  </si>
  <si>
    <t>APREA NURBAETI ZAHRA</t>
  </si>
  <si>
    <t>0033657281</t>
  </si>
  <si>
    <t>AQILA ZEBA FAKHIRA</t>
  </si>
  <si>
    <t>0034215513</t>
  </si>
  <si>
    <t>ARUM PUTRI LISMIATI</t>
  </si>
  <si>
    <t>0029291975</t>
  </si>
  <si>
    <t>ARYA RANGGA RESPATI</t>
  </si>
  <si>
    <t>0026859347</t>
  </si>
  <si>
    <t>ASEPTIAN AWALUDIN</t>
  </si>
  <si>
    <t>0037541520</t>
  </si>
  <si>
    <t>AULIA BILQIST</t>
  </si>
  <si>
    <t>0033335630</t>
  </si>
  <si>
    <t>AZAHWA ASRI NAYLA NAMIRA</t>
  </si>
  <si>
    <t>0026296140</t>
  </si>
  <si>
    <t>AZZAHRA NAZWA NAZZALA</t>
  </si>
  <si>
    <t>0027335690</t>
  </si>
  <si>
    <t>BERRY SATYA NEGARA HADI</t>
  </si>
  <si>
    <t>0033564045</t>
  </si>
  <si>
    <t>BESKY BINTANG ANARCHY</t>
  </si>
  <si>
    <t>0036017581</t>
  </si>
  <si>
    <t>BIANCA SYAKIRA AZZAHRA</t>
  </si>
  <si>
    <t>0023582813</t>
  </si>
  <si>
    <t>BIYAS AURORA NANIA NEVADA</t>
  </si>
  <si>
    <t>0039124497</t>
  </si>
  <si>
    <t>CAMELIA DEWI OCTAVIA</t>
  </si>
  <si>
    <t>0025617372</t>
  </si>
  <si>
    <t>DAFFA HANIF</t>
  </si>
  <si>
    <t>0025217336</t>
  </si>
  <si>
    <t>DAFFA MUTAWAKKIL</t>
  </si>
  <si>
    <t>0038529355</t>
  </si>
  <si>
    <t>DAFFA RULLY BUDHIAWAN</t>
  </si>
  <si>
    <t>0044286603</t>
  </si>
  <si>
    <t>DEA ALYA PUTRI</t>
  </si>
  <si>
    <t>0031061982</t>
  </si>
  <si>
    <t>DELIA KHOIRUNNISA</t>
  </si>
  <si>
    <t>0033565802</t>
  </si>
  <si>
    <t>DENAS FAKHRULROZI</t>
  </si>
  <si>
    <t>0026251226</t>
  </si>
  <si>
    <t>DERINA FITRIANI</t>
  </si>
  <si>
    <t>0033548624</t>
  </si>
  <si>
    <t>DEVIA PUTRI ATQIA</t>
  </si>
  <si>
    <t>0040272151</t>
  </si>
  <si>
    <t>DEWI AYU WULANDARI</t>
  </si>
  <si>
    <t>0036501920</t>
  </si>
  <si>
    <t>DEWI SAFITRI MAULID HADI</t>
  </si>
  <si>
    <t>0027869803</t>
  </si>
  <si>
    <t>DIANA NOVIANTI</t>
  </si>
  <si>
    <t>0028590543</t>
  </si>
  <si>
    <t>DIANA TILIFIA</t>
  </si>
  <si>
    <t>0033956994</t>
  </si>
  <si>
    <t>DIMAS ADHITYA</t>
  </si>
  <si>
    <t>0023339311</t>
  </si>
  <si>
    <t>DINDA PERTIWI</t>
  </si>
  <si>
    <t>0035463195</t>
  </si>
  <si>
    <t>DINDA RACHMA SYA'BANI</t>
  </si>
  <si>
    <t>0033415454</t>
  </si>
  <si>
    <t>DISVIANTIKA ARGI SAPUTRI</t>
  </si>
  <si>
    <t>0029011933</t>
  </si>
  <si>
    <t>DIVA DELFIANI SETIAWAN</t>
  </si>
  <si>
    <t>0024772604</t>
  </si>
  <si>
    <t>DONI HERMAWAN</t>
  </si>
  <si>
    <t>0033273975</t>
  </si>
  <si>
    <t>DWI NURUL HASANAH</t>
  </si>
  <si>
    <t>0032693668</t>
  </si>
  <si>
    <t>DYANING SRI PRAMESTYASARI</t>
  </si>
  <si>
    <t>0020282451</t>
  </si>
  <si>
    <t>ENUR KHOERUN NISA</t>
  </si>
  <si>
    <t>0020304631</t>
  </si>
  <si>
    <t>FADHIL NAUVAN HARIDY</t>
  </si>
  <si>
    <t>0032116975</t>
  </si>
  <si>
    <t>FADILA DWI RAHMAWATI</t>
  </si>
  <si>
    <t>0033858826</t>
  </si>
  <si>
    <t>FAJRIN JUNIAR PRATAMA</t>
  </si>
  <si>
    <t>0031207610</t>
  </si>
  <si>
    <t>FANIA RAHMA OKTAVIANI</t>
  </si>
  <si>
    <t>0011621514</t>
  </si>
  <si>
    <t>FAQIH ABDURRAHMAN</t>
  </si>
  <si>
    <t>0032965950</t>
  </si>
  <si>
    <t>FARID AHMAD AKBAR</t>
  </si>
  <si>
    <t>0033018743</t>
  </si>
  <si>
    <t>FARIS ABDULHAFIZH MARZUQ</t>
  </si>
  <si>
    <t>0032354726</t>
  </si>
  <si>
    <t>FEBRIETA NUR SYAHADAH</t>
  </si>
  <si>
    <t>0033495567</t>
  </si>
  <si>
    <t>FIDIA</t>
  </si>
  <si>
    <t>0025915335</t>
  </si>
  <si>
    <t>FIRLI NUR ZAHRAH</t>
  </si>
  <si>
    <t>0032207053</t>
  </si>
  <si>
    <t>FITRIANI</t>
  </si>
  <si>
    <t>0036156860</t>
  </si>
  <si>
    <t>GANANG NIKO APRIANO</t>
  </si>
  <si>
    <t>0037797555</t>
  </si>
  <si>
    <t>GHIFANI SIFA FAUZI</t>
  </si>
  <si>
    <t>0035489131</t>
  </si>
  <si>
    <t>GIEZKA FAUZIAH PRAMESTI</t>
  </si>
  <si>
    <t>0032155118</t>
  </si>
  <si>
    <t>GILANG MOHAMAD SAPUTRA</t>
  </si>
  <si>
    <t>0034215527</t>
  </si>
  <si>
    <t>GLADYS SUKMA THUFAILAH</t>
  </si>
  <si>
    <t>0032076603</t>
  </si>
  <si>
    <t>HANIFAH YUNI AZZAHRA</t>
  </si>
  <si>
    <t>0026967069</t>
  </si>
  <si>
    <t>HANINDA RISQI RAHMADANI</t>
  </si>
  <si>
    <t>0024169338</t>
  </si>
  <si>
    <t>HANRACKHEH ELSHINTA</t>
  </si>
  <si>
    <t>0022360594</t>
  </si>
  <si>
    <t>HUSNUN SUSANTI MAHARANI YASIN</t>
  </si>
  <si>
    <t>0031797470</t>
  </si>
  <si>
    <t>IDA BAGUS WIDIA DIDA ARDIKA</t>
  </si>
  <si>
    <t>0036376336</t>
  </si>
  <si>
    <t>ILMA AFRIANNISA SYAFARANI</t>
  </si>
  <si>
    <t>0033274302</t>
  </si>
  <si>
    <t>IMELIA KARINA</t>
  </si>
  <si>
    <t>0034754344</t>
  </si>
  <si>
    <t>INTIANA FADILAH</t>
  </si>
  <si>
    <t>0033033156</t>
  </si>
  <si>
    <t>IRMA AYU SEPTIANI</t>
  </si>
  <si>
    <t>0032530946</t>
  </si>
  <si>
    <t>ISCHA TIRANI</t>
  </si>
  <si>
    <t>0035589569</t>
  </si>
  <si>
    <t>ISMI NURIL</t>
  </si>
  <si>
    <t>0039954568</t>
  </si>
  <si>
    <t>JAISY NABILA AL-FITRI</t>
  </si>
  <si>
    <t>0036017569</t>
  </si>
  <si>
    <t>JASMINE KIRANA PUTRI</t>
  </si>
  <si>
    <t>0027590295</t>
  </si>
  <si>
    <t>JELIAN APLIANI SUPRATMAN</t>
  </si>
  <si>
    <t>0027825519</t>
  </si>
  <si>
    <t>JOAN BAHTIAR BATANG TARIS</t>
  </si>
  <si>
    <t>0032017592</t>
  </si>
  <si>
    <t>KAHFI AKMAL JANITRA BIMO SETO</t>
  </si>
  <si>
    <t>0025428633</t>
  </si>
  <si>
    <t>KHAIRUN NISA</t>
  </si>
  <si>
    <t>0021143727</t>
  </si>
  <si>
    <t>101816934 /0021143727</t>
  </si>
  <si>
    <t>KHANZA AMALIA</t>
  </si>
  <si>
    <t>0013827411</t>
  </si>
  <si>
    <t>KHARISMA  HERLIADI PUTERA</t>
  </si>
  <si>
    <t>0035971864</t>
  </si>
  <si>
    <t>KHASAN NURSALIM</t>
  </si>
  <si>
    <t>0045255978</t>
  </si>
  <si>
    <t>LATHIFAH EKA KUSUMA PUTRI</t>
  </si>
  <si>
    <t>0025894854</t>
  </si>
  <si>
    <t>LAURA ALVERINA FERNANDA</t>
  </si>
  <si>
    <t>0033068854</t>
  </si>
  <si>
    <t>LINGGA SATRIA PERDANA</t>
  </si>
  <si>
    <t>0033735339</t>
  </si>
  <si>
    <t>LIRA NIRMALA PUTRI</t>
  </si>
  <si>
    <t>0034435681</t>
  </si>
  <si>
    <t>LISVY RHEINA PUTRI</t>
  </si>
  <si>
    <t>0037588053</t>
  </si>
  <si>
    <t>LOLA AMELIA AZAHRA</t>
  </si>
  <si>
    <t>0035845630</t>
  </si>
  <si>
    <t>LUKMAN NULHAKIM MUSTAFA</t>
  </si>
  <si>
    <t>0026557218</t>
  </si>
  <si>
    <t>MAITSA LUTHFIYYAH DURROTUNNISA</t>
  </si>
  <si>
    <t>0022669232</t>
  </si>
  <si>
    <t>MARSYA SANDRA AVISTA</t>
  </si>
  <si>
    <t>0031797461</t>
  </si>
  <si>
    <t>MARSYA ZAHRANI</t>
  </si>
  <si>
    <t>0053834059</t>
  </si>
  <si>
    <t>MELITA NURTANTI</t>
  </si>
  <si>
    <t>0038934457</t>
  </si>
  <si>
    <t>MELIZA TRI LIZARTA</t>
  </si>
  <si>
    <t>0031727351</t>
  </si>
  <si>
    <t>MIFTAH RISKI FADILAH</t>
  </si>
  <si>
    <t>0027217532</t>
  </si>
  <si>
    <t>MOCHAMAD  TAUFIQ QURROHMAN</t>
  </si>
  <si>
    <t>0031327448</t>
  </si>
  <si>
    <t>MUHAMAD BARKAH</t>
  </si>
  <si>
    <t>0034215515</t>
  </si>
  <si>
    <t>MUHAMMAD AZKA HADIKUSUMAH</t>
  </si>
  <si>
    <t>0035061946</t>
  </si>
  <si>
    <t>MUHAMMAD HARTSA ADNAN</t>
  </si>
  <si>
    <t>0037541512</t>
  </si>
  <si>
    <t>MUHAMMAD ILHAM LUQMANOEL HAKIEM</t>
  </si>
  <si>
    <t>0025837142</t>
  </si>
  <si>
    <t>MUHAMMAD MIFTAH FADLAN</t>
  </si>
  <si>
    <t>0022890409</t>
  </si>
  <si>
    <t>MUHAMMAD RIZAL ABDULLAH</t>
  </si>
  <si>
    <t>0033390338</t>
  </si>
  <si>
    <t>MUHAMMAD ZIVA GAMMA ZAMANI</t>
  </si>
  <si>
    <t>0032354253</t>
  </si>
  <si>
    <t>MUTHIA SABRINA</t>
  </si>
  <si>
    <t>0038990302</t>
  </si>
  <si>
    <t>MUZHAFFAR GHANI TAUFIKURRAHMAN</t>
  </si>
  <si>
    <t>0031721554</t>
  </si>
  <si>
    <t>NABILA NUR KAMELIA</t>
  </si>
  <si>
    <t>0004560544</t>
  </si>
  <si>
    <t>NAFISA HALIZA FERONIANSYAH</t>
  </si>
  <si>
    <t>0039661995</t>
  </si>
  <si>
    <t>NAJMAH REVANAFILA SEPTIANI</t>
  </si>
  <si>
    <t>0033766717</t>
  </si>
  <si>
    <t>NAJWA ISMALIA LABIBAH</t>
  </si>
  <si>
    <t>0037957502</t>
  </si>
  <si>
    <t>NATASHA MEISYA PUTRI</t>
  </si>
  <si>
    <t>0038830407</t>
  </si>
  <si>
    <t>NAURA SYIFA RACHMANI</t>
  </si>
  <si>
    <t>0024380849</t>
  </si>
  <si>
    <t>NAYLA RATU ALISHA</t>
  </si>
  <si>
    <t>0037172802</t>
  </si>
  <si>
    <t>NAZLA AMANDA KAMIL</t>
  </si>
  <si>
    <t>0033819252</t>
  </si>
  <si>
    <t>NEBULA AURA WISAN MAHARANI</t>
  </si>
  <si>
    <t>0033979317</t>
  </si>
  <si>
    <t>NENG FITRIA NURAZIZAH</t>
  </si>
  <si>
    <t>0035058103</t>
  </si>
  <si>
    <t>NENG LULU UWALMARZAN MUTIKAN</t>
  </si>
  <si>
    <t>0021885349</t>
  </si>
  <si>
    <t>NOVA OVTAVIONA</t>
  </si>
  <si>
    <t>0022087836</t>
  </si>
  <si>
    <t>NOVI ARYANTI</t>
  </si>
  <si>
    <t>0022565727</t>
  </si>
  <si>
    <t>NOVIA SAFITRI NUR HANIFAH</t>
  </si>
  <si>
    <t>0026717115</t>
  </si>
  <si>
    <t>NOVITA KRISNAWATI</t>
  </si>
  <si>
    <t>0039019544</t>
  </si>
  <si>
    <t>NUR FADILLAH YASMIN</t>
  </si>
  <si>
    <t>0040255852</t>
  </si>
  <si>
    <t>NURHAYATI AGUSTIN</t>
  </si>
  <si>
    <t>0031938809</t>
  </si>
  <si>
    <t>NURUL WAKHIDAYANTI</t>
  </si>
  <si>
    <t>0028080181</t>
  </si>
  <si>
    <t>OKTAPIANUS PRIBADI</t>
  </si>
  <si>
    <t>0035384454</t>
  </si>
  <si>
    <t>PARAMITHA AGHNIA EFFENDY</t>
  </si>
  <si>
    <t>0020088029</t>
  </si>
  <si>
    <t>PRISILIA DITA SEPIRASARI</t>
  </si>
  <si>
    <t>0037376215</t>
  </si>
  <si>
    <t>PRIYYA LESTARI</t>
  </si>
  <si>
    <t>0027591041</t>
  </si>
  <si>
    <t>PUSPITA MAHARANI</t>
  </si>
  <si>
    <t>0024946064</t>
  </si>
  <si>
    <t>PUTRI SITI MULYANAH SANTANI</t>
  </si>
  <si>
    <t>0036870906</t>
  </si>
  <si>
    <t>RAFLI FATHURIZKI NUR RIYADI</t>
  </si>
  <si>
    <t>0033683470</t>
  </si>
  <si>
    <t>RAFLI YOGA PRATAMA</t>
  </si>
  <si>
    <t>0035796094</t>
  </si>
  <si>
    <t>RAISSYA SYAIBIL AKBAR</t>
  </si>
  <si>
    <t>0027928352</t>
  </si>
  <si>
    <t>RAMDANI YASPI KURNIAWAN</t>
  </si>
  <si>
    <t>0039994677</t>
  </si>
  <si>
    <t>RANI ANNISA</t>
  </si>
  <si>
    <t>0027539192</t>
  </si>
  <si>
    <t>RAVIALAM TAUFIK</t>
  </si>
  <si>
    <t>0034217551</t>
  </si>
  <si>
    <t>RENNY ATIKA MAHARANI</t>
  </si>
  <si>
    <t>0033511707</t>
  </si>
  <si>
    <t>RESA REIVVANI</t>
  </si>
  <si>
    <t>0033677784</t>
  </si>
  <si>
    <t>REVA AULIA</t>
  </si>
  <si>
    <t>0033417763</t>
  </si>
  <si>
    <t>REVA FATIMAH AZZAHRA</t>
  </si>
  <si>
    <t>0033313918</t>
  </si>
  <si>
    <t>REZA AULIA FAZRIN</t>
  </si>
  <si>
    <t>0034754346</t>
  </si>
  <si>
    <t>RIDWAN SIDIK PERMANA</t>
  </si>
  <si>
    <t>0027395354</t>
  </si>
  <si>
    <t>RIFA HALIMATUSSAIDAH</t>
  </si>
  <si>
    <t>0025990342</t>
  </si>
  <si>
    <t>RIKA FITRI ANGGRAENI</t>
  </si>
  <si>
    <t>0026793418</t>
  </si>
  <si>
    <t>RIZKIYATUL HALALIYAH</t>
  </si>
  <si>
    <t>0031879994</t>
  </si>
  <si>
    <t>ROZZAN SAIFULLOH ANNAFI</t>
  </si>
  <si>
    <t>0028801074</t>
  </si>
  <si>
    <t>RUCITA</t>
  </si>
  <si>
    <t>0040310378</t>
  </si>
  <si>
    <t>SABINA CHERYL RAISYHA</t>
  </si>
  <si>
    <t>0039050136</t>
  </si>
  <si>
    <t>SADDAM PERMANA</t>
  </si>
  <si>
    <t>0032157944</t>
  </si>
  <si>
    <t>SALMAN HANIF RADITYA</t>
  </si>
  <si>
    <t>0031549977</t>
  </si>
  <si>
    <t>SALSABILA ZAIN ELYANA</t>
  </si>
  <si>
    <t>0032365929</t>
  </si>
  <si>
    <t>SALZABILA AGUSTIN ALEGRA</t>
  </si>
  <si>
    <t>0035842304</t>
  </si>
  <si>
    <t>SHABRINA NURHIYAN NISA</t>
  </si>
  <si>
    <t>0032354246</t>
  </si>
  <si>
    <t>SHAGIRA MUTIA SANI</t>
  </si>
  <si>
    <t>0031810018</t>
  </si>
  <si>
    <t>SHAKILA NAHDI</t>
  </si>
  <si>
    <t>0029362289</t>
  </si>
  <si>
    <t>SHERLY RAFENA MAHARANI</t>
  </si>
  <si>
    <t>0032107150</t>
  </si>
  <si>
    <t>SHIVA MARDIYAH SUHARTO</t>
  </si>
  <si>
    <t>0028590506</t>
  </si>
  <si>
    <t>SIGIT PRIO SANTOSO</t>
  </si>
  <si>
    <t>0027335661</t>
  </si>
  <si>
    <t>SILVI DWI ARIANTI</t>
  </si>
  <si>
    <t>0028918211</t>
  </si>
  <si>
    <t>SINTA NURIYAH</t>
  </si>
  <si>
    <t>0038636777</t>
  </si>
  <si>
    <t>SOPHIANA</t>
  </si>
  <si>
    <t>0022269971</t>
  </si>
  <si>
    <t>SRI DANIARTI ROSLINA</t>
  </si>
  <si>
    <t>0031797664</t>
  </si>
  <si>
    <t>SYAHLA FARISA BAIHAQI</t>
  </si>
  <si>
    <t>0025615872</t>
  </si>
  <si>
    <t>SYAHLA PUTRI AWALIYYAH</t>
  </si>
  <si>
    <t>0039125515</t>
  </si>
  <si>
    <t>SYAHMA NERRISA GHOSSANI</t>
  </si>
  <si>
    <t>0026930824</t>
  </si>
  <si>
    <t>SYARA AMALIAH</t>
  </si>
  <si>
    <t>0039070036</t>
  </si>
  <si>
    <t>SYIFANNISA AZZAHRA</t>
  </si>
  <si>
    <t>0039727037</t>
  </si>
  <si>
    <t>TAUFIK FARHAN FEBRIAN</t>
  </si>
  <si>
    <t>0020304648</t>
  </si>
  <si>
    <t>TEUKU MAULANA YUSUP</t>
  </si>
  <si>
    <t>0025619914</t>
  </si>
  <si>
    <t>VANI NIHAYATU ZAIN</t>
  </si>
  <si>
    <t>0037989922</t>
  </si>
  <si>
    <t>VHIANNA OLVA  FITRIANI</t>
  </si>
  <si>
    <t>0033438048</t>
  </si>
  <si>
    <t>VIA AMALIA RAHMAH</t>
  </si>
  <si>
    <t>0037091512</t>
  </si>
  <si>
    <t>VINA SAFITRI</t>
  </si>
  <si>
    <t>0041690872</t>
  </si>
  <si>
    <t>VISIVALERY NURERLINDAJAVA</t>
  </si>
  <si>
    <t>0031817743</t>
  </si>
  <si>
    <t>WANDA APRILLYA</t>
  </si>
  <si>
    <t>0024504726</t>
  </si>
  <si>
    <t>WIDIA FITRI KARWANI</t>
  </si>
  <si>
    <t>0035632494</t>
  </si>
  <si>
    <t>WIGAR AINI</t>
  </si>
  <si>
    <t>0020128041</t>
  </si>
  <si>
    <t>YASHRIENA FIDYA NISSA</t>
  </si>
  <si>
    <t>0033370533</t>
  </si>
  <si>
    <t>YUDIS BARKAH ALMAYDA</t>
  </si>
  <si>
    <t>0034764567</t>
  </si>
  <si>
    <t>ZAHRA FARIDA RAHMAH</t>
  </si>
  <si>
    <t>0034310852</t>
  </si>
  <si>
    <t>ZAHROTUL LUTFI DWITASYAKI</t>
  </si>
  <si>
    <t>0027574578</t>
  </si>
  <si>
    <t>ZHILLAN IBADURROHMAN</t>
  </si>
  <si>
    <t>0042730521</t>
  </si>
  <si>
    <t>ADDY PERMANA PUTRA</t>
  </si>
  <si>
    <t>XII AK 1</t>
  </si>
  <si>
    <t>0047451133</t>
  </si>
  <si>
    <t>ADIA ENDRIHARTONO</t>
  </si>
  <si>
    <t>XII AK 2</t>
  </si>
  <si>
    <t>0035004289</t>
  </si>
  <si>
    <t>ADITYA FIRMAN NUGROHO</t>
  </si>
  <si>
    <t>XII TKJ 1</t>
  </si>
  <si>
    <t>0033447291</t>
  </si>
  <si>
    <t>ADITYA FIRMAN SAPUTRA</t>
  </si>
  <si>
    <t>XII TKJ 2</t>
  </si>
  <si>
    <t>0046314331</t>
  </si>
  <si>
    <t>ADITYA PERBAWA</t>
  </si>
  <si>
    <t>0042633534</t>
  </si>
  <si>
    <t>ADITYA ZHAFIR GHUFRAN</t>
  </si>
  <si>
    <t>XII AK 4</t>
  </si>
  <si>
    <t>0043678101</t>
  </si>
  <si>
    <t>ADYA IZZATI NASRULLOH</t>
  </si>
  <si>
    <t>XII RPL 2</t>
  </si>
  <si>
    <t>0045109808</t>
  </si>
  <si>
    <t>ADYTTIA</t>
  </si>
  <si>
    <t>0012606642</t>
  </si>
  <si>
    <t>AGAM KURNIAWAN</t>
  </si>
  <si>
    <t>0042337357</t>
  </si>
  <si>
    <t>AGNA FIKRI AL RIFAI</t>
  </si>
  <si>
    <t>0046959944</t>
  </si>
  <si>
    <t>AGUNG RISWANTO</t>
  </si>
  <si>
    <t>XII TKJ 3</t>
  </si>
  <si>
    <t>0037467087</t>
  </si>
  <si>
    <t>AHMAD FATHAN MUBAROQ</t>
  </si>
  <si>
    <t>0037593004</t>
  </si>
  <si>
    <t>AHMAD HANIFAN</t>
  </si>
  <si>
    <t>0038014645</t>
  </si>
  <si>
    <t>AI ARYANTI</t>
  </si>
  <si>
    <t>XII AK 6</t>
  </si>
  <si>
    <t>0043272593</t>
  </si>
  <si>
    <t>AKMAL AKBAR EFFENDI</t>
  </si>
  <si>
    <t>0049994336</t>
  </si>
  <si>
    <t>AKMAL FASYA HAZIIMAH</t>
  </si>
  <si>
    <t>XII AK 3</t>
  </si>
  <si>
    <t>0040513293</t>
  </si>
  <si>
    <t>AL ADIYAT NUR RUSULI JAYA</t>
  </si>
  <si>
    <t>XII RPL 1</t>
  </si>
  <si>
    <t>0042510242</t>
  </si>
  <si>
    <t>ALBANI NABEL ELFAHREZI</t>
  </si>
  <si>
    <t>0034163875</t>
  </si>
  <si>
    <t>ALDI RIFALDI</t>
  </si>
  <si>
    <t>0041392131</t>
  </si>
  <si>
    <t>ALFIANSYAH SATYA UTAMA</t>
  </si>
  <si>
    <t>0043272807</t>
  </si>
  <si>
    <t>ALFIYYAH DWIANTY</t>
  </si>
  <si>
    <t>XII AK 5</t>
  </si>
  <si>
    <t>0042196868</t>
  </si>
  <si>
    <t>ALIFA DZAKIYA ALFINA</t>
  </si>
  <si>
    <t>0037194462</t>
  </si>
  <si>
    <t>ALIP RAMADIANSYAH</t>
  </si>
  <si>
    <t>0036156885</t>
  </si>
  <si>
    <t>ALTAF TEGUH SEPTA ARIHADI</t>
  </si>
  <si>
    <t>0040410998</t>
  </si>
  <si>
    <t>ALVIANSYAH DWI DARMAWAN</t>
  </si>
  <si>
    <t>0036701959</t>
  </si>
  <si>
    <t>ALVIN LUQMAN HAKIM</t>
  </si>
  <si>
    <t>0043843061</t>
  </si>
  <si>
    <t>ALYA CLARRIS OCTANIELA DYSTHA ROBBYANSIH</t>
  </si>
  <si>
    <t>0043578292</t>
  </si>
  <si>
    <t>ALYA SHEILA MEILANI</t>
  </si>
  <si>
    <t>0034529753</t>
  </si>
  <si>
    <t>AMELIA DESTIANTI</t>
  </si>
  <si>
    <t>0038098993</t>
  </si>
  <si>
    <t>AMELIA NURYATI</t>
  </si>
  <si>
    <t>0040477430</t>
  </si>
  <si>
    <t>AMELIA PUTRI NURANI</t>
  </si>
  <si>
    <t>0043176623</t>
  </si>
  <si>
    <t>AMELIA RYANTIKA</t>
  </si>
  <si>
    <t>0037650036</t>
  </si>
  <si>
    <t>ANA NURAISYAH</t>
  </si>
  <si>
    <t>0043512563</t>
  </si>
  <si>
    <t>ANDHIKA DWI PUTRA</t>
  </si>
  <si>
    <t>0049117756</t>
  </si>
  <si>
    <t>ANDI KURNIAWAN</t>
  </si>
  <si>
    <t>0036834488</t>
  </si>
  <si>
    <t>ANDRIAN SEPTIADI</t>
  </si>
  <si>
    <t>0035670177</t>
  </si>
  <si>
    <t>ANGGA KUSUMAH DILAGA</t>
  </si>
  <si>
    <t>0066244158</t>
  </si>
  <si>
    <t>ANGGI LESTARI</t>
  </si>
  <si>
    <t>0037650037</t>
  </si>
  <si>
    <t>ANI NUR FITRIANI</t>
  </si>
  <si>
    <t>0044351096</t>
  </si>
  <si>
    <t>ANISA DAMAYANTI</t>
  </si>
  <si>
    <t>0046897643</t>
  </si>
  <si>
    <t>ANISA SRI RAHAYU</t>
  </si>
  <si>
    <t>0036780513</t>
  </si>
  <si>
    <t>ANNISA MEILANI SAEPUDIN</t>
  </si>
  <si>
    <t>0031102009</t>
  </si>
  <si>
    <t>APRILIAN ALGIFARI</t>
  </si>
  <si>
    <t>0043831794</t>
  </si>
  <si>
    <t>AQILA ADHWA ZAHARA</t>
  </si>
  <si>
    <t>0056897535</t>
  </si>
  <si>
    <t>AQILLA AZZAHRA</t>
  </si>
  <si>
    <t>0041489903</t>
  </si>
  <si>
    <t>ARIEL TITAN FARDYAN</t>
  </si>
  <si>
    <t>0036874357</t>
  </si>
  <si>
    <t>ARIF RAHMAN ABID</t>
  </si>
  <si>
    <t>0036712364</t>
  </si>
  <si>
    <t>ARINDA NURIFA RAMADHANTY</t>
  </si>
  <si>
    <t>0043176385</t>
  </si>
  <si>
    <t>ARPHI SEPTIAN</t>
  </si>
  <si>
    <t>0036896101</t>
  </si>
  <si>
    <t>ARRIFA NAZWA ADILLA</t>
  </si>
  <si>
    <t>0042971499</t>
  </si>
  <si>
    <t>ARYA AZRI BASLAN</t>
  </si>
  <si>
    <t>0043316916</t>
  </si>
  <si>
    <t>ARYA BISMA ADITAMA</t>
  </si>
  <si>
    <t>0036323128</t>
  </si>
  <si>
    <t>ARYEL ADAM HENRISTIA</t>
  </si>
  <si>
    <t>0043534629</t>
  </si>
  <si>
    <t>AUDINA SYAKILLA NUR SYIFA</t>
  </si>
  <si>
    <t>0043591108</t>
  </si>
  <si>
    <t>AYESHA NANDINI PUTRI</t>
  </si>
  <si>
    <t>0042979495</t>
  </si>
  <si>
    <t>AZELMI RIZKY WIENALDO</t>
  </si>
  <si>
    <t>0042952734</t>
  </si>
  <si>
    <t>AZKA AZALIA ZAHRA</t>
  </si>
  <si>
    <t>0032470645</t>
  </si>
  <si>
    <t>AZKAL ATQIYAA</t>
  </si>
  <si>
    <t>0049271586</t>
  </si>
  <si>
    <t>BAYU ALI SETIAWAN</t>
  </si>
  <si>
    <t>0043113601</t>
  </si>
  <si>
    <t>BAYU PRATOMO</t>
  </si>
  <si>
    <t>0036171331</t>
  </si>
  <si>
    <t>BERLIANA AMELIA PUTRI</t>
  </si>
  <si>
    <t>0043313525</t>
  </si>
  <si>
    <t>BIMAA RIHHADATUL'AISY</t>
  </si>
  <si>
    <t>0040795136</t>
  </si>
  <si>
    <t>BISMA MUHAMAD AMIN</t>
  </si>
  <si>
    <t>0044768791</t>
  </si>
  <si>
    <t>BREYNA PUTRA TARIGAN</t>
  </si>
  <si>
    <t>0043112599</t>
  </si>
  <si>
    <t>CALVIN JULIANSYAH</t>
  </si>
  <si>
    <t>0054729023</t>
  </si>
  <si>
    <t>CIKAL  GEMINTANG SEYA</t>
  </si>
  <si>
    <t>0042196886</t>
  </si>
  <si>
    <t>CINTA DANIA</t>
  </si>
  <si>
    <t>0036723021</t>
  </si>
  <si>
    <t>DAFA SUKMA NUGRAHA</t>
  </si>
  <si>
    <t>0043112563</t>
  </si>
  <si>
    <t>DAFFA FIRIZQI</t>
  </si>
  <si>
    <t>0037514640</t>
  </si>
  <si>
    <t>DAFFA MUTHAWAKKHIL</t>
  </si>
  <si>
    <t>0042655771</t>
  </si>
  <si>
    <t>DAFFA NAUFAL ZAKY</t>
  </si>
  <si>
    <t>0041319862</t>
  </si>
  <si>
    <t>DAMAR SATRIATAMA PUTRA</t>
  </si>
  <si>
    <t>0043694673</t>
  </si>
  <si>
    <t>DANDY RIFKY ALFIANSYAH</t>
  </si>
  <si>
    <t>0042077833</t>
  </si>
  <si>
    <t>DANI RAMDANI</t>
  </si>
  <si>
    <t>0047506539</t>
  </si>
  <si>
    <t>DAVIN FAQIH ANANTO</t>
  </si>
  <si>
    <t>0046119774</t>
  </si>
  <si>
    <t>DEDE MUHAMMAD VALENT</t>
  </si>
  <si>
    <t>0043176302</t>
  </si>
  <si>
    <t>DEJAN BERLIANO</t>
  </si>
  <si>
    <t>0048684446</t>
  </si>
  <si>
    <t>DEKA DARMANSYAH</t>
  </si>
  <si>
    <t>0036834496</t>
  </si>
  <si>
    <t>DELLA RAHMAWATI</t>
  </si>
  <si>
    <t>0048462691</t>
  </si>
  <si>
    <t>DENDA GUNANDA</t>
  </si>
  <si>
    <t>0036112177</t>
  </si>
  <si>
    <t>DESMAWAN RIZQI YUDHA PRATAMA</t>
  </si>
  <si>
    <t>0034921280</t>
  </si>
  <si>
    <t>DESTI NURFAIDAH</t>
  </si>
  <si>
    <t>0053359801</t>
  </si>
  <si>
    <t>DE'SYIFA KHAERUNNISA</t>
  </si>
  <si>
    <t>0049644069</t>
  </si>
  <si>
    <t>DEVIN  RADITYA PRATAMA</t>
  </si>
  <si>
    <t>0042672364</t>
  </si>
  <si>
    <t>DEVINDA ANGGRAINI NINGRUM</t>
  </si>
  <si>
    <t>0048790375</t>
  </si>
  <si>
    <t>DEWI LESTARI</t>
  </si>
  <si>
    <t>0044011019</t>
  </si>
  <si>
    <t>DIAN NA'ILAH SALIMAH</t>
  </si>
  <si>
    <t>0029236027</t>
  </si>
  <si>
    <t>DIKI MAULANA HIDAYAH</t>
  </si>
  <si>
    <t>0039778641</t>
  </si>
  <si>
    <t>DIKNA SAFIRA K</t>
  </si>
  <si>
    <t>0042979558</t>
  </si>
  <si>
    <t>DIMAS MUHAMMAD ADHITYA</t>
  </si>
  <si>
    <t>0036835729</t>
  </si>
  <si>
    <t>DIMAS PUTRA BACHAR</t>
  </si>
  <si>
    <t>0043112555</t>
  </si>
  <si>
    <t>DIMAS SATRIA PUTRA</t>
  </si>
  <si>
    <t>0044299587</t>
  </si>
  <si>
    <t>DINA FITRIANI</t>
  </si>
  <si>
    <t>0043976854</t>
  </si>
  <si>
    <t>DITHA ALIFA PUTRI ABSARI</t>
  </si>
  <si>
    <t>0042515460</t>
  </si>
  <si>
    <t>EKA ANNISA RAHMAWATI</t>
  </si>
  <si>
    <t>0044369920</t>
  </si>
  <si>
    <t>ELISA ANDRIANI</t>
  </si>
  <si>
    <t>0036834466</t>
  </si>
  <si>
    <t>ELSA CANTIKA SORAYA</t>
  </si>
  <si>
    <t>0032563864</t>
  </si>
  <si>
    <t>ELSA ESTARLINLING NUR'AENI</t>
  </si>
  <si>
    <t>0037052097</t>
  </si>
  <si>
    <t>ELSHA RAHMA LISTYANTI</t>
  </si>
  <si>
    <t>0037172870</t>
  </si>
  <si>
    <t>ERIKA ROZALIA IRAWAN</t>
  </si>
  <si>
    <t>0048355135</t>
  </si>
  <si>
    <t>ERLANGGA RIZKY PENGESTU</t>
  </si>
  <si>
    <t>0044472437</t>
  </si>
  <si>
    <t>ERVINA ROSDIANA DEWI</t>
  </si>
  <si>
    <t>0044159834</t>
  </si>
  <si>
    <t>FABIAN ALGYFARI SUKMAWAN</t>
  </si>
  <si>
    <t>0036734324</t>
  </si>
  <si>
    <t>FADHIL MAULANA</t>
  </si>
  <si>
    <t>0038972392</t>
  </si>
  <si>
    <t>FADHILAH SALMA SALSABILA</t>
  </si>
  <si>
    <t>0037351247</t>
  </si>
  <si>
    <t>FADILAH NUR HASNA</t>
  </si>
  <si>
    <t>0043494938</t>
  </si>
  <si>
    <t>FAHRI ARDIAN</t>
  </si>
  <si>
    <t>0038186046</t>
  </si>
  <si>
    <t>FAISHAL LATHIF</t>
  </si>
  <si>
    <t>0031061534</t>
  </si>
  <si>
    <t>FAJAR</t>
  </si>
  <si>
    <t>0042615798</t>
  </si>
  <si>
    <t>FAJAR NUR MUHAMAD HUSNA</t>
  </si>
  <si>
    <t>0037494266</t>
  </si>
  <si>
    <t>FAKHRI FAWWAZ AYDIN</t>
  </si>
  <si>
    <t>0040679987</t>
  </si>
  <si>
    <t>FARIS FATHURAHMAN</t>
  </si>
  <si>
    <t>0043494936</t>
  </si>
  <si>
    <t>FARIS MUHAMMAD FADHLI</t>
  </si>
  <si>
    <t>0043176678</t>
  </si>
  <si>
    <t>FARISA SITI SALSABILA</t>
  </si>
  <si>
    <t>0043856228</t>
  </si>
  <si>
    <t>FARIZ RIZQULLAH RAMADHAN</t>
  </si>
  <si>
    <t>0043391493</t>
  </si>
  <si>
    <t>FASYA ASSYLA ANJANI</t>
  </si>
  <si>
    <t>0045790780</t>
  </si>
  <si>
    <t>FATHYAQONITA</t>
  </si>
  <si>
    <t>0042399347</t>
  </si>
  <si>
    <t>FAUZAN ADIMA MAULANA</t>
  </si>
  <si>
    <t>0034147214</t>
  </si>
  <si>
    <t>FAUZAN AHMAD HAKIM</t>
  </si>
  <si>
    <t>0045963534</t>
  </si>
  <si>
    <t>FAUZAN AZKA NUGRAHA ARYAPUTRA</t>
  </si>
  <si>
    <t>0043113551</t>
  </si>
  <si>
    <t>FAUZAN SALEH</t>
  </si>
  <si>
    <t>0038543055</t>
  </si>
  <si>
    <t>FAUZI ABDUL HAKIM</t>
  </si>
  <si>
    <t>0040477408</t>
  </si>
  <si>
    <t>FAUZIA AULIA</t>
  </si>
  <si>
    <t>0043487287</t>
  </si>
  <si>
    <t>FAUZIAH NABILLAH</t>
  </si>
  <si>
    <t>0041455735</t>
  </si>
  <si>
    <t>FAYOLA RUTH TUPAULINA SIBURIAN</t>
  </si>
  <si>
    <t>0044295462</t>
  </si>
  <si>
    <t>FEBRI SURYA ALAM</t>
  </si>
  <si>
    <t>0040392768</t>
  </si>
  <si>
    <t>FELICIA NA`IFATUN NISA</t>
  </si>
  <si>
    <t>0048619890</t>
  </si>
  <si>
    <t>FHASYA FAHRUL IKHSANI</t>
  </si>
  <si>
    <t>0042216093</t>
  </si>
  <si>
    <t>FIKRI IRSYAD MUFHIDA</t>
  </si>
  <si>
    <t>0036437509</t>
  </si>
  <si>
    <t>FIKRI NUR ALAMSYAH</t>
  </si>
  <si>
    <t>0041881393</t>
  </si>
  <si>
    <t>FIKRI PRATAMA ARDIANSYAH</t>
  </si>
  <si>
    <t>0043413266</t>
  </si>
  <si>
    <t>FIKRI RAFI MAULANA</t>
  </si>
  <si>
    <t>0037256807</t>
  </si>
  <si>
    <t>FIRDAUS ARIFIN</t>
  </si>
  <si>
    <t>0037519834</t>
  </si>
  <si>
    <t>FRISILA APRILLIANA PUTRI</t>
  </si>
  <si>
    <t>0036027290</t>
  </si>
  <si>
    <t>FURY ARLIANTI</t>
  </si>
  <si>
    <t>0042616398</t>
  </si>
  <si>
    <t>GALIH PERMADI</t>
  </si>
  <si>
    <t>0039811365</t>
  </si>
  <si>
    <t>GHANI AKBAR RAYA</t>
  </si>
  <si>
    <t>0048595483</t>
  </si>
  <si>
    <t>GINA AINUL HIKMAH</t>
  </si>
  <si>
    <t>0037194368</t>
  </si>
  <si>
    <t>GINA AYUNI</t>
  </si>
  <si>
    <t>0035936808</t>
  </si>
  <si>
    <t>GRACE PHILIA</t>
  </si>
  <si>
    <t>0040795144</t>
  </si>
  <si>
    <t>HASAN MUSTOPA</t>
  </si>
  <si>
    <t>0045432494</t>
  </si>
  <si>
    <t>HERDI APRIADI</t>
  </si>
  <si>
    <t>0044578332</t>
  </si>
  <si>
    <t>HERI WIJAYA</t>
  </si>
  <si>
    <t>004746126</t>
  </si>
  <si>
    <t>HILFIA QISTHI AMALIA</t>
  </si>
  <si>
    <t>0041580217</t>
  </si>
  <si>
    <t>HURUL AINI</t>
  </si>
  <si>
    <t>0042655772</t>
  </si>
  <si>
    <t>IBNU SYAMBODO</t>
  </si>
  <si>
    <t>0042616143</t>
  </si>
  <si>
    <t>ICHLASUL AMAL MURNIADI</t>
  </si>
  <si>
    <t>0032304284</t>
  </si>
  <si>
    <t>IHSAN AWALUDIN FARIDI</t>
  </si>
  <si>
    <t>0038079490</t>
  </si>
  <si>
    <t>ILHAM NURDIANTORO</t>
  </si>
  <si>
    <t>0043350777</t>
  </si>
  <si>
    <t>ILYAS NURUL SHAFWAN</t>
  </si>
  <si>
    <t>0043176620</t>
  </si>
  <si>
    <t>IMAS LATIFAH</t>
  </si>
  <si>
    <t>Cuti Sakit: 08 September 2021</t>
  </si>
  <si>
    <t>0007982652</t>
  </si>
  <si>
    <t>INDRA DARMAWAN</t>
  </si>
  <si>
    <t>0037214808</t>
  </si>
  <si>
    <t>IQBAL ABDU RASID</t>
  </si>
  <si>
    <t>0041900328</t>
  </si>
  <si>
    <t>IRPAN APRIATNA</t>
  </si>
  <si>
    <t>0045527060</t>
  </si>
  <si>
    <t>ISMAIL HUSEN</t>
  </si>
  <si>
    <t>0036835770</t>
  </si>
  <si>
    <t>ISMIRANTI</t>
  </si>
  <si>
    <t>0042355703</t>
  </si>
  <si>
    <t>ISRA ALYAA DWITAMI</t>
  </si>
  <si>
    <t>0049658920</t>
  </si>
  <si>
    <t>IVANKA BUNGA AULIA</t>
  </si>
  <si>
    <t>0036892954</t>
  </si>
  <si>
    <t>IZZ MAULANA AHMAD RIFALDI</t>
  </si>
  <si>
    <t>0041056812</t>
  </si>
  <si>
    <t>JACKY FATURRACHMAN</t>
  </si>
  <si>
    <t>0048721794</t>
  </si>
  <si>
    <t>JEC FAREN SITUMORANG</t>
  </si>
  <si>
    <t>0042250933</t>
  </si>
  <si>
    <t>JEIHAN FAUZI HASTRI</t>
  </si>
  <si>
    <t>0037757525</t>
  </si>
  <si>
    <t>JESSI ANGELIA SINAGA</t>
  </si>
  <si>
    <t>0042196748</t>
  </si>
  <si>
    <t>JUNJUNAN MAULANA JAELANI MALIK</t>
  </si>
  <si>
    <t>0037172862</t>
  </si>
  <si>
    <t>KAHFI CAKRA WIGUNA</t>
  </si>
  <si>
    <t>0049432518</t>
  </si>
  <si>
    <t>KARINA EKA KARTINI</t>
  </si>
  <si>
    <t>0046347889</t>
  </si>
  <si>
    <t>KAYNE PRIADI</t>
  </si>
  <si>
    <t>0043371600</t>
  </si>
  <si>
    <t>KEVIN ZIRQON FAHREZI</t>
  </si>
  <si>
    <t>0036322793</t>
  </si>
  <si>
    <t>KIROMAN MAHBUB MAULANA</t>
  </si>
  <si>
    <t>0043053888</t>
  </si>
  <si>
    <t>KURNIYATI</t>
  </si>
  <si>
    <t>0039020936</t>
  </si>
  <si>
    <t>LAELA NOVIANTI</t>
  </si>
  <si>
    <t>0043395129</t>
  </si>
  <si>
    <t>LALA NABILA APRILIA AZZAHRA</t>
  </si>
  <si>
    <t>0034453536</t>
  </si>
  <si>
    <t>LATIFA AMELIA</t>
  </si>
  <si>
    <t>0045514607</t>
  </si>
  <si>
    <t>LIA NURPADILAH</t>
  </si>
  <si>
    <t>0037017751</t>
  </si>
  <si>
    <t>LUIZ SAHADAN</t>
  </si>
  <si>
    <t>0040795152</t>
  </si>
  <si>
    <t>LUKMAN FADHILLAH</t>
  </si>
  <si>
    <t>0043371604</t>
  </si>
  <si>
    <t>LUTHFI IRVAN MAHENDRA</t>
  </si>
  <si>
    <t>0036976990</t>
  </si>
  <si>
    <t>MAHARANI NURUL FAJRI</t>
  </si>
  <si>
    <t>0046101359</t>
  </si>
  <si>
    <t>MAHESA FEBRIAN RAMDANI</t>
  </si>
  <si>
    <t>0041330427</t>
  </si>
  <si>
    <t>MARSHELA PUTRI AMALIAH</t>
  </si>
  <si>
    <t>0031121625</t>
  </si>
  <si>
    <t>MARTINI MESSIAH</t>
  </si>
  <si>
    <t>0035699426</t>
  </si>
  <si>
    <t>MAURA NAJWA TABITHA</t>
  </si>
  <si>
    <t>0042196740</t>
  </si>
  <si>
    <t>MELANNIE ANDARA AYUDHIA</t>
  </si>
  <si>
    <t>0043112597</t>
  </si>
  <si>
    <t>MICHAEL NEIN WERIN SELAN</t>
  </si>
  <si>
    <t>0036114621</t>
  </si>
  <si>
    <t>MOCHAMAD ALFI RAYNA BHAKTI</t>
  </si>
  <si>
    <t>0043239412</t>
  </si>
  <si>
    <t>MOCHAMAD ANDWI HAIKAL</t>
  </si>
  <si>
    <t>0043272959</t>
  </si>
  <si>
    <t>MOCHAMAD FATHUR RACHMAN</t>
  </si>
  <si>
    <t>0043744226</t>
  </si>
  <si>
    <t>MOCHAMAD RIZKY MAULANA AVIANSYAH</t>
  </si>
  <si>
    <t>0042558814</t>
  </si>
  <si>
    <t>MOCHAMAD SAKHA ADRIAN</t>
  </si>
  <si>
    <t>003947901</t>
  </si>
  <si>
    <t>MOCHAMAD WISMAN TRI SUDIRNO</t>
  </si>
  <si>
    <t>0045502062</t>
  </si>
  <si>
    <t>MOCHAMMAD DJIPOETRA PRISTIADI</t>
  </si>
  <si>
    <t>0047415716</t>
  </si>
  <si>
    <t>MOCHAMMAD FARHAN ZAMAMI</t>
  </si>
  <si>
    <t>0043315612</t>
  </si>
  <si>
    <t>MOCHAMMAD KEMAL MUKTIANA</t>
  </si>
  <si>
    <t>0042077809</t>
  </si>
  <si>
    <t>MOHAMAD JAMIL TARIS</t>
  </si>
  <si>
    <t>0041553838</t>
  </si>
  <si>
    <t>MOHAMMAD AZRIEL FIRDAUS</t>
  </si>
  <si>
    <t>0036114609</t>
  </si>
  <si>
    <t>MOHAMMAD DHAFIN BASIL</t>
  </si>
  <si>
    <t>0043694540</t>
  </si>
  <si>
    <t>MOHAMMAD HANIF AL-FARIZI</t>
  </si>
  <si>
    <t>0044224485</t>
  </si>
  <si>
    <t>MOHAMMAD RANGGA SAPUTRA</t>
  </si>
  <si>
    <t>0032041594</t>
  </si>
  <si>
    <t>MOHAMMAD YUDA PRADIKA</t>
  </si>
  <si>
    <t>0040795155</t>
  </si>
  <si>
    <t>MUAMAR AMIRULLOH</t>
  </si>
  <si>
    <t>0040638162</t>
  </si>
  <si>
    <t>MUHAMAD AGUNG GUNAWAN</t>
  </si>
  <si>
    <t>0042015377</t>
  </si>
  <si>
    <t>MUHAMAD AJI PRAYOGA</t>
  </si>
  <si>
    <t>0041686039</t>
  </si>
  <si>
    <t>MUHAMAD AZKA FASHA PRATAMA</t>
  </si>
  <si>
    <t>0049984706</t>
  </si>
  <si>
    <t>MUHAMAD DEJAN PRATAMA</t>
  </si>
  <si>
    <t>0038330804</t>
  </si>
  <si>
    <t>MUHAMAD FIRMAN M</t>
  </si>
  <si>
    <t>0043272974</t>
  </si>
  <si>
    <t>MUHAMAD HAIKAL DAFA</t>
  </si>
  <si>
    <t>0042300330</t>
  </si>
  <si>
    <t>MUHAMAD LUTFI HAKIM</t>
  </si>
  <si>
    <t>0043272598</t>
  </si>
  <si>
    <t>MUHAMAD NOUVAL AL GHIFARI</t>
  </si>
  <si>
    <t>0039607528</t>
  </si>
  <si>
    <t>MUHAMMAD ALDWIN ZIANNURRAHMAN S</t>
  </si>
  <si>
    <t>0037921211</t>
  </si>
  <si>
    <t xml:space="preserve">MUHAMMAD ALFATH WISHNU RAMADHAN </t>
  </si>
  <si>
    <t>0038703578</t>
  </si>
  <si>
    <t>MUHAMMAD ALIEF MAULANA ISKANDAR</t>
  </si>
  <si>
    <t>0036276644</t>
  </si>
  <si>
    <t>MUHAMMAD ALIF RAMDANI</t>
  </si>
  <si>
    <t>0046620153</t>
  </si>
  <si>
    <t>MUHAMMAD ARIEL MIKDAR WIJAYA</t>
  </si>
  <si>
    <t>0038990559</t>
  </si>
  <si>
    <t>MUHAMMAD AWWAR AL-KAUTSAR</t>
  </si>
  <si>
    <t>0038259568</t>
  </si>
  <si>
    <t>MUHAMMAD AZMI NIZAR DAIFULLOH WAHAB</t>
  </si>
  <si>
    <t>0032763330</t>
  </si>
  <si>
    <t>MUHAMMAD DERLAN JOVANDES COLLINS</t>
  </si>
  <si>
    <t>0038850943</t>
  </si>
  <si>
    <t>MUHAMMAD ELGIAZ SALMAN</t>
  </si>
  <si>
    <t>0046869088</t>
  </si>
  <si>
    <t>MUHAMMAD ERRY SAPUTRA</t>
  </si>
  <si>
    <t>0039633291</t>
  </si>
  <si>
    <t>MUHAMMAD FAKHRI HASANNUDIN</t>
  </si>
  <si>
    <t>0046985841</t>
  </si>
  <si>
    <t>MUHAMMAD FIKRI ARRABBANI</t>
  </si>
  <si>
    <t>0035524698</t>
  </si>
  <si>
    <t>MUHAMMAD FIQRI AULIA</t>
  </si>
  <si>
    <t>0043279946</t>
  </si>
  <si>
    <t>MUHAMMAD HAFIZ AL QADRI</t>
  </si>
  <si>
    <t>0041614443</t>
  </si>
  <si>
    <t>MUHAMMAD IQBAL JANUAR</t>
  </si>
  <si>
    <t>0043316888</t>
  </si>
  <si>
    <t>MUHAMMAD IRSYAAD FATTAHILAH</t>
  </si>
  <si>
    <t>0049286241</t>
  </si>
  <si>
    <t>MUHAMMAD MUSYAFFA HELMY</t>
  </si>
  <si>
    <t>0037102399</t>
  </si>
  <si>
    <t>MUHAMMAD NATA ANGGARAKSA</t>
  </si>
  <si>
    <t>0042472800</t>
  </si>
  <si>
    <t>MUHAMMAD RADITYA RAMADHAN</t>
  </si>
  <si>
    <t>0036562756</t>
  </si>
  <si>
    <t>MUHAMMAD RAFI AHNAF</t>
  </si>
  <si>
    <t>0049931710</t>
  </si>
  <si>
    <t>MUHAMMAD RAFI MAHDY</t>
  </si>
  <si>
    <t>0044619590</t>
  </si>
  <si>
    <t>MUHAMMAD RAFIP HADY PUTRA</t>
  </si>
  <si>
    <t>0043843468</t>
  </si>
  <si>
    <t>MUHAMMAD RAFLI</t>
  </si>
  <si>
    <t>0036976612</t>
  </si>
  <si>
    <t>MUHAMMAD RAIHAN AMIN</t>
  </si>
  <si>
    <t>0037047612</t>
  </si>
  <si>
    <t>MUHAMMAD RAYZIDANE NAZHER DINATA</t>
  </si>
  <si>
    <t>0036976926</t>
  </si>
  <si>
    <t>MUHAMMAD RIFDAN</t>
  </si>
  <si>
    <t>0042129099</t>
  </si>
  <si>
    <t>MUHAMMAD RIFQI FADHILAH</t>
  </si>
  <si>
    <t>0046922155</t>
  </si>
  <si>
    <t>MUHAMMAD RIZKI DARMAWAN</t>
  </si>
  <si>
    <t>0048783531</t>
  </si>
  <si>
    <t>MUHAMMAD RIZQI HAQQI ARDHIANSYAH</t>
  </si>
  <si>
    <t>0036665225</t>
  </si>
  <si>
    <t>MUHAMMAD ZIDAN</t>
  </si>
  <si>
    <t>0031001057</t>
  </si>
  <si>
    <t>MULYADHI NAUFAL SUBHAN</t>
  </si>
  <si>
    <t>0040559485</t>
  </si>
  <si>
    <t>NABEL ALIF FAUZA</t>
  </si>
  <si>
    <t>0046230985</t>
  </si>
  <si>
    <t>NABILA NURHIKMAH</t>
  </si>
  <si>
    <t>0043094815</t>
  </si>
  <si>
    <t>NADIVA SRI SUNDARI</t>
  </si>
  <si>
    <t>0042615894</t>
  </si>
  <si>
    <t>NAIA KAYLA FASHA</t>
  </si>
  <si>
    <t>0043277135</t>
  </si>
  <si>
    <t>NAJMI FAUZIAH</t>
  </si>
  <si>
    <t>0043377457</t>
  </si>
  <si>
    <t>NAJWA SABRINA</t>
  </si>
  <si>
    <t>0043797950</t>
  </si>
  <si>
    <t>NATASYA AZZAHRA MAY ARIELA</t>
  </si>
  <si>
    <t>0034467910</t>
  </si>
  <si>
    <t>NAUFAL ARYADI</t>
  </si>
  <si>
    <t>0042903121</t>
  </si>
  <si>
    <t>NAUFAL DHEANA HANAFI</t>
  </si>
  <si>
    <t>0043273117</t>
  </si>
  <si>
    <t>NAUFAL FAUZAN NURRONI</t>
  </si>
  <si>
    <t>0042558815</t>
  </si>
  <si>
    <t>NAUFAL HADIANSYAH</t>
  </si>
  <si>
    <t>0042077531</t>
  </si>
  <si>
    <t>NAUFAL HASAN BUDIMAN</t>
  </si>
  <si>
    <t>0043856160</t>
  </si>
  <si>
    <t>NAURAH SHAFWAH KHALISYAH</t>
  </si>
  <si>
    <t>0047585752</t>
  </si>
  <si>
    <t>NAUVAL PATRA ANGGANA</t>
  </si>
  <si>
    <t>0047194295</t>
  </si>
  <si>
    <t>NAUVAL PRAMESTA NUGROHO</t>
  </si>
  <si>
    <t>0048161495</t>
  </si>
  <si>
    <t>NAYA SURYANATA</t>
  </si>
  <si>
    <t>0043377420</t>
  </si>
  <si>
    <t>NAYLA KHAIRANI FEBRIANTI</t>
  </si>
  <si>
    <t>0041547347</t>
  </si>
  <si>
    <t>NAZHIRA RIHHADATUL AISY RAHMAN</t>
  </si>
  <si>
    <t>0036496292</t>
  </si>
  <si>
    <t>NAZWA MAHARANI</t>
  </si>
  <si>
    <t>00394478824</t>
  </si>
  <si>
    <t>NELLY FAUZIAH</t>
  </si>
  <si>
    <t>0048722217</t>
  </si>
  <si>
    <t>NISRINA MUTIARA PERMANA</t>
  </si>
  <si>
    <t>0054547926</t>
  </si>
  <si>
    <t>NITA ANDANI</t>
  </si>
  <si>
    <t>0043340048</t>
  </si>
  <si>
    <t>NOVA SRI WAHYUNI</t>
  </si>
  <si>
    <t>0036450434</t>
  </si>
  <si>
    <t>NOVITA KURNIASARI</t>
  </si>
  <si>
    <t>0043054414</t>
  </si>
  <si>
    <t>NUR 'AFIFAH</t>
  </si>
  <si>
    <t>0042633525</t>
  </si>
  <si>
    <t>NURAISYA RAHMADINA PUTRI</t>
  </si>
  <si>
    <t>0037735583</t>
  </si>
  <si>
    <t>PAHMI BANYU PAMUNGKAS</t>
  </si>
  <si>
    <t>0043670427</t>
  </si>
  <si>
    <t>POPI MIRANDAPUTRI</t>
  </si>
  <si>
    <t>0036819136</t>
  </si>
  <si>
    <t>PUTRI AGUSTY OCTAVIANI</t>
  </si>
  <si>
    <t>0042781725</t>
  </si>
  <si>
    <t>QINTHARI SAKHA KUSUMAH</t>
  </si>
  <si>
    <t>0038693925</t>
  </si>
  <si>
    <t>QODRIAN YAZID NURHUDA</t>
  </si>
  <si>
    <t>0048229560</t>
  </si>
  <si>
    <t>R.E.M. FATUH TEDY SYAMSIYAH</t>
  </si>
  <si>
    <t>0043822746</t>
  </si>
  <si>
    <t>RABITAH MEILA WARDATU TAZKY</t>
  </si>
  <si>
    <t>0042355699</t>
  </si>
  <si>
    <t>RAFII DAMAR FILARY</t>
  </si>
  <si>
    <t>0036253398</t>
  </si>
  <si>
    <t>RAFIUDDIN MUHAMMAD HAFIZ</t>
  </si>
  <si>
    <t>0037019665</t>
  </si>
  <si>
    <t>RAFKI FAUZAN</t>
  </si>
  <si>
    <t>0046696567</t>
  </si>
  <si>
    <t>RAIHAN BIMO BATI ARYANTO</t>
  </si>
  <si>
    <t>0039243144</t>
  </si>
  <si>
    <t>RAIHAN NAUFAL AKRAM ISPRAWIRA</t>
  </si>
  <si>
    <t>0043113552</t>
  </si>
  <si>
    <t>RAIHAN PRATAMA NUGRAHA</t>
  </si>
  <si>
    <t>0047360078</t>
  </si>
  <si>
    <t>RAKA NAUFAL FAUZAN</t>
  </si>
  <si>
    <t>0043813774</t>
  </si>
  <si>
    <t>RAMA RIZKY FEBRIAN</t>
  </si>
  <si>
    <t>0021881853</t>
  </si>
  <si>
    <t>RANGGA PANGESTU</t>
  </si>
  <si>
    <t>0036873182</t>
  </si>
  <si>
    <t>RASHAD RAZIKIN ZULKARNAEN</t>
  </si>
  <si>
    <t>0043592534</t>
  </si>
  <si>
    <t>REGAN RAHADIAN PAMBUDI</t>
  </si>
  <si>
    <t>0039171729</t>
  </si>
  <si>
    <t>REGINA NUR SEPTIANI</t>
  </si>
  <si>
    <t>0037476443</t>
  </si>
  <si>
    <t>RENDY MAULANA RAHMADANI</t>
  </si>
  <si>
    <t>0044356636</t>
  </si>
  <si>
    <t>RENDY ZULKIFLI USMAN</t>
  </si>
  <si>
    <t>0042615782</t>
  </si>
  <si>
    <t>RESTU IRPAN DARMAPUTRA</t>
  </si>
  <si>
    <t>0041614471</t>
  </si>
  <si>
    <t>REVA RAHIMA</t>
  </si>
  <si>
    <t>0041972110</t>
  </si>
  <si>
    <t>REVI DESIKA NUGROHO</t>
  </si>
  <si>
    <t>0042077523</t>
  </si>
  <si>
    <t>REVI PUTRI ROSALINA</t>
  </si>
  <si>
    <t>0037898553</t>
  </si>
  <si>
    <t>REZA SAEFUL MALIK</t>
  </si>
  <si>
    <t>0026486284</t>
  </si>
  <si>
    <t>RIAN HERIYANTO</t>
  </si>
  <si>
    <t>0033822255</t>
  </si>
  <si>
    <t>RIAN SEPTIAN</t>
  </si>
  <si>
    <t>0041319860</t>
  </si>
  <si>
    <t>RIANA NUR ANISA</t>
  </si>
  <si>
    <t>0043154615</t>
  </si>
  <si>
    <t>RIANDA PRIMA PRATAMA</t>
  </si>
  <si>
    <t>0043592531</t>
  </si>
  <si>
    <t>RIDWAN RESTU ILLAHI</t>
  </si>
  <si>
    <t>0035099340</t>
  </si>
  <si>
    <t>RIFAL PUTRA ANUGRAH</t>
  </si>
  <si>
    <t>0042099393</t>
  </si>
  <si>
    <t>RIFAN ADHITIA GUMILAR</t>
  </si>
  <si>
    <t>0036976773</t>
  </si>
  <si>
    <t>RIFKI AHMAD MAULANA</t>
  </si>
  <si>
    <t>0032401801</t>
  </si>
  <si>
    <t>RIFKI RIFALDI</t>
  </si>
  <si>
    <t>0035986481</t>
  </si>
  <si>
    <t>RIFKY SEPTIANDI</t>
  </si>
  <si>
    <t>0036719381</t>
  </si>
  <si>
    <t>RIKA GUSTANTRI WAHYUNI</t>
  </si>
  <si>
    <t>0047211378</t>
  </si>
  <si>
    <t>RIKI WANGGUN SEPTIAN</t>
  </si>
  <si>
    <t>0047087044</t>
  </si>
  <si>
    <t>RIMBA BENTEBARA ARROHMAN</t>
  </si>
  <si>
    <t>0042558823</t>
  </si>
  <si>
    <t>RIO AHNAF HAFIZH NUGROHO</t>
  </si>
  <si>
    <t>0034749813</t>
  </si>
  <si>
    <t>RIO FADLAN RIHANSYAH</t>
  </si>
  <si>
    <t>0042077529</t>
  </si>
  <si>
    <t>RISQY AGUNG NUGRAHA</t>
  </si>
  <si>
    <t>0034464171</t>
  </si>
  <si>
    <t>RIYANI NUR INSANI</t>
  </si>
  <si>
    <t>0036734326</t>
  </si>
  <si>
    <t>RIZAL TRUNA NUGRAHA</t>
  </si>
  <si>
    <t>0033858771</t>
  </si>
  <si>
    <t>RIZKAL SHAUMY ADITYA K</t>
  </si>
  <si>
    <t>0058442494</t>
  </si>
  <si>
    <t>RIZKI AL'FADLI</t>
  </si>
  <si>
    <t>0043176445</t>
  </si>
  <si>
    <t>RIZKIA ANANDA</t>
  </si>
  <si>
    <t>0036874355</t>
  </si>
  <si>
    <t>RIZKY GUMELAR</t>
  </si>
  <si>
    <t>9945663476</t>
  </si>
  <si>
    <t>RIZKY NUGRAHA</t>
  </si>
  <si>
    <t>0043112732</t>
  </si>
  <si>
    <t>ROBFI ARGA WIJAYA SUHARTO</t>
  </si>
  <si>
    <t>0053933853</t>
  </si>
  <si>
    <t>ROSIANA RESTU WIJAYANTI</t>
  </si>
  <si>
    <t>0041056818</t>
  </si>
  <si>
    <t>ROSSY FAUZAN RIDHO ILAHI</t>
  </si>
  <si>
    <t>0046530476</t>
  </si>
  <si>
    <t>ROZANI ALIYATI DINI</t>
  </si>
  <si>
    <t>0049532249</t>
  </si>
  <si>
    <t>RYAN HIDAYAT</t>
  </si>
  <si>
    <t>0043350846</t>
  </si>
  <si>
    <t>RYAN RIVALDI</t>
  </si>
  <si>
    <t>0042021486</t>
  </si>
  <si>
    <t>SABRINA LUTHFIRA ZAHRA RABBANI</t>
  </si>
  <si>
    <t>0035099347</t>
  </si>
  <si>
    <t>SABRINA MISYELL AALIYAH</t>
  </si>
  <si>
    <t>0038428966</t>
  </si>
  <si>
    <t>SAEFUL RIZAL</t>
  </si>
  <si>
    <t>0035030026</t>
  </si>
  <si>
    <t>SAILA RIHADATUL AISY</t>
  </si>
  <si>
    <t>0043813797</t>
  </si>
  <si>
    <t>SALMAN FARID</t>
  </si>
  <si>
    <t>0046133017</t>
  </si>
  <si>
    <t>SALSABILA  IRBAH</t>
  </si>
  <si>
    <t>0043230653</t>
  </si>
  <si>
    <t>SALWAA HUMAIRA AZZAHRA</t>
  </si>
  <si>
    <t>0042558786</t>
  </si>
  <si>
    <t>SANTI JANDINI</t>
  </si>
  <si>
    <t>0044562920</t>
  </si>
  <si>
    <t>SEKAR FEBRIYATI</t>
  </si>
  <si>
    <t>0036114620</t>
  </si>
  <si>
    <t>SENDI SEPTIANA</t>
  </si>
  <si>
    <t>0040579108</t>
  </si>
  <si>
    <t>SEPTI RIZKY GUMILANG</t>
  </si>
  <si>
    <t>0036919853</t>
  </si>
  <si>
    <t>SEPTIANI AYU WULANDARI</t>
  </si>
  <si>
    <t>0042989267</t>
  </si>
  <si>
    <t>SHAKIRA PUTRI MAULIDA NURANI</t>
  </si>
  <si>
    <t>0043670395</t>
  </si>
  <si>
    <t>SHANIA SITI RACHMATIKA</t>
  </si>
  <si>
    <t>0045862919</t>
  </si>
  <si>
    <t>SHANITA TRIANANTA</t>
  </si>
  <si>
    <t>0036874333</t>
  </si>
  <si>
    <t>SHAUQI DHIYA SHIDQI</t>
  </si>
  <si>
    <t>0044905602</t>
  </si>
  <si>
    <t>SHEILA AMELIA</t>
  </si>
  <si>
    <t>0037019591</t>
  </si>
  <si>
    <t>SHERAVINO RIFKY PRATAMA JUNAIDI</t>
  </si>
  <si>
    <t>0047493281</t>
  </si>
  <si>
    <t>SHIFA NUR JANAH</t>
  </si>
  <si>
    <t>0040277532</t>
  </si>
  <si>
    <t>SHOFY NUR AMALIA AZZAHRA</t>
  </si>
  <si>
    <t>0043771095</t>
  </si>
  <si>
    <t>SIDA ROSIDA</t>
  </si>
  <si>
    <t>0043112584</t>
  </si>
  <si>
    <t>SITI ALZENA SEPTIANI</t>
  </si>
  <si>
    <t>0038397409</t>
  </si>
  <si>
    <t>SOPI ARSITA</t>
  </si>
  <si>
    <t>0042936380</t>
  </si>
  <si>
    <t>SUSWAN GUEVARA ARYADHI</t>
  </si>
  <si>
    <t>0043146511</t>
  </si>
  <si>
    <t>SYAHDAN BAYU ABDILLAH</t>
  </si>
  <si>
    <t>0042571432</t>
  </si>
  <si>
    <t>SYALAISHA AMINA FAATIHAH</t>
  </si>
  <si>
    <t>0041768851</t>
  </si>
  <si>
    <t>SYALOOM MALIKA ALLEA CASTA</t>
  </si>
  <si>
    <t>0042196878</t>
  </si>
  <si>
    <t>SYIFA MAULIDIYANTI</t>
  </si>
  <si>
    <t>0037593024</t>
  </si>
  <si>
    <t>SYIFA SEPTIANI</t>
  </si>
  <si>
    <t>0045771685</t>
  </si>
  <si>
    <t>TALITHA ELGA KURNIAWAN</t>
  </si>
  <si>
    <t>0047199134</t>
  </si>
  <si>
    <t>TANTI NURAENI</t>
  </si>
  <si>
    <t>0043112588</t>
  </si>
  <si>
    <t>TAUFIK WAHYUDI</t>
  </si>
  <si>
    <t>0036719403</t>
  </si>
  <si>
    <t>TEGAR UMAR ABDILLAH</t>
  </si>
  <si>
    <t>0043699183</t>
  </si>
  <si>
    <t>TIKA PURI HARDIANTI</t>
  </si>
  <si>
    <t>0042015111</t>
  </si>
  <si>
    <t>VANAYA SABILLA APMARSA</t>
  </si>
  <si>
    <t>0037541733</t>
  </si>
  <si>
    <t>VANDIANI PANCA RUSTANDY</t>
  </si>
  <si>
    <t>0048996557</t>
  </si>
  <si>
    <t>VANI WULANDA</t>
  </si>
  <si>
    <t>0048349131</t>
  </si>
  <si>
    <t>VINA ANGGRAENI</t>
  </si>
  <si>
    <t>0035007218</t>
  </si>
  <si>
    <t>VINA INDRIYANI</t>
  </si>
  <si>
    <t>0023256387</t>
  </si>
  <si>
    <t>VINA NIHAYATU ZAIN</t>
  </si>
  <si>
    <t>0037834804</t>
  </si>
  <si>
    <t>WAHYU BAGUS SANTOSO</t>
  </si>
  <si>
    <t>0046398875</t>
  </si>
  <si>
    <t>WANDA JALIANA</t>
  </si>
  <si>
    <t>0038830591</t>
  </si>
  <si>
    <t>WANDA SAQINAH</t>
  </si>
  <si>
    <t>0042077832</t>
  </si>
  <si>
    <t>WILDAN MUHAMMAD FIRDAUS</t>
  </si>
  <si>
    <t>0046799264</t>
  </si>
  <si>
    <t>WISNU BAYU SAPUTRA</t>
  </si>
  <si>
    <t>0044054358</t>
  </si>
  <si>
    <t>WISNU FIRMANSYAH HANDJOYO</t>
  </si>
  <si>
    <t>0036450431</t>
  </si>
  <si>
    <t>WULAN WAHYUNINGSIH</t>
  </si>
  <si>
    <t>0029462820</t>
  </si>
  <si>
    <t>YUDI HERMAWAN</t>
  </si>
  <si>
    <t>0040695240</t>
  </si>
  <si>
    <t>YULIANI TAMARA SUYONO</t>
  </si>
  <si>
    <t>0043956649</t>
  </si>
  <si>
    <t>YUSRIL YURYVA MAULANA</t>
  </si>
  <si>
    <t>0035508503</t>
  </si>
  <si>
    <t>YUSTI KARTIKA</t>
  </si>
  <si>
    <t>0025365146</t>
  </si>
  <si>
    <t>YUYUN</t>
  </si>
  <si>
    <t>0043277091</t>
  </si>
  <si>
    <t>ZAID HAMZAH NURFATHURAHMAN</t>
  </si>
  <si>
    <t>0035947678</t>
  </si>
  <si>
    <t>ZALFA NOVIANA WARDANI SANTOSO</t>
  </si>
  <si>
    <t>0046780622</t>
  </si>
  <si>
    <t>ZIGAN DZIKYA MAULANA</t>
  </si>
  <si>
    <t>0034064222</t>
  </si>
  <si>
    <t>ZUFAR NASHIRUDDIN ROBBANI</t>
  </si>
  <si>
    <t>0052650652</t>
  </si>
  <si>
    <t>AALIYAH NAHTANSYAH</t>
  </si>
  <si>
    <t>XI AK 1</t>
  </si>
  <si>
    <t>Lulus 3 Mei 2023</t>
  </si>
  <si>
    <t>0058398897</t>
  </si>
  <si>
    <t>ABIDAH MUTHI SYAHIDAH</t>
  </si>
  <si>
    <t>0046107211</t>
  </si>
  <si>
    <t>ABU RIYADH AR-RASYID</t>
  </si>
  <si>
    <t>XI AK 6</t>
  </si>
  <si>
    <t>0048116751</t>
  </si>
  <si>
    <t>ADHIA SYIFA RAMADHANI</t>
  </si>
  <si>
    <t>0051117535</t>
  </si>
  <si>
    <t>ADIKA MUHAMMAD HAIKAL</t>
  </si>
  <si>
    <t>XI TKJ 1</t>
  </si>
  <si>
    <t>0062107691</t>
  </si>
  <si>
    <t>ADINDA PUSPITA NURKOMALA SARI</t>
  </si>
  <si>
    <t>XI TKJ 3</t>
  </si>
  <si>
    <t>0045777272</t>
  </si>
  <si>
    <t>ADLAN HERDIANSYAH</t>
  </si>
  <si>
    <t>XI RPL 2</t>
  </si>
  <si>
    <t>3027625150</t>
  </si>
  <si>
    <t>AGUS KAMAL JALALLUDIN WAHAB</t>
  </si>
  <si>
    <t>0046306973</t>
  </si>
  <si>
    <t>AHMAD HENJAYA PERKASA</t>
  </si>
  <si>
    <t>XI AK 2</t>
  </si>
  <si>
    <t>0045658810</t>
  </si>
  <si>
    <t>AHMAD RIDHO RIVALDI</t>
  </si>
  <si>
    <t>0049057802</t>
  </si>
  <si>
    <t>ALDARIS KURNIA PUTRA</t>
  </si>
  <si>
    <t>0044276227</t>
  </si>
  <si>
    <t>ALDO REVALDO</t>
  </si>
  <si>
    <t>XI TKJ 2</t>
  </si>
  <si>
    <t>0049752338</t>
  </si>
  <si>
    <t>ALI AKBAR</t>
  </si>
  <si>
    <t>0045464947</t>
  </si>
  <si>
    <t>ALIEF FAJAR FAUZAN</t>
  </si>
  <si>
    <t>0044852787</t>
  </si>
  <si>
    <t>ALIZAH NOVA INDRAINA D</t>
  </si>
  <si>
    <t>XI AK 3</t>
  </si>
  <si>
    <t>0067583367</t>
  </si>
  <si>
    <t>ALVI SEPTIERA PUTRA GUNAWAN</t>
  </si>
  <si>
    <t>0045812326</t>
  </si>
  <si>
    <t>ALVIRA INDRIANA KURNIAWAN</t>
  </si>
  <si>
    <t>0053484036</t>
  </si>
  <si>
    <t>ALYSSA AVRILYA PUTRI</t>
  </si>
  <si>
    <t>XI RPL 1</t>
  </si>
  <si>
    <t>0052592312</t>
  </si>
  <si>
    <t>AMANDA AULIYA PUTRI NAILAH</t>
  </si>
  <si>
    <t>XI AK 4</t>
  </si>
  <si>
    <t>0006622661</t>
  </si>
  <si>
    <t>AMANDA IKA PUTRI</t>
  </si>
  <si>
    <t>Keluar: 31 Agustus 2021</t>
  </si>
  <si>
    <t>0043469952</t>
  </si>
  <si>
    <t>AMANDA KAILA EKA YULIYANTI</t>
  </si>
  <si>
    <t>0054963362</t>
  </si>
  <si>
    <t>AMAREL KHAILA PUTRI SURAWIKARTA</t>
  </si>
  <si>
    <t>0059640170</t>
  </si>
  <si>
    <t>AMELIA NURWULAN</t>
  </si>
  <si>
    <t>0044857862</t>
  </si>
  <si>
    <t>AMELIA PUTRI ANGGRAENI</t>
  </si>
  <si>
    <t>0026860281</t>
  </si>
  <si>
    <t>AMELIA RAHAYU</t>
  </si>
  <si>
    <t>0044954384</t>
  </si>
  <si>
    <t>ANAKING JAGI ABDILLAH</t>
  </si>
  <si>
    <t>3058125310</t>
  </si>
  <si>
    <t>ANANDA PUTRA SUDARNO</t>
  </si>
  <si>
    <t>0053211710</t>
  </si>
  <si>
    <t>ANANDA ZAHWA APRILIA</t>
  </si>
  <si>
    <t>0041128805</t>
  </si>
  <si>
    <t>ANDHARA REZA KUSMANA</t>
  </si>
  <si>
    <t>0045607400</t>
  </si>
  <si>
    <t>ANDHIKA RAMADHANA RITONGA</t>
  </si>
  <si>
    <t>0036450479</t>
  </si>
  <si>
    <t>ANDI AGUSTIN</t>
  </si>
  <si>
    <t>0044552066</t>
  </si>
  <si>
    <t>ANDIKA RIZKI FOERAERA LAIA</t>
  </si>
  <si>
    <t>0047637910</t>
  </si>
  <si>
    <t>ANGGA GUNAWAN</t>
  </si>
  <si>
    <t>0049284522</t>
  </si>
  <si>
    <t>ANISA NURSOLIHAT</t>
  </si>
  <si>
    <t>0042963064</t>
  </si>
  <si>
    <t>ANISA NURUL AULIA</t>
  </si>
  <si>
    <t>0058032536</t>
  </si>
  <si>
    <t>ANISA PUSPITA DEWI</t>
  </si>
  <si>
    <t>0051112352</t>
  </si>
  <si>
    <t>ANISA PUTRI MAULANI</t>
  </si>
  <si>
    <t>0058978169</t>
  </si>
  <si>
    <t>ANNISA NABIILAH SAPUTRI</t>
  </si>
  <si>
    <t>0055764409</t>
  </si>
  <si>
    <t>AN-NISSA AZFA SHABIRAH</t>
  </si>
  <si>
    <t>0009379656</t>
  </si>
  <si>
    <t>APRILIA ALITA</t>
  </si>
  <si>
    <t>0042869408</t>
  </si>
  <si>
    <t>AQBIL FAJAR RAMADHAN</t>
  </si>
  <si>
    <t>0058843074</t>
  </si>
  <si>
    <t>ARDHIAS TEGAR MAULANA</t>
  </si>
  <si>
    <t>0060033773</t>
  </si>
  <si>
    <t>ARDIEN IBRAHIMOVIC</t>
  </si>
  <si>
    <t>0046624490</t>
  </si>
  <si>
    <t>ARIEN SETIAWATY CHANDRA</t>
  </si>
  <si>
    <t>0054247005</t>
  </si>
  <si>
    <t>ARIFAH FEBI YULIANTI</t>
  </si>
  <si>
    <t>XI AK 5</t>
  </si>
  <si>
    <t>0059999624</t>
  </si>
  <si>
    <t>ARIQ FAISHAL FATHI AKBAR</t>
  </si>
  <si>
    <t>0052697708</t>
  </si>
  <si>
    <t>ARIQ SYAFIQ</t>
  </si>
  <si>
    <t>0055254660</t>
  </si>
  <si>
    <t>ARNI RAHMAWATI</t>
  </si>
  <si>
    <t>0073806326</t>
  </si>
  <si>
    <t>ARYASATYA RAMADHAN SUKRESNO</t>
  </si>
  <si>
    <t>0045071216</t>
  </si>
  <si>
    <t>ASEP IWAN RIDWAN NUGRAHA</t>
  </si>
  <si>
    <t>0052037446</t>
  </si>
  <si>
    <t>ASSABILA NURKHOFIFAH</t>
  </si>
  <si>
    <t>0049745567</t>
  </si>
  <si>
    <t>AULIA PURI QABILAH</t>
  </si>
  <si>
    <t>0058367427</t>
  </si>
  <si>
    <t>AYU ARDITA SAHRANI</t>
  </si>
  <si>
    <t>0048221108</t>
  </si>
  <si>
    <t>AYU MELANI</t>
  </si>
  <si>
    <t>0049571415</t>
  </si>
  <si>
    <t>AYU NURAENIAH</t>
  </si>
  <si>
    <t>0053652068</t>
  </si>
  <si>
    <t>AYU SUNDARI</t>
  </si>
  <si>
    <t>004732257</t>
  </si>
  <si>
    <t>AYYASY AL FARISI</t>
  </si>
  <si>
    <t>0055211979</t>
  </si>
  <si>
    <t>BAGIM SATRIANI NUGRAHA</t>
  </si>
  <si>
    <t>3057932331</t>
  </si>
  <si>
    <t>BELLA PRISCILIA</t>
  </si>
  <si>
    <t>0044454961</t>
  </si>
  <si>
    <t>BERLIN</t>
  </si>
  <si>
    <t>0056170737</t>
  </si>
  <si>
    <t>BIAS RADITYA PRATISENO</t>
  </si>
  <si>
    <t>0043644826</t>
  </si>
  <si>
    <t>BULAN MAZAYA LAILA NISHA</t>
  </si>
  <si>
    <t>0055808266</t>
  </si>
  <si>
    <t>CERIL RIZQI BERLIANA SOLEHAH</t>
  </si>
  <si>
    <t>0046144769</t>
  </si>
  <si>
    <t>CHRISTIAN JOHANES</t>
  </si>
  <si>
    <t>0053550044</t>
  </si>
  <si>
    <t>CIKAL PUTRI KAMILA</t>
  </si>
  <si>
    <t>0051045363</t>
  </si>
  <si>
    <t>DALEANA PUTRI RHAMADANTI</t>
  </si>
  <si>
    <t>0036835628</t>
  </si>
  <si>
    <t>DANIL APRILYANSYAH</t>
  </si>
  <si>
    <t>0055842268</t>
  </si>
  <si>
    <t>DANISH ZAIDAN KAMIL</t>
  </si>
  <si>
    <t>0047779628</t>
  </si>
  <si>
    <t>DEA NUR ATSIILA</t>
  </si>
  <si>
    <t>0045992141</t>
  </si>
  <si>
    <t>DEDEN TUBAGUS CAHYADI</t>
  </si>
  <si>
    <t>0045456640</t>
  </si>
  <si>
    <t>DERY PRATAMA</t>
  </si>
  <si>
    <t>0059474765</t>
  </si>
  <si>
    <t>DEVINA INDAH PRATIWI</t>
  </si>
  <si>
    <t>0057870304</t>
  </si>
  <si>
    <t>DHAFIN SALMAN</t>
  </si>
  <si>
    <t>0046175914</t>
  </si>
  <si>
    <t>DIANA ROSDA AGUSTINA</t>
  </si>
  <si>
    <t>0048783506</t>
  </si>
  <si>
    <t>DIARINO PUTRA SRIGARHANA</t>
  </si>
  <si>
    <t>0066693137</t>
  </si>
  <si>
    <t>DILLA SHOFIYANI KHOIRUNNISA</t>
  </si>
  <si>
    <t>0055596913</t>
  </si>
  <si>
    <t>DINA RAHAYU</t>
  </si>
  <si>
    <t>0058889553</t>
  </si>
  <si>
    <t>DIYANA FADHILAH HARIS</t>
  </si>
  <si>
    <t>0057872055</t>
  </si>
  <si>
    <t>DWI SEPTIAN ZAQI</t>
  </si>
  <si>
    <t>0042500104</t>
  </si>
  <si>
    <t>EKA FITRIYANI WIDIASTUTI</t>
  </si>
  <si>
    <t>0053652071</t>
  </si>
  <si>
    <t>EVA DEVINA RIDWAN</t>
  </si>
  <si>
    <t>171807087</t>
  </si>
  <si>
    <t>EVAN RASYID FAUZAN</t>
  </si>
  <si>
    <t>0043609923</t>
  </si>
  <si>
    <t>FACHREL ABIL FAHREZA</t>
  </si>
  <si>
    <t>0045192930</t>
  </si>
  <si>
    <t>FADHIL AHMAD ALAUDDIN</t>
  </si>
  <si>
    <t>0051191262</t>
  </si>
  <si>
    <t>FADHIL ALI SIDIQI</t>
  </si>
  <si>
    <t>0057343896</t>
  </si>
  <si>
    <t>FADHLAN AKBAR</t>
  </si>
  <si>
    <t>0045429034</t>
  </si>
  <si>
    <t>FADHLAN ZHAHIRAN ADRIANSYAH</t>
  </si>
  <si>
    <t>0052822621</t>
  </si>
  <si>
    <t>FADILLAH MAULANA SHIDIQ</t>
  </si>
  <si>
    <t>0056850206</t>
  </si>
  <si>
    <t>FADLAN ADHARI JANUARTA</t>
  </si>
  <si>
    <t>0054366528</t>
  </si>
  <si>
    <t>FADLIKA RAHMAN</t>
  </si>
  <si>
    <t>0061496303</t>
  </si>
  <si>
    <t>FAHIRA FITALOKA</t>
  </si>
  <si>
    <t>0059410641</t>
  </si>
  <si>
    <t>FAHLEZ PAQIH ABDULLAH</t>
  </si>
  <si>
    <t>0059063073</t>
  </si>
  <si>
    <t>FAHMA SARI</t>
  </si>
  <si>
    <t>0056788049</t>
  </si>
  <si>
    <t>FAIZAL ANNIZAR</t>
  </si>
  <si>
    <t>0046414015</t>
  </si>
  <si>
    <t>FAJAR AZWAN PADHILAH</t>
  </si>
  <si>
    <t>0042461315</t>
  </si>
  <si>
    <t>FAJAR MUHAMAD</t>
  </si>
  <si>
    <t>0036450028</t>
  </si>
  <si>
    <t>FAJAR NUR RIZKY</t>
  </si>
  <si>
    <t>0054181098</t>
  </si>
  <si>
    <t>FARAH AURELLIA ARGYANTI</t>
  </si>
  <si>
    <t>0061502810</t>
  </si>
  <si>
    <t>FARHAN JANUAR S</t>
  </si>
  <si>
    <t>0067619518</t>
  </si>
  <si>
    <t>FATH ARD HARAMAIN</t>
  </si>
  <si>
    <t>0045379287</t>
  </si>
  <si>
    <t>FATIMAH</t>
  </si>
  <si>
    <t>0041408518</t>
  </si>
  <si>
    <t>FAUZI RAHMAN FAHRIZAL</t>
  </si>
  <si>
    <t>0042040171</t>
  </si>
  <si>
    <t>FAUZI RIZKI ROSTIAWAN</t>
  </si>
  <si>
    <t>0055991655</t>
  </si>
  <si>
    <t>FEBBY FEBRYANTI</t>
  </si>
  <si>
    <t>0048676160</t>
  </si>
  <si>
    <t>FEMY MEGA APRILIA</t>
  </si>
  <si>
    <t>0043669395</t>
  </si>
  <si>
    <t>FERDIANSYAH G</t>
  </si>
  <si>
    <t>0054159116</t>
  </si>
  <si>
    <t>FIRLA PRIPIANKA</t>
  </si>
  <si>
    <t>0058049555</t>
  </si>
  <si>
    <t>FITRI ANTI HALIMATU SA'DIAH</t>
  </si>
  <si>
    <t>0048542485</t>
  </si>
  <si>
    <t>FUTHRIANTI ROSALIA ALIANSYAH</t>
  </si>
  <si>
    <t>0042708140</t>
  </si>
  <si>
    <t>GANDI HAFIDZ SUWITO</t>
  </si>
  <si>
    <t>0058273860</t>
  </si>
  <si>
    <t>GHAIDA ZALFAHUSNIYAH</t>
  </si>
  <si>
    <t>0053781704</t>
  </si>
  <si>
    <t>GHEFIRA NUR FATHIMAH</t>
  </si>
  <si>
    <t>0042469355</t>
  </si>
  <si>
    <t>GINA MUTIATSANI</t>
  </si>
  <si>
    <t>0042100995</t>
  </si>
  <si>
    <t>GINA NURUL FADILLA</t>
  </si>
  <si>
    <t>0055132290</t>
  </si>
  <si>
    <t>GIZZA AZARIA NASARAMI PUTRI</t>
  </si>
  <si>
    <t>0044092347</t>
  </si>
  <si>
    <t>GUNTUR SETYO AJI</t>
  </si>
  <si>
    <t>0054553806</t>
  </si>
  <si>
    <t>HALDA HIDAYATI</t>
  </si>
  <si>
    <t>0046855450</t>
  </si>
  <si>
    <t>HANA DESILAWATI</t>
  </si>
  <si>
    <t>0039524354</t>
  </si>
  <si>
    <t>HANI AMELIA</t>
  </si>
  <si>
    <t>0048129890</t>
  </si>
  <si>
    <t>HANI SYIFA FAADHILAH</t>
  </si>
  <si>
    <t>0053178352</t>
  </si>
  <si>
    <t>HANIF AZHAR</t>
  </si>
  <si>
    <t>0056701731</t>
  </si>
  <si>
    <t>HANNA PUTRI AZZAHRA</t>
  </si>
  <si>
    <t>0041828565</t>
  </si>
  <si>
    <t>HARIST FADLILAH</t>
  </si>
  <si>
    <t>0041080662</t>
  </si>
  <si>
    <t>HELLMINA ENJELINA FITRI</t>
  </si>
  <si>
    <t>0054368657</t>
  </si>
  <si>
    <t>HILMY DWI FEBRIANSYAH</t>
  </si>
  <si>
    <t>0048164306</t>
  </si>
  <si>
    <t>HINDASAH</t>
  </si>
  <si>
    <t>3040788393</t>
  </si>
  <si>
    <t>IDA SAPITRIA</t>
  </si>
  <si>
    <t>0057474636</t>
  </si>
  <si>
    <t>IHYA UDIN SUJADI</t>
  </si>
  <si>
    <t>0067118702</t>
  </si>
  <si>
    <t>ILHAM NURHIDAYAT</t>
  </si>
  <si>
    <t>0058737815</t>
  </si>
  <si>
    <t>ILMI AMALIA</t>
  </si>
  <si>
    <t>0044878131</t>
  </si>
  <si>
    <t>INDAH FATIKA SARI</t>
  </si>
  <si>
    <t>0019555949</t>
  </si>
  <si>
    <t>INDAH FITRI NOVIANTI</t>
  </si>
  <si>
    <t>0059838872</t>
  </si>
  <si>
    <t>INDAH PURNAMA NURCAHYA</t>
  </si>
  <si>
    <t>0046122975</t>
  </si>
  <si>
    <t>INDRA SEPTIANA</t>
  </si>
  <si>
    <t>0057135942</t>
  </si>
  <si>
    <t>IQBAL FAREL RIANTO</t>
  </si>
  <si>
    <t>0043046984</t>
  </si>
  <si>
    <t>ISA ANITA</t>
  </si>
  <si>
    <t>0047078115</t>
  </si>
  <si>
    <t>IVAN CHRISTIAN</t>
  </si>
  <si>
    <t>IZZA ZAKI ZARKASYI</t>
  </si>
  <si>
    <t>0063199663</t>
  </si>
  <si>
    <t>JAAN NUHA LINDAN MUNGGARAN</t>
  </si>
  <si>
    <t>0052060826</t>
  </si>
  <si>
    <t>JERIKHO EFRAIM HALOMON SITUMORANG</t>
  </si>
  <si>
    <t>0054731148</t>
  </si>
  <si>
    <t>JIBRAN SENO ADJI</t>
  </si>
  <si>
    <t>0056045368</t>
  </si>
  <si>
    <t>JIHAN AF WIYAH</t>
  </si>
  <si>
    <t>0052478861</t>
  </si>
  <si>
    <t>JIHAN ANNISA NURBAITHI</t>
  </si>
  <si>
    <t>0042885452</t>
  </si>
  <si>
    <t>JODI SETIAWAN EFENDI MAWAR</t>
  </si>
  <si>
    <t>0057130543</t>
  </si>
  <si>
    <t>KANYA NAILA RAHMAN</t>
  </si>
  <si>
    <t>0053562330</t>
  </si>
  <si>
    <t>KEIZHA AURELYA SUPRIATIN</t>
  </si>
  <si>
    <t>0045739863</t>
  </si>
  <si>
    <t>KEVIN NIZAR FAHARI</t>
  </si>
  <si>
    <t>0058032931</t>
  </si>
  <si>
    <t>KEYSA NAILA PUTRI</t>
  </si>
  <si>
    <t>0051012284</t>
  </si>
  <si>
    <t>KIKY AGUSTIANI</t>
  </si>
  <si>
    <t>0046709580</t>
  </si>
  <si>
    <t>KITTO SAKTIKA KANAKA</t>
  </si>
  <si>
    <t>0048777370</t>
  </si>
  <si>
    <t>KLEO AXA INATSAN</t>
  </si>
  <si>
    <t>0055164557</t>
  </si>
  <si>
    <t>KRESNA NUGRAHA</t>
  </si>
  <si>
    <t>0053193342</t>
  </si>
  <si>
    <t>LINTANG ALISYA MARISKA</t>
  </si>
  <si>
    <t>0042248510</t>
  </si>
  <si>
    <t>LUH SRI NOVA TESARIA</t>
  </si>
  <si>
    <t>0052652185</t>
  </si>
  <si>
    <t>LUKMAN SUPIYAN SYAORI</t>
  </si>
  <si>
    <t>0046491692</t>
  </si>
  <si>
    <t>LUQMAN HAKIM</t>
  </si>
  <si>
    <t>0051467739</t>
  </si>
  <si>
    <t>LUTHFI AFRIZAL</t>
  </si>
  <si>
    <t>0052635603</t>
  </si>
  <si>
    <t>LUTHFI ARDIANSYAH</t>
  </si>
  <si>
    <t>0053399118</t>
  </si>
  <si>
    <t>LUTHFIAH QURROTA A'YUN</t>
  </si>
  <si>
    <t>0058639420</t>
  </si>
  <si>
    <t>M DZIDAN PUTRA KUSWARA</t>
  </si>
  <si>
    <t>0065111321</t>
  </si>
  <si>
    <t>M FATHIR HADI FEBRIAN</t>
  </si>
  <si>
    <t>0049987760</t>
  </si>
  <si>
    <t>M GENTA MEI HAIKAL AL FONDA</t>
  </si>
  <si>
    <t>0055279859</t>
  </si>
  <si>
    <t>M ILHAM HARDIANA</t>
  </si>
  <si>
    <t>0053167492</t>
  </si>
  <si>
    <t>M IQBAL PASHA AL FARABI</t>
  </si>
  <si>
    <t>0046898813</t>
  </si>
  <si>
    <t>M.A DIMAS DAEN PRATAMA</t>
  </si>
  <si>
    <t>0038999740</t>
  </si>
  <si>
    <t>MAHARANI PUTRI</t>
  </si>
  <si>
    <t>0043985852</t>
  </si>
  <si>
    <t>MAHESA SAWAL ABDURAHMAN</t>
  </si>
  <si>
    <t>0053652079</t>
  </si>
  <si>
    <t>MARISA FITRIYANI</t>
  </si>
  <si>
    <t>0056708685</t>
  </si>
  <si>
    <t>MARSYA SILVIYANI</t>
  </si>
  <si>
    <t>0047784407</t>
  </si>
  <si>
    <t>MARYAM SHAFIATURRAHMAH</t>
  </si>
  <si>
    <t>0059127729</t>
  </si>
  <si>
    <t>MAURA ANGELITA</t>
  </si>
  <si>
    <t>0059593709</t>
  </si>
  <si>
    <t>MAYSA YASMIN AURA</t>
  </si>
  <si>
    <t>0028485166</t>
  </si>
  <si>
    <t>MEIDA</t>
  </si>
  <si>
    <t>0056040403</t>
  </si>
  <si>
    <t>MEILDA NURCAHYA KEIZSYA</t>
  </si>
  <si>
    <t>0015407666</t>
  </si>
  <si>
    <t>MOCHAMAD ERGY RAJA HUSEN</t>
  </si>
  <si>
    <t>0042105774</t>
  </si>
  <si>
    <t>MOCHAMMAD DHIFFA PRATAMA</t>
  </si>
  <si>
    <t>0042589248</t>
  </si>
  <si>
    <t>MOCHAMMAD REZA HAMDANI</t>
  </si>
  <si>
    <t>0049158508</t>
  </si>
  <si>
    <t>MOHAMAD NANDE RIZKI AKBAR</t>
  </si>
  <si>
    <t>0046281546</t>
  </si>
  <si>
    <t>MOHAMMAD NOVAL ARDIANSYAH</t>
  </si>
  <si>
    <t>0052242649</t>
  </si>
  <si>
    <t>MONALIA SAVANA MALAU</t>
  </si>
  <si>
    <t>0052913753</t>
  </si>
  <si>
    <t>MUHAMAD ADRI RINJANI</t>
  </si>
  <si>
    <t>0045473181</t>
  </si>
  <si>
    <t>MUHAMAD CHAESAR NURDIANSYAH</t>
  </si>
  <si>
    <t>0058408410</t>
  </si>
  <si>
    <t>MUHAMAD FAQIH NASRULLOH</t>
  </si>
  <si>
    <t>0046028053</t>
  </si>
  <si>
    <t>0044670864</t>
  </si>
  <si>
    <t>MUHAMAD FASKAL AIMAR</t>
  </si>
  <si>
    <t>0066976002</t>
  </si>
  <si>
    <t>MUHAMAD HIKMAL AKBAR</t>
  </si>
  <si>
    <t>0059809558</t>
  </si>
  <si>
    <t>MUHAMAD IKHSAN NUR</t>
  </si>
  <si>
    <t>0051796983</t>
  </si>
  <si>
    <t>MUHAMAD JABAL NURRAHMAN</t>
  </si>
  <si>
    <t>0049943631</t>
  </si>
  <si>
    <t>MUHAMAD RIZAL MUSTOPA</t>
  </si>
  <si>
    <t>0042067139</t>
  </si>
  <si>
    <t>MUHAMMAD ADAM RAMADHAN</t>
  </si>
  <si>
    <t>0057671725</t>
  </si>
  <si>
    <t>MUHAMMAD ADNAN FACHRURAZI</t>
  </si>
  <si>
    <t>0055935958</t>
  </si>
  <si>
    <t>MUHAMMAD AFRIZAL MAULIDZIN</t>
  </si>
  <si>
    <t>0056503955</t>
  </si>
  <si>
    <t>MUHAMMAD ALVANSYAH</t>
  </si>
  <si>
    <t>0068098077</t>
  </si>
  <si>
    <t>MUHAMMAD ARDI PRATAMA</t>
  </si>
  <si>
    <t>0041029324</t>
  </si>
  <si>
    <t>MUHAMMAD DAFFA MUZAKI</t>
  </si>
  <si>
    <t>0047312606</t>
  </si>
  <si>
    <t>MUHAMMAD DIAN PRATAMA PUTRA</t>
  </si>
  <si>
    <t>0045013102</t>
  </si>
  <si>
    <t>MUHAMMAD DLORIF HAKIM</t>
  </si>
  <si>
    <t>0056369172</t>
  </si>
  <si>
    <t>MUHAMMAD DZIKRA BANAGARA TABRIZ</t>
  </si>
  <si>
    <t>0052133058</t>
  </si>
  <si>
    <t>MUHAMMAD FACHRIZAL ICHSAN</t>
  </si>
  <si>
    <t>0048429547</t>
  </si>
  <si>
    <t>MUHAMMAD FARID ZAKY ROSYADHI</t>
  </si>
  <si>
    <t>0047939247</t>
  </si>
  <si>
    <t>MUHAMMAD FARREL IHSAN</t>
  </si>
  <si>
    <t>0048453466</t>
  </si>
  <si>
    <t>MUHAMMAD FASHA ADIKA</t>
  </si>
  <si>
    <t>0057715355</t>
  </si>
  <si>
    <t>MUHAMMAD FATHAN FALERY HELMI</t>
  </si>
  <si>
    <t>0052480840</t>
  </si>
  <si>
    <t>MUHAMMAD HANIF KAMIL RUHIAT</t>
  </si>
  <si>
    <t>0053147846</t>
  </si>
  <si>
    <t>MUHAMMAD IHSAN</t>
  </si>
  <si>
    <t>0052259585</t>
  </si>
  <si>
    <t>MUHAMMAD IKHSAN ROBBANI</t>
  </si>
  <si>
    <t>0052821553</t>
  </si>
  <si>
    <t>MUHAMMAD ILYAS ABDEE ISLAM</t>
  </si>
  <si>
    <t>0043316894</t>
  </si>
  <si>
    <t>MUHAMMAD IQBAL MUSYAFFA AMNA</t>
  </si>
  <si>
    <t>0059356809</t>
  </si>
  <si>
    <t>MUHAMMAD KHAIRUL FIKRI</t>
  </si>
  <si>
    <t>0045415578</t>
  </si>
  <si>
    <t>MUHAMMAD MUKHLISH ALFARIZZY</t>
  </si>
  <si>
    <t>0044750502</t>
  </si>
  <si>
    <t xml:space="preserve">MUHAMMAD PANJI SAUQI </t>
  </si>
  <si>
    <t>0051356272</t>
  </si>
  <si>
    <t>MUHAMMAD RAFIF</t>
  </si>
  <si>
    <t>0044450350</t>
  </si>
  <si>
    <t>MUHAMMAD RAFLI AGUSTIAN</t>
  </si>
  <si>
    <t>0047718393</t>
  </si>
  <si>
    <t>MUHAMMAD RAJBA BISYRUBNUL BARRA</t>
  </si>
  <si>
    <t>0045151315</t>
  </si>
  <si>
    <t>MUHAMMAD RASHIF ANWARUDDIN</t>
  </si>
  <si>
    <t>0046050090</t>
  </si>
  <si>
    <t>MUJIONO EKA SAPUTRA</t>
  </si>
  <si>
    <t>0036481631</t>
  </si>
  <si>
    <t>MUTIARA AYU RACHMADANI</t>
  </si>
  <si>
    <t>0056311177</t>
  </si>
  <si>
    <t>NABILA ANGGRAENI</t>
  </si>
  <si>
    <t>0053262035</t>
  </si>
  <si>
    <t>NABILLA MENTARI GUSTIANI</t>
  </si>
  <si>
    <t>0059150869</t>
  </si>
  <si>
    <t>NADINE REDINA AURELLY</t>
  </si>
  <si>
    <t>0055440316</t>
  </si>
  <si>
    <t>NADYA AISYA ZAYDATULUKMAN</t>
  </si>
  <si>
    <t>Keluar: April 2021</t>
  </si>
  <si>
    <t>0058353523</t>
  </si>
  <si>
    <t>NAFAN MAULANA DZAKHRAN</t>
  </si>
  <si>
    <t>0054822962</t>
  </si>
  <si>
    <t>NAILA PUTRI ALEXANDRIA</t>
  </si>
  <si>
    <t>0059911689</t>
  </si>
  <si>
    <t>NAIRA SUCI MAHESA</t>
  </si>
  <si>
    <t>0053032082</t>
  </si>
  <si>
    <t>NAJLA SYADIRA HAFIDZH</t>
  </si>
  <si>
    <t>0054506360</t>
  </si>
  <si>
    <t>NATHAN ADITYA NARAYAN</t>
  </si>
  <si>
    <t>0048043466</t>
  </si>
  <si>
    <t>NAUFAL DAFFA COLAIUTA</t>
  </si>
  <si>
    <t>0046509447</t>
  </si>
  <si>
    <t>NAUFAL DANURWENDA</t>
  </si>
  <si>
    <t>0045715515</t>
  </si>
  <si>
    <t>NAUFAL HAFIZH WAHDIYAT</t>
  </si>
  <si>
    <t>0045794558</t>
  </si>
  <si>
    <t>NAUFAL MAULANA</t>
  </si>
  <si>
    <t>0051294546</t>
  </si>
  <si>
    <t>NAYLA SARAH AZ'ZAHRA</t>
  </si>
  <si>
    <t>0044669091</t>
  </si>
  <si>
    <t>NAZHEERA NASYA MEDINA</t>
  </si>
  <si>
    <t>0052519110</t>
  </si>
  <si>
    <t>NAZWA AULIA EFFENDI</t>
  </si>
  <si>
    <t>0057493244</t>
  </si>
  <si>
    <t>NAZWA SABILA</t>
  </si>
  <si>
    <t>0052616231</t>
  </si>
  <si>
    <t>NAZWA SITI NURKHASANAH</t>
  </si>
  <si>
    <t>3053112964</t>
  </si>
  <si>
    <t>NENI YUNITA SUMARNI</t>
  </si>
  <si>
    <t>0049766048</t>
  </si>
  <si>
    <t>NISRINA ATHA NAZWA</t>
  </si>
  <si>
    <t>0050690285</t>
  </si>
  <si>
    <t>NISSA SHLEHATI</t>
  </si>
  <si>
    <t>0047939928</t>
  </si>
  <si>
    <t>NISWAH KAIFA NAZAHAH</t>
  </si>
  <si>
    <t>3045812077</t>
  </si>
  <si>
    <t>NUR ALIYAH</t>
  </si>
  <si>
    <t>0044554939</t>
  </si>
  <si>
    <t>NUR AZIZZAH FITRIYANI</t>
  </si>
  <si>
    <t>0046359227</t>
  </si>
  <si>
    <t>NUR OKTAFIANI</t>
  </si>
  <si>
    <t>0045644566</t>
  </si>
  <si>
    <t>NUROHMAN</t>
  </si>
  <si>
    <t>0051463158</t>
  </si>
  <si>
    <t>ONYA LEVANA</t>
  </si>
  <si>
    <t>0048310895</t>
  </si>
  <si>
    <t>PASHA AMELIA PUTRI</t>
  </si>
  <si>
    <t>0046194015</t>
  </si>
  <si>
    <t>PRESWARA ADI SUSILO</t>
  </si>
  <si>
    <t>0054022445</t>
  </si>
  <si>
    <t>QYA AIDI ADHA</t>
  </si>
  <si>
    <t>0006348471</t>
  </si>
  <si>
    <t>R.FARHAN RIZKI SEPTRIAN</t>
  </si>
  <si>
    <t>0051212467</t>
  </si>
  <si>
    <t>RADITYA MAHESAWARA PUTRA</t>
  </si>
  <si>
    <t>0057128515</t>
  </si>
  <si>
    <t>RAFELINA FARZI DELLAPASHA</t>
  </si>
  <si>
    <t>0043876256</t>
  </si>
  <si>
    <t>RAFFI ADRIEAN RUKMANA</t>
  </si>
  <si>
    <t>0059508916</t>
  </si>
  <si>
    <t>RAFI IRFAN SETIAWAN</t>
  </si>
  <si>
    <t>0057970540</t>
  </si>
  <si>
    <t>RAFI RAJENDRA RIVANI</t>
  </si>
  <si>
    <t>0045577490</t>
  </si>
  <si>
    <t>RAFLY HENRIANSYAH</t>
  </si>
  <si>
    <t>0046468997</t>
  </si>
  <si>
    <t>RAFLY ZACKY AULIA</t>
  </si>
  <si>
    <t>0059669051</t>
  </si>
  <si>
    <t>RAHMA ALIYYAH DAMAYANTI</t>
  </si>
  <si>
    <t>0046418824</t>
  </si>
  <si>
    <t>RAHMA NISA SOLEHAH</t>
  </si>
  <si>
    <t>0042262917</t>
  </si>
  <si>
    <t>RAHMA PUTRI AWALIA RABBANI</t>
  </si>
  <si>
    <t>0048603849</t>
  </si>
  <si>
    <t>RAHMA YANTI</t>
  </si>
  <si>
    <t>0059055411</t>
  </si>
  <si>
    <t>RAHMAN HAKIM</t>
  </si>
  <si>
    <t>0053222610</t>
  </si>
  <si>
    <t>RAIHAN IZDIHAR PUTRA GUNAWAN</t>
  </si>
  <si>
    <t>0011847709</t>
  </si>
  <si>
    <t>RAIHAN LABIB PRATAMA</t>
  </si>
  <si>
    <t>0059014633</t>
  </si>
  <si>
    <t>RAIHANA NISA AZ ZAHRA</t>
  </si>
  <si>
    <t>0059129303</t>
  </si>
  <si>
    <t>RAINA RAMADHANI PUTRI</t>
  </si>
  <si>
    <t>0034221560</t>
  </si>
  <si>
    <t>RAKEEM NHADIYA FITRIANI DEANNOVA</t>
  </si>
  <si>
    <t>0052692698</t>
  </si>
  <si>
    <t>RAMA ADITIYA NUGROHO</t>
  </si>
  <si>
    <t>0049642383</t>
  </si>
  <si>
    <t>RAMA ARDRIANSYAH</t>
  </si>
  <si>
    <t>0054855777</t>
  </si>
  <si>
    <t>RAMA MAHESA BAYU AJI S</t>
  </si>
  <si>
    <t>0046096940</t>
  </si>
  <si>
    <t>RANDIE SYAEFUL AZAHLI</t>
  </si>
  <si>
    <t>0053198622</t>
  </si>
  <si>
    <t>RANGGA HAKIM MAHESWARA</t>
  </si>
  <si>
    <t>0048723594</t>
  </si>
  <si>
    <t>RASEL SOPIYAN</t>
  </si>
  <si>
    <t>0044746622</t>
  </si>
  <si>
    <t>RAZAN MEGASATRIA</t>
  </si>
  <si>
    <t>0056006048</t>
  </si>
  <si>
    <t>RENANDA MAULID ERIYAN</t>
  </si>
  <si>
    <t>0050975211</t>
  </si>
  <si>
    <t>RENANDA ZALIYANTI</t>
  </si>
  <si>
    <t>0031181083</t>
  </si>
  <si>
    <t>RENDRA AYALA</t>
  </si>
  <si>
    <t>0053712934</t>
  </si>
  <si>
    <t>RERI CHAERUNISA SUHENDRA</t>
  </si>
  <si>
    <t>0009395694</t>
  </si>
  <si>
    <t>REVA ANANTO PUTRA</t>
  </si>
  <si>
    <t>0059051905</t>
  </si>
  <si>
    <t>REYHAN FEBRIAN</t>
  </si>
  <si>
    <t>0048774352</t>
  </si>
  <si>
    <t>REZA DISKY PRATAMA</t>
  </si>
  <si>
    <t>0014407666</t>
  </si>
  <si>
    <t>RIDHO MARDHOTILLAH</t>
  </si>
  <si>
    <t>0059782409</t>
  </si>
  <si>
    <t>RIFDA MEYLIANA ADE BADARUDDIN</t>
  </si>
  <si>
    <t>0055856533</t>
  </si>
  <si>
    <t>RIFKY MUHAMMAD PRAYUDHI</t>
  </si>
  <si>
    <t>0045978960</t>
  </si>
  <si>
    <t xml:space="preserve">RIFKY REHAN PADLI </t>
  </si>
  <si>
    <t>0045372569</t>
  </si>
  <si>
    <t>RIJKI PAUZI</t>
  </si>
  <si>
    <t>3041520671</t>
  </si>
  <si>
    <t>RINDA HERMAWATI</t>
  </si>
  <si>
    <t>0049980571</t>
  </si>
  <si>
    <t>RIO FERDIANSYAH</t>
  </si>
  <si>
    <t>0046698915</t>
  </si>
  <si>
    <t>RISA NUR ZAHWA</t>
  </si>
  <si>
    <t>0028180649</t>
  </si>
  <si>
    <t>RISA SILVANA</t>
  </si>
  <si>
    <t>0053166935</t>
  </si>
  <si>
    <t>RISTA ANISA SUGIARTI</t>
  </si>
  <si>
    <t>0057374853</t>
  </si>
  <si>
    <t>RIVA SEPTIYANI</t>
  </si>
  <si>
    <t>0044915923</t>
  </si>
  <si>
    <t>RIZAL FAUZI</t>
  </si>
  <si>
    <t>0039553723</t>
  </si>
  <si>
    <t>RIZAL LISWANTO</t>
  </si>
  <si>
    <t>0052866523</t>
  </si>
  <si>
    <t>RIZKI SAEPUL AZIS</t>
  </si>
  <si>
    <t>0044861761</t>
  </si>
  <si>
    <t>RIZQIA ZULFIKAR FAWZI</t>
  </si>
  <si>
    <t>0052655281</t>
  </si>
  <si>
    <t>RIZQINA AZKIYATUNNAFIS</t>
  </si>
  <si>
    <t>0056038309</t>
  </si>
  <si>
    <t>ROSALIA PUTRI</t>
  </si>
  <si>
    <t>0057597608</t>
  </si>
  <si>
    <t>ROSHAN SACHIO ATHALLAH</t>
  </si>
  <si>
    <t>0056331455</t>
  </si>
  <si>
    <t>ROSITA RAHAYU</t>
  </si>
  <si>
    <t>0052325390</t>
  </si>
  <si>
    <t>RYAN GABRIEL SIRINGO-RINGO</t>
  </si>
  <si>
    <t>0058563823</t>
  </si>
  <si>
    <t>SABILA</t>
  </si>
  <si>
    <t>0042725306</t>
  </si>
  <si>
    <t>SABILA ARRAUDLAH FIRDAUS</t>
  </si>
  <si>
    <t>0062457012</t>
  </si>
  <si>
    <t>SALMA NABILA</t>
  </si>
  <si>
    <t>0057229434</t>
  </si>
  <si>
    <t>SALMA RIZQIA PUTRI</t>
  </si>
  <si>
    <t>0059963354</t>
  </si>
  <si>
    <t>SALMAA NABIILAH ISKANDAR</t>
  </si>
  <si>
    <t>0067026830</t>
  </si>
  <si>
    <t>SALSABILA KHOIRUNNISA</t>
  </si>
  <si>
    <t>0046259099</t>
  </si>
  <si>
    <t>SALSABILA WALI DATUSSYUHADA</t>
  </si>
  <si>
    <t>0041529800</t>
  </si>
  <si>
    <t>SALWA SEPTIANI LATIFA</t>
  </si>
  <si>
    <t>0045992142</t>
  </si>
  <si>
    <t>SAN SAN SITI FATIMAH</t>
  </si>
  <si>
    <t>0050617237</t>
  </si>
  <si>
    <t>SANDRINA MEILY INDRIANI</t>
  </si>
  <si>
    <t>0046414043</t>
  </si>
  <si>
    <t>SARAH SALSABILA</t>
  </si>
  <si>
    <t>0057884007</t>
  </si>
  <si>
    <t>SARAH YURAHMAN AZ-ZAHRA</t>
  </si>
  <si>
    <t>0042616293</t>
  </si>
  <si>
    <t>SAROH AZ-ZAHRO</t>
  </si>
  <si>
    <t>3044893474</t>
  </si>
  <si>
    <t>SELSA ANAYA REVALLINA</t>
  </si>
  <si>
    <t>0053090472</t>
  </si>
  <si>
    <t>SENDHI HIDAYAT</t>
  </si>
  <si>
    <t>3031786074</t>
  </si>
  <si>
    <t>SEPIA DESIANTI</t>
  </si>
  <si>
    <t>0045104748</t>
  </si>
  <si>
    <t>SEPTIA AL ZAHRA</t>
  </si>
  <si>
    <t>3051122021</t>
  </si>
  <si>
    <t>SERLI ALAMSYAH</t>
  </si>
  <si>
    <t>Keluar: Juli 2021</t>
  </si>
  <si>
    <t>0053408024</t>
  </si>
  <si>
    <t>SHALOM SHALLY ISABELA</t>
  </si>
  <si>
    <t>3056156596</t>
  </si>
  <si>
    <t>SHANIA MAULIDA RAHMANI</t>
  </si>
  <si>
    <t>0051613812</t>
  </si>
  <si>
    <t>SHEILA AYU YASFA</t>
  </si>
  <si>
    <t>0049653847</t>
  </si>
  <si>
    <t>SHELY EGIAWARNI AGUSTIN</t>
  </si>
  <si>
    <t>0043469613</t>
  </si>
  <si>
    <t>SHENDY SETIAWATI</t>
  </si>
  <si>
    <t>0055366973</t>
  </si>
  <si>
    <t>SHIDDIQ FADLUL WAFI</t>
  </si>
  <si>
    <t>0058167167</t>
  </si>
  <si>
    <t>SHIELA ALIYA</t>
  </si>
  <si>
    <t>0045415062</t>
  </si>
  <si>
    <t>SHIFA KANIA PUTRI</t>
  </si>
  <si>
    <t>0055494635</t>
  </si>
  <si>
    <t>SHYFA DWI YULIANTY</t>
  </si>
  <si>
    <t>0058695760</t>
  </si>
  <si>
    <t>SILVANI WULANDARI</t>
  </si>
  <si>
    <t>0059050239</t>
  </si>
  <si>
    <t>SILVIA AGUSTIANI</t>
  </si>
  <si>
    <t>0046875460</t>
  </si>
  <si>
    <t>SILVIA BELLA DWI PUTRI</t>
  </si>
  <si>
    <t>0046495672</t>
  </si>
  <si>
    <t>SILVIA FADHILLAH</t>
  </si>
  <si>
    <t>0048016644</t>
  </si>
  <si>
    <t>SINTA NUR MAYA</t>
  </si>
  <si>
    <t>0055829975</t>
  </si>
  <si>
    <t>SITI FAIDAH HASANAH</t>
  </si>
  <si>
    <t>0050930359</t>
  </si>
  <si>
    <t>SITI MUNAWARROH</t>
  </si>
  <si>
    <t>0047631219</t>
  </si>
  <si>
    <t>SITI NURAISYAH</t>
  </si>
  <si>
    <t>0044831484</t>
  </si>
  <si>
    <t>SITI SRI RAHAYU</t>
  </si>
  <si>
    <t>0057302963</t>
  </si>
  <si>
    <t>SRI SUNARTI</t>
  </si>
  <si>
    <t>0005007827</t>
  </si>
  <si>
    <t>SYABILLA NOVIANDA</t>
  </si>
  <si>
    <t>0042660113</t>
  </si>
  <si>
    <t>SYALWA RESTU GUSTIAFI ANANDA P</t>
  </si>
  <si>
    <t>0045408551</t>
  </si>
  <si>
    <t>SYIFA NUR SALSABILA</t>
  </si>
  <si>
    <t>3043481852</t>
  </si>
  <si>
    <t>TAJI MATIIN INDRA KUSUMAH</t>
  </si>
  <si>
    <t>0052914040</t>
  </si>
  <si>
    <t>TARISYA ALIFIYA ZAHRA</t>
  </si>
  <si>
    <t>0046168885</t>
  </si>
  <si>
    <t>THORIQ JASIR</t>
  </si>
  <si>
    <t>0045992151</t>
  </si>
  <si>
    <t>THORIQ ROMADHONI AL-HAFIZH</t>
  </si>
  <si>
    <t>3050010934</t>
  </si>
  <si>
    <t>TIARA RACHMA SUCI</t>
  </si>
  <si>
    <t>0045774412</t>
  </si>
  <si>
    <t>TIFAN ANDHIKA PUTRA</t>
  </si>
  <si>
    <t>3056057500</t>
  </si>
  <si>
    <t>TOMMI SIMBOLON</t>
  </si>
  <si>
    <t>0052099500</t>
  </si>
  <si>
    <t>TRI CAKRA ANDRIAN</t>
  </si>
  <si>
    <t>0047725827</t>
  </si>
  <si>
    <t>TRIO SADIKIN</t>
  </si>
  <si>
    <t>0053699172</t>
  </si>
  <si>
    <t>TRY INTAN APRIYANI</t>
  </si>
  <si>
    <t>0043951925</t>
  </si>
  <si>
    <t>TYEZAR HASAN KHUSAENI</t>
  </si>
  <si>
    <t>0045012172</t>
  </si>
  <si>
    <t>TYRA ARGYTA NABILLA</t>
  </si>
  <si>
    <t>0046361009</t>
  </si>
  <si>
    <t>VENI AGUSTIN</t>
  </si>
  <si>
    <t>0054727221</t>
  </si>
  <si>
    <t>VIRNA AFRIANI</t>
  </si>
  <si>
    <t>0045117048</t>
  </si>
  <si>
    <t>WAHYU RIZKI RAMADAN</t>
  </si>
  <si>
    <t>0069193202</t>
  </si>
  <si>
    <t>WENDI KURNIAWAN</t>
  </si>
  <si>
    <t>0044030868</t>
  </si>
  <si>
    <t>WIDIA NURAENI</t>
  </si>
  <si>
    <t>0047016996</t>
  </si>
  <si>
    <t>WIDIANTI</t>
  </si>
  <si>
    <t>0053599131</t>
  </si>
  <si>
    <t>WIDIYA MELLINDA</t>
  </si>
  <si>
    <t>0047293151</t>
  </si>
  <si>
    <t>WIDIYA SUGIH HARTI</t>
  </si>
  <si>
    <t>0047279664</t>
  </si>
  <si>
    <t>WILDAN AKBAR FAHRIZA</t>
  </si>
  <si>
    <t>0057842636</t>
  </si>
  <si>
    <t>WINDY RAHMAWATI PUTRI</t>
  </si>
  <si>
    <t>0049656253</t>
  </si>
  <si>
    <t>WLENTY SEPTIRA</t>
  </si>
  <si>
    <t>0048015139</t>
  </si>
  <si>
    <t>WYLMANS HARYAMUKTI NUGRAHA</t>
  </si>
  <si>
    <t>0048966325</t>
  </si>
  <si>
    <t>YAMA LAUNDRA KHALIFTRA</t>
  </si>
  <si>
    <t>0051023007</t>
  </si>
  <si>
    <t>YASMINA MAITSA NADA</t>
  </si>
  <si>
    <t>0047962456</t>
  </si>
  <si>
    <t>YAZID MUHAMMAD ZHAIDAN AFGHANI</t>
  </si>
  <si>
    <t>0069583390</t>
  </si>
  <si>
    <t>YUDHA NURFADILLAH MUNAWAR</t>
  </si>
  <si>
    <t>0048484108</t>
  </si>
  <si>
    <t>YUKI ARYA SAPUTRA</t>
  </si>
  <si>
    <t>0059611637</t>
  </si>
  <si>
    <t>YULAD JULIANDI</t>
  </si>
  <si>
    <t>0052231885</t>
  </si>
  <si>
    <t>YUYUN MELANI</t>
  </si>
  <si>
    <t>0045869330</t>
  </si>
  <si>
    <t>ZAHIDAH SYAHBANIAH WIGAWA</t>
  </si>
  <si>
    <t>0051251158</t>
  </si>
  <si>
    <t>ZAHRA FAUZIYAH</t>
  </si>
  <si>
    <t>3040055599</t>
  </si>
  <si>
    <t>ZAHRANI RAHMA AULIA</t>
  </si>
  <si>
    <t>0056881025</t>
  </si>
  <si>
    <t>ZAHWA AULIA ANSHORI</t>
  </si>
  <si>
    <t>0047703961</t>
  </si>
  <si>
    <t>ZAKIYYAH MUTHMAINNAH SHALAHUDDIN</t>
  </si>
  <si>
    <t>0055837734</t>
  </si>
  <si>
    <t>ZAKY PURMONO PRATAMA</t>
  </si>
  <si>
    <t>0052245843</t>
  </si>
  <si>
    <t>ZAVIRA HASANATUL FI'AL AZZAKI</t>
  </si>
  <si>
    <t>0058486618</t>
  </si>
  <si>
    <t>ZIDAN ARDHIANSYAH</t>
  </si>
  <si>
    <t>0052468551</t>
  </si>
  <si>
    <t>ZULFA I'MAADUDDIN ANWAR</t>
  </si>
  <si>
    <t>ABDUL AZIS SOLIHUDIN</t>
  </si>
  <si>
    <t>X AK 4</t>
  </si>
  <si>
    <t>ADEL FOURA JULIANTI</t>
  </si>
  <si>
    <t>X AK 6</t>
  </si>
  <si>
    <t>ADIEL RAFI QUINTAS</t>
  </si>
  <si>
    <t>X TKJ 1</t>
  </si>
  <si>
    <t>ADILLA RISTY SARI</t>
  </si>
  <si>
    <t>X RPL 2</t>
  </si>
  <si>
    <t>ADIRA PUTRA PERMANA</t>
  </si>
  <si>
    <t>X RPL 1</t>
  </si>
  <si>
    <t>ADIS ALYA PUTRI</t>
  </si>
  <si>
    <t>AFFIF INDRA PRACOYO</t>
  </si>
  <si>
    <t>AFIFAH ZAHRA</t>
  </si>
  <si>
    <t>X TKJ 2</t>
  </si>
  <si>
    <t>AGHNIYA FADHLAN DHI`FAN</t>
  </si>
  <si>
    <t>AGIL FIRDAUS</t>
  </si>
  <si>
    <t>X AK 1</t>
  </si>
  <si>
    <t>AGNESYA PUTRI FEYLLISA</t>
  </si>
  <si>
    <t>AGRIAN RIFANO</t>
  </si>
  <si>
    <t>X AK 3</t>
  </si>
  <si>
    <t>AGUNG ADJI MUHAMAD RESTU</t>
  </si>
  <si>
    <t>AHMAD ARIO YUSRON MUSYAFFA</t>
  </si>
  <si>
    <t>AHMAD NUR SYA`BAN</t>
  </si>
  <si>
    <t>AHMAD RAMDANI</t>
  </si>
  <si>
    <t>AHMAD SONNY QURROTTA AYUUN</t>
  </si>
  <si>
    <t>Keluar 01 Juli 2022</t>
  </si>
  <si>
    <t>AIKA ZAHRAH CALISTTA ATMAKA</t>
  </si>
  <si>
    <t>X AK 2</t>
  </si>
  <si>
    <t>AISYA RAHMAH KHAIRUNISA</t>
  </si>
  <si>
    <t>X AK 5</t>
  </si>
  <si>
    <t>AISYAH NUR-AZIZAH</t>
  </si>
  <si>
    <t>AKBAR MAULANA</t>
  </si>
  <si>
    <t>X TKJ 3</t>
  </si>
  <si>
    <t>AKHMAD HELMY</t>
  </si>
  <si>
    <t>AKHWAT MAULIDDIA RAMDHANI</t>
  </si>
  <si>
    <t>ALEXANDRI NATHANIA DEWI ISPRAWIRA</t>
  </si>
  <si>
    <t>ALIEFA NAILA HERMAWAN</t>
  </si>
  <si>
    <t>ALIF ALFARIZI</t>
  </si>
  <si>
    <t>ALIFA HALIM RASYIDIN</t>
  </si>
  <si>
    <t>ALVIRA DWI RAHAYU</t>
  </si>
  <si>
    <t>ALWAN FAUZIRROHMAN</t>
  </si>
  <si>
    <t>ALWAN FEBRIANSYAH AL-LATHIF</t>
  </si>
  <si>
    <t>ALWI AL MUNTARI</t>
  </si>
  <si>
    <t>ALYA AMELIA NURHAYATI</t>
  </si>
  <si>
    <t>ALYA MEILANI</t>
  </si>
  <si>
    <t>AMELIA</t>
  </si>
  <si>
    <t>AMELIA PUTRI</t>
  </si>
  <si>
    <t>AMELIA ZAHRA</t>
  </si>
  <si>
    <t>AMELYA NUR INSANI</t>
  </si>
  <si>
    <t>ANANDA TRI AYUDINI</t>
  </si>
  <si>
    <t>ANANTA LIGUSUARA</t>
  </si>
  <si>
    <t>ANDI PUTRA WIJAYA</t>
  </si>
  <si>
    <t>ANDREANA RAHMAWAN</t>
  </si>
  <si>
    <t>ANDRIN RAMADHANI</t>
  </si>
  <si>
    <t>ANE MERLIANA</t>
  </si>
  <si>
    <t>ANGGA ADITIA KURNIA</t>
  </si>
  <si>
    <t>ANGGI SETIAWAN</t>
  </si>
  <si>
    <t>ANGGITA CAHYANI DIAN PUSPITA</t>
  </si>
  <si>
    <t>ANGGUN LESTARI</t>
  </si>
  <si>
    <r>
      <rPr>
        <sz val="11"/>
        <rFont val="Calibri"/>
        <family val="2"/>
        <scheme val="minor"/>
      </rPr>
      <t xml:space="preserve">Keluar </t>
    </r>
    <r>
      <rPr>
        <sz val="11"/>
        <color rgb="FFFF0000"/>
        <rFont val="Calibri"/>
        <family val="2"/>
        <scheme val="minor"/>
      </rPr>
      <t>03</t>
    </r>
    <r>
      <rPr>
        <sz val="11"/>
        <rFont val="Calibri"/>
        <family val="2"/>
        <scheme val="minor"/>
      </rPr>
      <t xml:space="preserve"> Agst 2021</t>
    </r>
  </si>
  <si>
    <t>ANGIE SEKAR SARI</t>
  </si>
  <si>
    <t>ANISSA TAULANI</t>
  </si>
  <si>
    <t>ANNISA RAHMAWATI</t>
  </si>
  <si>
    <t>ANWAR KHAIRULLAH</t>
  </si>
  <si>
    <t>Keluar 22 Juni 2022</t>
  </si>
  <si>
    <t>APRIZAL HARRY PERNANDA</t>
  </si>
  <si>
    <t>AQIEL NUR ADLY</t>
  </si>
  <si>
    <t>AQIL ARRAHMAN</t>
  </si>
  <si>
    <t>AQILLA RACHMA RABBANI</t>
  </si>
  <si>
    <t>ARETA YUNDA KIRANA</t>
  </si>
  <si>
    <t>ARIEF ABDURRAHMAN AL- HAKIM</t>
  </si>
  <si>
    <t>ARSITA MAHMUHDAH RAMADHANI</t>
  </si>
  <si>
    <t>AUDREY ALYA DAVINA</t>
  </si>
  <si>
    <t>AULIA FEBRIANI</t>
  </si>
  <si>
    <t>AULIA LARASATI LERKI</t>
  </si>
  <si>
    <t>AULIA PUTRI DEVIYANTI</t>
  </si>
  <si>
    <t>AULIA PUTRI DEWI</t>
  </si>
  <si>
    <t>AYUDIA DEWI MAHARANI</t>
  </si>
  <si>
    <t>AZKA FADHLAN RAMADHAN</t>
  </si>
  <si>
    <t>AZKA UMAMI ROHMAN</t>
  </si>
  <si>
    <t>AZMI AL FARUQ</t>
  </si>
  <si>
    <t>AZMI MEDI MUTHIA INSANI</t>
  </si>
  <si>
    <t>AZMI SYAKUR</t>
  </si>
  <si>
    <t>BILAL SYAFIQ RAMDHAN</t>
  </si>
  <si>
    <t>BILL EVANDER WIJAYA GUNAWAN</t>
  </si>
  <si>
    <t>CHYNTIA YULIANTI</t>
  </si>
  <si>
    <t>DAFFA AL BARRA</t>
  </si>
  <si>
    <t>DANI HERMAWAN</t>
  </si>
  <si>
    <t>DAREN JULIO</t>
  </si>
  <si>
    <t>DAVA HARTAWAN</t>
  </si>
  <si>
    <t>DEMAS PRADITA EL SOBIRA</t>
  </si>
  <si>
    <t>DENDI GUSTARA</t>
  </si>
  <si>
    <t>DENI SOLEHUDIN</t>
  </si>
  <si>
    <t>DESTI NUR ASRI</t>
  </si>
  <si>
    <t>DESY KHOIRUNNISA</t>
  </si>
  <si>
    <t>Keluar : 08 Sept. 2021</t>
  </si>
  <si>
    <t>DEVANDYA IKHSAN AL FIKRI</t>
  </si>
  <si>
    <t>DHAFA RIFALDA FAUZAN</t>
  </si>
  <si>
    <t>DILLA RAHMADINA DAMARA PUTRI</t>
  </si>
  <si>
    <t>DIMAS APRIYANIZAR</t>
  </si>
  <si>
    <t>DIMAS PRAMUDIA HERLAMBANG</t>
  </si>
  <si>
    <t>DINA LEISYA HANIFAH</t>
  </si>
  <si>
    <t>DINANDA KHAYRA HUTAMA</t>
  </si>
  <si>
    <t>DIVA WIBYGABILLA RAZIF</t>
  </si>
  <si>
    <t>DWI FAHIRA AULIA ILMI</t>
  </si>
  <si>
    <t>DZIKRI MUHAMMAD AMRI</t>
  </si>
  <si>
    <t>EFRIL RAHMADANI</t>
  </si>
  <si>
    <t>EGASTYA DELAFEBRI ADHAGISTAN</t>
  </si>
  <si>
    <t>ELSA MULYASARI</t>
  </si>
  <si>
    <t>ERFANO</t>
  </si>
  <si>
    <t>ERVITA BATARANY</t>
  </si>
  <si>
    <t>EUIS NURINDAH</t>
  </si>
  <si>
    <t>FACHRY MUHAMAD FACHREZY IRAWAN</t>
  </si>
  <si>
    <t>FADHAL MUHAMMAD JIBRAN</t>
  </si>
  <si>
    <t>FADLI NUR FADILLAH</t>
  </si>
  <si>
    <t>FADLY SALMA AKBARI SETIAWAN</t>
  </si>
  <si>
    <t>FAIZ MAULANA PUTRA</t>
  </si>
  <si>
    <t>FAKHRINSA AZMI RADHIYA</t>
  </si>
  <si>
    <t>FANI NOVIYANTI</t>
  </si>
  <si>
    <t>FAREL MEIRAISYAH</t>
  </si>
  <si>
    <t>FAREL RADITYA AL-RASYID</t>
  </si>
  <si>
    <t>FARIDUDDIN ATTAR DARMAPUTRA</t>
  </si>
  <si>
    <t>FATAYA PRATAMA PUTRAMADANI PRAYOGI</t>
  </si>
  <si>
    <t>FATIH NUGRAHA</t>
  </si>
  <si>
    <t>FAUZAN ARDIYANTO</t>
  </si>
  <si>
    <t>FAUZIAH RISKI FITRIANI</t>
  </si>
  <si>
    <t>FAYYADH GHOZY NOVANDI</t>
  </si>
  <si>
    <t>FAZA ATHAR AGHNIA</t>
  </si>
  <si>
    <t>FEBBY NUR ADZANI</t>
  </si>
  <si>
    <t>FEBRIAN PRASETYO</t>
  </si>
  <si>
    <t>FEYRUZ CHALISA ZAHIRAH</t>
  </si>
  <si>
    <t>FIRJATULLAH ZUHDI</t>
  </si>
  <si>
    <t>FIRMAN HUDI ATMAJA</t>
  </si>
  <si>
    <t>FITRI HANDAYANI</t>
  </si>
  <si>
    <t>GAFA DARRELL NOVANDRA</t>
  </si>
  <si>
    <t>GEA ANANDITA PUTRI NUGRAHA</t>
  </si>
  <si>
    <t>GHEFIRA ASHOFA HIDAYAT</t>
  </si>
  <si>
    <t>GHIZA NADIRA RAHMANIA</t>
  </si>
  <si>
    <t>GHIZAR GUSTO AURUM</t>
  </si>
  <si>
    <t>GHYAT GHIFFARI NUR HIDAYAT</t>
  </si>
  <si>
    <t>GIEGA GHASSANNY</t>
  </si>
  <si>
    <t>GILBRAN ALFARIZI SAGITA PUTERA</t>
  </si>
  <si>
    <t>GITA SANTIKA PERMANA</t>
  </si>
  <si>
    <t>GIYAN MUHAMAD ALFARIJI</t>
  </si>
  <si>
    <t>GRACECIELA AZRIELLY SIMON</t>
  </si>
  <si>
    <t>HABBIBIE PUTERA PERMANA</t>
  </si>
  <si>
    <t>HANIF AL FARIZ</t>
  </si>
  <si>
    <t>HANIFAH AMELIA</t>
  </si>
  <si>
    <t>HASNA NABILA</t>
  </si>
  <si>
    <t>HEKY VELMA</t>
  </si>
  <si>
    <t>HESTI NURHANIAH</t>
  </si>
  <si>
    <t>HIKMAT HINDRAWAN</t>
  </si>
  <si>
    <t>I`AM LODIYAWAN</t>
  </si>
  <si>
    <t>IBNU ACHMAD SYUKUR</t>
  </si>
  <si>
    <t>ILHAM AHMAD MAULANA</t>
  </si>
  <si>
    <t>ILHAM FAZAR SIDIQ</t>
  </si>
  <si>
    <t>IMEL FIRGIANTI</t>
  </si>
  <si>
    <t>INA HERAWATI</t>
  </si>
  <si>
    <t>INA NARSIANI PRIHARYATI</t>
  </si>
  <si>
    <t>INAY INAYATUROHMAH</t>
  </si>
  <si>
    <t>INDI AYU AUDIA</t>
  </si>
  <si>
    <t>INDRA RIZKI NUGRAHA</t>
  </si>
  <si>
    <t>INRIANY DESWITA</t>
  </si>
  <si>
    <t>INTAN RAHMA YANTI</t>
  </si>
  <si>
    <t>INTAN ZAHRA TANIA</t>
  </si>
  <si>
    <t>IRA KARISKA</t>
  </si>
  <si>
    <t>JEIHAN CHAIRUNISA CESARE IRAWAN</t>
  </si>
  <si>
    <t>JENI PERMANA</t>
  </si>
  <si>
    <t>Keluar; 01 September 2021</t>
  </si>
  <si>
    <t>JENNY REVALINA MANALU</t>
  </si>
  <si>
    <t>JEVITA ZAHWA SUPRIADI</t>
  </si>
  <si>
    <t>JHONSON MARTUA ORLANDO MANULLANG</t>
  </si>
  <si>
    <t>JIBRAN NAUFAL RAHMAN</t>
  </si>
  <si>
    <t>JIHAN KAMIL LATIFAH</t>
  </si>
  <si>
    <t>KAISAR RAYFA AL BAIHAQQI</t>
  </si>
  <si>
    <t>KANIA CAHYA SUKMAWATI</t>
  </si>
  <si>
    <t>KARLINA NUR PADILAH</t>
  </si>
  <si>
    <t>KAYLANAYA SYAWALIA PUTRI</t>
  </si>
  <si>
    <t>KEISHA MEILIA</t>
  </si>
  <si>
    <t>KEVIN JAQIL TRIYATMOJO</t>
  </si>
  <si>
    <t>KHALISTA SYIFA RAHMATILLAH</t>
  </si>
  <si>
    <t>KUNTARI RAHAYU</t>
  </si>
  <si>
    <t>LASRO FRANSISKUS SOLANUS LUMBAN BATU</t>
  </si>
  <si>
    <t>LILO PUTRA MAHARDIKA</t>
  </si>
  <si>
    <t>LULA MARJAN ARIFIN</t>
  </si>
  <si>
    <t>LUTHFI RENOVAL AZMI</t>
  </si>
  <si>
    <t>M. NURRIZAL ZID MAULANA</t>
  </si>
  <si>
    <t>M. RAFIF DHIAULHAQ</t>
  </si>
  <si>
    <t>M. TSABIT FAWAZ B</t>
  </si>
  <si>
    <t>MAADZATILLAHI PEBRUARISTRA VALENT</t>
  </si>
  <si>
    <t>MARINA SHANI</t>
  </si>
  <si>
    <t>MARSHA AYU DWI CAHYANI</t>
  </si>
  <si>
    <t>MARSYA ALIFA FAJIRA</t>
  </si>
  <si>
    <t>MATRA MOZAIEK RABBANI</t>
  </si>
  <si>
    <t>MAULANA SYARIF HIDAYAT</t>
  </si>
  <si>
    <t>MAYA NUR MALASARI</t>
  </si>
  <si>
    <t>MAYA ROSITA</t>
  </si>
  <si>
    <t>MEGA ASRI PUSPITA DEWI</t>
  </si>
  <si>
    <t>MEISYA MAZAYA EKA PUTRI</t>
  </si>
  <si>
    <t>MELATI GUSTI HIDAYAH</t>
  </si>
  <si>
    <t>MENTARI TIMUR EL-FAIZ</t>
  </si>
  <si>
    <t>MERIEN YASMIN AZAHRA</t>
  </si>
  <si>
    <t>MICHAEL GUSTI AZIZ</t>
  </si>
  <si>
    <t>MOCHAMAD DAFA ABDULRAHMAN</t>
  </si>
  <si>
    <t>MOCHAMMAD RAIHAN ALGHANI HAKIM</t>
  </si>
  <si>
    <t>MOCHAMMAD SAYYID ATH-THARIQ</t>
  </si>
  <si>
    <t>MOHAMAD FIRDIANSYAH</t>
  </si>
  <si>
    <t>MUCHAMAD FAUZI FERDIANSYAH</t>
  </si>
  <si>
    <t>MUHAMAD AGUNG JIMAH</t>
  </si>
  <si>
    <t>MUHAMAD AKBAR RAMDANI</t>
  </si>
  <si>
    <t>MUHAMAD FADHEL KURNIAWAN</t>
  </si>
  <si>
    <t>MUHAMAD GALIH HIBRIZI</t>
  </si>
  <si>
    <t>MUHAMAD GILANG MUSADAD</t>
  </si>
  <si>
    <t>MUHAMAD RAFI SYAHRAIL</t>
  </si>
  <si>
    <t>MUHAMAD RIFQI AFLAF</t>
  </si>
  <si>
    <t>MUHAMAD RIZKY</t>
  </si>
  <si>
    <t>MUHAMAD YUSUF NURFATA</t>
  </si>
  <si>
    <t>MUHAMMAD ABIE SAPUTRA</t>
  </si>
  <si>
    <t>MUHAMMAD ADLI PRATAMA</t>
  </si>
  <si>
    <t>MUHAMMAD AKBAR FADILAH</t>
  </si>
  <si>
    <t>MUHAMMAD ALFARIZZI BUDIMAN</t>
  </si>
  <si>
    <t>MUHAMMAD ALI HANAFIAH</t>
  </si>
  <si>
    <t>MUHAMMAD DZAKI PERMANA</t>
  </si>
  <si>
    <t>MUHAMMAD DZAKY FAUZAN</t>
  </si>
  <si>
    <t>MUHAMMAD FACHRI RAMADHAN</t>
  </si>
  <si>
    <t>MUHAMMAD FADHL ALGHIFARI</t>
  </si>
  <si>
    <t>MUHAMMAD FAIQ</t>
  </si>
  <si>
    <t>MUHAMMAD FAKHRI FADLURRAHMAN</t>
  </si>
  <si>
    <t>MUHAMMAD FAKHRI HABIBILLAH</t>
  </si>
  <si>
    <t>MUHAMMAD GALIH SAPUTRA</t>
  </si>
  <si>
    <t>MUHAMMAD HAIKAL BAIHAQI</t>
  </si>
  <si>
    <t>MUHAMMAD IHSANUDDIN</t>
  </si>
  <si>
    <t>MUHAMMAD NAUFAL ALFARIZKY</t>
  </si>
  <si>
    <t>MUHAMMAD RAFI NASWA ZAHRAN</t>
  </si>
  <si>
    <t>MUHAMMAD RAFI NUGRAHA</t>
  </si>
  <si>
    <t>MUHAMMAD RAFI RAMDHANI</t>
  </si>
  <si>
    <t>MUHAMMAD RAIHAN AL-GHIFARI</t>
  </si>
  <si>
    <t>MUHAMMAD RHAFLY KHASYI SOFYAN</t>
  </si>
  <si>
    <t>MUHAMMAD RIZAL FIRMANSYAH</t>
  </si>
  <si>
    <t>MUHAMMAD SADAM AMANULLAH</t>
  </si>
  <si>
    <t>MUHAMMAD SULTHON RASYIDDIN</t>
  </si>
  <si>
    <t>MUHAMMAD YAZID SHIDIQ</t>
  </si>
  <si>
    <t>MUTIA RAHMA JELITA</t>
  </si>
  <si>
    <t>MUTIARA YAMANDA PUTRI</t>
  </si>
  <si>
    <t>NABILA DESTIANI</t>
  </si>
  <si>
    <t>NABILA FIBRIYANTINI</t>
  </si>
  <si>
    <t>NABILA ISTI NADHIAN</t>
  </si>
  <si>
    <t>NABILA NUR OKTAVIANI</t>
  </si>
  <si>
    <t>NABILA PUTRI ALISHA</t>
  </si>
  <si>
    <t>NADIA PUSPITA CINTIA BELLA</t>
  </si>
  <si>
    <t>NADIA TRI RACHMAWATI</t>
  </si>
  <si>
    <t>NADILA NUR PAUZIAH</t>
  </si>
  <si>
    <t>NAFIIS AHMAD RABBANI</t>
  </si>
  <si>
    <t>NAIA NURKHOLIDA</t>
  </si>
  <si>
    <t>NAILA SABILA RYZQA</t>
  </si>
  <si>
    <t>NAJMI KHAIRI ATHARIQ</t>
  </si>
  <si>
    <t>NATHANIA RAMADHANTY</t>
  </si>
  <si>
    <t>NAUFAL ZAHRAN FADHLURROHMAN</t>
  </si>
  <si>
    <t>NAWAFIANSYAH SUGIH HARTA</t>
  </si>
  <si>
    <t>NAYLA ZAHRA HERTYANI</t>
  </si>
  <si>
    <t>NAZMI ALFIAH</t>
  </si>
  <si>
    <t>NAZWA FADLILATU MUTHMAINNAH</t>
  </si>
  <si>
    <t>NAZWA PUTRI WIDODO</t>
  </si>
  <si>
    <t>NAZWA SABRINA</t>
  </si>
  <si>
    <t>NENG MAULINA SARI DEWI</t>
  </si>
  <si>
    <t>NESYA DZIKRIYA DANE PRATAMA</t>
  </si>
  <si>
    <t>NINDA NABILLA DWIPUTRI</t>
  </si>
  <si>
    <t>NISRINA NURAINI</t>
  </si>
  <si>
    <t>NOUVAL SYAWALDIN ISMAIL</t>
  </si>
  <si>
    <t>NOVITA ANGGRAENI MULYONO</t>
  </si>
  <si>
    <t>NUR ALYA</t>
  </si>
  <si>
    <t>NUR AZIZAH SARI DEWI</t>
  </si>
  <si>
    <t>NUR AZIZUL HAKIM LINTANG</t>
  </si>
  <si>
    <t>NURUL AZIZAH</t>
  </si>
  <si>
    <t>NURUL AZMI AULIA</t>
  </si>
  <si>
    <t>NURUL BILLA LYANWAR</t>
  </si>
  <si>
    <t>NURUL MAHARANI</t>
  </si>
  <si>
    <t>PIKRI ABDUL SIDIK</t>
  </si>
  <si>
    <t>PRADITA ANANKA</t>
  </si>
  <si>
    <t>PRIMANADA SEVILIANI BASRI</t>
  </si>
  <si>
    <t>PRITA MEIDIANA</t>
  </si>
  <si>
    <t>PUTRA PRATAMA RAMADLAN</t>
  </si>
  <si>
    <t>PUTRI INTAN NURAINI</t>
  </si>
  <si>
    <t>PUTRI MALIKA AZZAHRA</t>
  </si>
  <si>
    <t>PUTRI NABIILAH AWWALIYAH</t>
  </si>
  <si>
    <t>QANITA SALMA NURWAFDILLAH</t>
  </si>
  <si>
    <t>RADEN KESYA NATALI</t>
  </si>
  <si>
    <t>RAFFY MOCHAMMAD JULYANSYAH</t>
  </si>
  <si>
    <t>RAFFY VENERDI GIUGNO PUTRA EMIRZA</t>
  </si>
  <si>
    <t>RAFI FAUZAN RIZQULLAH</t>
  </si>
  <si>
    <t>RAHMA AYU OCTAVIANI</t>
  </si>
  <si>
    <t>RAHMA LUTFIANI</t>
  </si>
  <si>
    <t>RAHMA TIYASTA PUTRI</t>
  </si>
  <si>
    <t>RAJWAA SALSABILA</t>
  </si>
  <si>
    <t>RAKA ADRIAN LUKMANA</t>
  </si>
  <si>
    <t>RAKHA AKBAR PUTRA PURNAMA</t>
  </si>
  <si>
    <t>RAMEYZA RAFEYFA</t>
  </si>
  <si>
    <t>RANA GRAHA RAMADHANA</t>
  </si>
  <si>
    <t>RASENDRIYA SALMA</t>
  </si>
  <si>
    <t>RATNA FITRIANA KUSUMA DEWI</t>
  </si>
  <si>
    <t>RAVA AMESTA</t>
  </si>
  <si>
    <t>RAY HANDI HILAL TECTONICO SATRIO</t>
  </si>
  <si>
    <t>RAY SAPTAJI NUR RIFA`I</t>
  </si>
  <si>
    <t>RAYFAN APRILIANSYAH</t>
  </si>
  <si>
    <t>RAZA KHAIRULLAH NABHANI</t>
  </si>
  <si>
    <t>RAZWA ANGGIA AFRIANI HENDRI</t>
  </si>
  <si>
    <t>REFAL RISKI RAMADHAN</t>
  </si>
  <si>
    <t>REGAN TSAAQIF ARSELAN</t>
  </si>
  <si>
    <t>RELDI MUHAMAD RUSTAMAN</t>
  </si>
  <si>
    <t>RENALDI MUHAMMAD RAMDHAN</t>
  </si>
  <si>
    <t>RENDI SAPUTRA</t>
  </si>
  <si>
    <t>RESTU PEBRIYANSYAH</t>
  </si>
  <si>
    <t>REVA SALSA AGUSTINA</t>
  </si>
  <si>
    <t>REVANY INDAH PRATIWI</t>
  </si>
  <si>
    <t>REZA ZALFA MEYRA</t>
  </si>
  <si>
    <t>REZAL DWI ARDIANSYAH</t>
  </si>
  <si>
    <t>RIANISA NAMIRA ASRI</t>
  </si>
  <si>
    <t>RIDWAN GALIH PRATAMA</t>
  </si>
  <si>
    <t>RIDWAN ROMADAN</t>
  </si>
  <si>
    <t>RIFA MARDIANA</t>
  </si>
  <si>
    <t>RIFKY SAPUTRA MAYLANDRA</t>
  </si>
  <si>
    <t>RIFQI ATHA DWI FAHREZI</t>
  </si>
  <si>
    <t>RIKA KURNIA RAHMAWATI</t>
  </si>
  <si>
    <t>RINA YULIAWATI</t>
  </si>
  <si>
    <t>RINDANG KAUTSAR AMALIA</t>
  </si>
  <si>
    <t>RISKY FAJAR MAULANA</t>
  </si>
  <si>
    <t>RIVAL RIZQI SULAEMAN</t>
  </si>
  <si>
    <t>RIVAN PRIATNA</t>
  </si>
  <si>
    <t>RIYAD BAHARI</t>
  </si>
  <si>
    <t>RIZAL NUR AULIA AMIR SAPUTRA</t>
  </si>
  <si>
    <t>RIZKA KHAIRUNNISA</t>
  </si>
  <si>
    <t>RIZKI AKBAR MAULANA</t>
  </si>
  <si>
    <t>RIZKI MUHAMAD FAUZI</t>
  </si>
  <si>
    <t>RIZKI RAMADHAN</t>
  </si>
  <si>
    <t>RIZKY DIMAS SAFARIEL</t>
  </si>
  <si>
    <t>ROBBI ROFI`I</t>
  </si>
  <si>
    <t>RYO SAEBA ARSYAH YUNUS</t>
  </si>
  <si>
    <t>SAFITRI RAFA NAURA</t>
  </si>
  <si>
    <t>SAKTIAWAN FATHIR WIJAYA</t>
  </si>
  <si>
    <t>SALMA OCTAVIA RAMADHANI</t>
  </si>
  <si>
    <t>SALSABILA</t>
  </si>
  <si>
    <t>SALSABILLAH</t>
  </si>
  <si>
    <t>SALWA ALYA UTAMA</t>
  </si>
  <si>
    <t>SALWA NADIRA</t>
  </si>
  <si>
    <t>SAMMY AL FIKRI</t>
  </si>
  <si>
    <t>SANIA RAMADHANI</t>
  </si>
  <si>
    <t>SARAH SITI SHALSABILA</t>
  </si>
  <si>
    <t>SELVI AZIBAH</t>
  </si>
  <si>
    <t>SEPTIAN NURUL MUSLIM</t>
  </si>
  <si>
    <t>SESKY NAVISA SALSABIL</t>
  </si>
  <si>
    <t>SHADIVA ANGGELITA</t>
  </si>
  <si>
    <t>SHADRINA NURAZIZAH</t>
  </si>
  <si>
    <t>SHAHLA NURAZIZA</t>
  </si>
  <si>
    <t>SHELA NURAINI JULIANTI</t>
  </si>
  <si>
    <t>SHERILL AULIA</t>
  </si>
  <si>
    <t>SHERINA DWI RAMADHANI</t>
  </si>
  <si>
    <t>SHIFA ARA RAMADHANI</t>
  </si>
  <si>
    <t>SILMA NURRUSSIVA</t>
  </si>
  <si>
    <t>SINTA RAHMAWATI</t>
  </si>
  <si>
    <t>SITI MADILA</t>
  </si>
  <si>
    <t>SITI NAJWA NURUL LAILI</t>
  </si>
  <si>
    <t>SITI PUSPITA SARI</t>
  </si>
  <si>
    <t>SOFI RAHMAWATI</t>
  </si>
  <si>
    <t>SRI WAHYUNI</t>
  </si>
  <si>
    <t>SULTAN MUHAMMAD DHAFIN</t>
  </si>
  <si>
    <t>SYABILA NISA NURMALA</t>
  </si>
  <si>
    <t>SYAHRUL MUHIBBIN</t>
  </si>
  <si>
    <t>SYAHRUL QIYAM MAULANA ZEIN</t>
  </si>
  <si>
    <t>SYAKILA AIDHA PRATIWI</t>
  </si>
  <si>
    <t>SYAM TEGARILAHY</t>
  </si>
  <si>
    <t>SYIFA MUTIARA AZZAHRA</t>
  </si>
  <si>
    <t>SYIFA WAFI DIYA</t>
  </si>
  <si>
    <t>TAMAM HISABULAH</t>
  </si>
  <si>
    <t>TASYA ROSALINA</t>
  </si>
  <si>
    <t>TAUFIK ISMAIL</t>
  </si>
  <si>
    <t>TEGAR HARYADI</t>
  </si>
  <si>
    <t>THARIQ SATRIA FATHULLOH</t>
  </si>
  <si>
    <t>TIA DESVITA MAHARANI</t>
  </si>
  <si>
    <t>TIA NURUL ALAWIYAH</t>
  </si>
  <si>
    <t>TIARA AZ-ZAHRA</t>
  </si>
  <si>
    <t>TIARA SHIFA ANJANI</t>
  </si>
  <si>
    <t>TIYO NURUL PERMANA</t>
  </si>
  <si>
    <t>TRESNA BUDI</t>
  </si>
  <si>
    <t>TUBAGUS MUHAMMAD AKHTAR AL-KAUTSAR</t>
  </si>
  <si>
    <t>VANIA NAYSHELLA SEPTIANI</t>
  </si>
  <si>
    <t>VASYA THABARANI</t>
  </si>
  <si>
    <t>VAUREL ALGHANIE PUTRA</t>
  </si>
  <si>
    <t>VIKA AMALIA SUBEKTI</t>
  </si>
  <si>
    <t>VIRGIANO FADHIL</t>
  </si>
  <si>
    <t>VRISMAN SULAKSANA</t>
  </si>
  <si>
    <t>WANDA SHAUMIA MUTHMAINNAH</t>
  </si>
  <si>
    <t>WILDAN MUHAMMAD SAWWA</t>
  </si>
  <si>
    <t>WILDAN ROPI</t>
  </si>
  <si>
    <t>WISNU ARIF SAPUTRA</t>
  </si>
  <si>
    <t>WULAN RAMADHANI</t>
  </si>
  <si>
    <t>YAOMI FILAILY WIBISONO</t>
  </si>
  <si>
    <t>YOAN SYAHLA TALITHA</t>
  </si>
  <si>
    <t>YOLITA DWI SILVIANI PUTRI</t>
  </si>
  <si>
    <t>YULISTIA</t>
  </si>
  <si>
    <t>YUSUF AGUNG SETIABUDI</t>
  </si>
  <si>
    <t>YUSUF PRAJA SOMANTRI</t>
  </si>
  <si>
    <t>ZAHRA JAISY ANANDITA</t>
  </si>
  <si>
    <t>ZAHRA SAFITRI</t>
  </si>
  <si>
    <t>ZAINAL MAULANA</t>
  </si>
  <si>
    <t>ZAIRA AQILA PUTRI ARSALAN</t>
  </si>
  <si>
    <t>ZALFA FAZARI IRWANSYAH</t>
  </si>
  <si>
    <t>ZALFA MUHAMMAD FAYYAZ</t>
  </si>
  <si>
    <t>ZASKIA FAMALINA</t>
  </si>
  <si>
    <t>ZIDAN AMRU ARIF</t>
  </si>
  <si>
    <t>ZULFAN FIRDAUS</t>
  </si>
  <si>
    <t>Kls/No</t>
  </si>
  <si>
    <t>Kls/Jur</t>
  </si>
  <si>
    <t>Jur</t>
  </si>
  <si>
    <t>Kls/LP</t>
  </si>
  <si>
    <t>ket</t>
  </si>
  <si>
    <t>Agama</t>
  </si>
  <si>
    <t>AK</t>
  </si>
  <si>
    <t>XI AK</t>
  </si>
  <si>
    <t>ISLAM</t>
  </si>
  <si>
    <t>XI</t>
  </si>
  <si>
    <t>2002-08-08</t>
  </si>
  <si>
    <t>2004-07-07</t>
  </si>
  <si>
    <t>2004-08-18</t>
  </si>
  <si>
    <t>XLIslam</t>
  </si>
  <si>
    <t>2004-07-22</t>
  </si>
  <si>
    <t>XILIslam</t>
  </si>
  <si>
    <t>2004-03-20</t>
  </si>
  <si>
    <t>XIPIslam</t>
  </si>
  <si>
    <t>2004-08-03</t>
  </si>
  <si>
    <t>XIILIslam</t>
  </si>
  <si>
    <t>2005-04-13</t>
  </si>
  <si>
    <t>XIIPIslam</t>
  </si>
  <si>
    <t>2004-06-06</t>
  </si>
  <si>
    <t>XIIILIslam</t>
  </si>
  <si>
    <t>2005-03-23</t>
  </si>
  <si>
    <t>XIIIPIslam</t>
  </si>
  <si>
    <t>2005-07-03</t>
  </si>
  <si>
    <t>XLKristen</t>
  </si>
  <si>
    <t>2005-04-17</t>
  </si>
  <si>
    <t>XPKristen</t>
  </si>
  <si>
    <t>2005-02-12</t>
  </si>
  <si>
    <t>XILKristen</t>
  </si>
  <si>
    <t>2005-07-26</t>
  </si>
  <si>
    <t>XIPKristen</t>
  </si>
  <si>
    <t>2005-06-13</t>
  </si>
  <si>
    <t>XIILKristen</t>
  </si>
  <si>
    <t>2005-07-14</t>
  </si>
  <si>
    <t>XIIPKristen</t>
  </si>
  <si>
    <t>2004-08-27</t>
  </si>
  <si>
    <t>XIIILKristen</t>
  </si>
  <si>
    <t>2005-07-22</t>
  </si>
  <si>
    <t>XIIIPKristen</t>
  </si>
  <si>
    <t>2005-02-19</t>
  </si>
  <si>
    <t>XLKatholik</t>
  </si>
  <si>
    <t>2005-03-28</t>
  </si>
  <si>
    <t>XPKatholik</t>
  </si>
  <si>
    <t>2004-12-04</t>
  </si>
  <si>
    <t>XILKatholik</t>
  </si>
  <si>
    <t>2005-05-03</t>
  </si>
  <si>
    <t>XIPKatholik</t>
  </si>
  <si>
    <t>2005-10-20</t>
  </si>
  <si>
    <t>XIILKatholik</t>
  </si>
  <si>
    <t>XIIPKatholik</t>
  </si>
  <si>
    <t>2005-09-11</t>
  </si>
  <si>
    <t>XIIILKatholik</t>
  </si>
  <si>
    <t>2004-06-09</t>
  </si>
  <si>
    <t>XIIIPKatholik</t>
  </si>
  <si>
    <t>2005-01-11</t>
  </si>
  <si>
    <t>XLProtestan</t>
  </si>
  <si>
    <t>2004-12-31</t>
  </si>
  <si>
    <t>XPProtestan</t>
  </si>
  <si>
    <t>2004-11-28</t>
  </si>
  <si>
    <t>XILProtestan</t>
  </si>
  <si>
    <t>2005-02-22</t>
  </si>
  <si>
    <t>XIPProtestan</t>
  </si>
  <si>
    <t>2005-03-24</t>
  </si>
  <si>
    <t>XIILProtestan</t>
  </si>
  <si>
    <t>2005-04-30</t>
  </si>
  <si>
    <t>XIIPProtestan</t>
  </si>
  <si>
    <t>2004-08-13</t>
  </si>
  <si>
    <t>XIIILProtestan</t>
  </si>
  <si>
    <t>2004-03-15</t>
  </si>
  <si>
    <t>XIIIPProtestan</t>
  </si>
  <si>
    <t>2005-01-13</t>
  </si>
  <si>
    <t>2005-09-20</t>
  </si>
  <si>
    <t>2005-01-29</t>
  </si>
  <si>
    <t>2004-09-13</t>
  </si>
  <si>
    <t>2004-12-05</t>
  </si>
  <si>
    <t>2005-03-16</t>
  </si>
  <si>
    <t>2005-03-29</t>
  </si>
  <si>
    <t>2004-12-09</t>
  </si>
  <si>
    <t>2006-01-16</t>
  </si>
  <si>
    <t>2005-06-21</t>
  </si>
  <si>
    <t>2004-10-17</t>
  </si>
  <si>
    <t>2005-05-23</t>
  </si>
  <si>
    <t>2005-05-01</t>
  </si>
  <si>
    <t>2005-02-15</t>
  </si>
  <si>
    <t>2004-09-26</t>
  </si>
  <si>
    <t>2004-11-02</t>
  </si>
  <si>
    <t>2005-09-08</t>
  </si>
  <si>
    <t>2005-05-07</t>
  </si>
  <si>
    <t>2004-05-11</t>
  </si>
  <si>
    <t>HINDU</t>
  </si>
  <si>
    <t>2004-11-05</t>
  </si>
  <si>
    <t>2005-04-26</t>
  </si>
  <si>
    <t>2005-08-23</t>
  </si>
  <si>
    <t>2005-11-08</t>
  </si>
  <si>
    <t>2005-08-10</t>
  </si>
  <si>
    <t>2004-12-21</t>
  </si>
  <si>
    <t>2005-05-20</t>
  </si>
  <si>
    <t>2005-03-02</t>
  </si>
  <si>
    <t>2005-03-18</t>
  </si>
  <si>
    <t>2004-09-08</t>
  </si>
  <si>
    <t>2004-10-07</t>
  </si>
  <si>
    <t>2004-11-18</t>
  </si>
  <si>
    <t>2004-10-25</t>
  </si>
  <si>
    <t>2005-02-23</t>
  </si>
  <si>
    <t>2004-07-09</t>
  </si>
  <si>
    <t>2004-12-16</t>
  </si>
  <si>
    <t>2005-05-29</t>
  </si>
  <si>
    <t>2006-07-23</t>
  </si>
  <si>
    <t>2005-01-21</t>
  </si>
  <si>
    <t>2004-11-29</t>
  </si>
  <si>
    <t>2004-09-02</t>
  </si>
  <si>
    <t>2005-01-25</t>
  </si>
  <si>
    <t>2005-05-30</t>
  </si>
  <si>
    <t>2004-05-22</t>
  </si>
  <si>
    <t>2004-10-15</t>
  </si>
  <si>
    <t>2005-06-03</t>
  </si>
  <si>
    <t>2004-07-29</t>
  </si>
  <si>
    <t>2005-04-08</t>
  </si>
  <si>
    <t>2005-07-09</t>
  </si>
  <si>
    <t>2005-04-20</t>
  </si>
  <si>
    <t>2005-03-22</t>
  </si>
  <si>
    <t>2005-05-08</t>
  </si>
  <si>
    <t>Islam</t>
  </si>
  <si>
    <t>2005-01-01</t>
  </si>
  <si>
    <t>KRISTEN</t>
  </si>
  <si>
    <t>2005-01-14</t>
  </si>
  <si>
    <t>SHEILA AYU YASYFA</t>
  </si>
  <si>
    <t>2005-08-03</t>
  </si>
  <si>
    <t>2004-02-02</t>
  </si>
  <si>
    <t>2005-05-26</t>
  </si>
  <si>
    <t>2005-04-06</t>
  </si>
  <si>
    <t>2005-08-18</t>
  </si>
  <si>
    <t>2005-05-21</t>
  </si>
  <si>
    <t>2004-12-27</t>
  </si>
  <si>
    <t>2004-10-02</t>
  </si>
  <si>
    <t>2007-10-09</t>
  </si>
  <si>
    <t>2005-06-12</t>
  </si>
  <si>
    <t>2005-10-06</t>
  </si>
  <si>
    <t>2004-12-29</t>
  </si>
  <si>
    <t>2005-06-19</t>
  </si>
  <si>
    <t>2004-06-21</t>
  </si>
  <si>
    <t>2005-01-24</t>
  </si>
  <si>
    <t>2005-02-24</t>
  </si>
  <si>
    <t>2004-07-01</t>
  </si>
  <si>
    <t>2004-10-22</t>
  </si>
  <si>
    <t>2005-06-26</t>
  </si>
  <si>
    <t>2004-04-17</t>
  </si>
  <si>
    <t>2005-11-27</t>
  </si>
  <si>
    <t>2005-09-05</t>
  </si>
  <si>
    <t>2004-10-11</t>
  </si>
  <si>
    <t>2004-11-16</t>
  </si>
  <si>
    <t>2005-03-09</t>
  </si>
  <si>
    <t>2004-07-26</t>
  </si>
  <si>
    <t>2005-04-01</t>
  </si>
  <si>
    <t>2005-11-25</t>
  </si>
  <si>
    <t>2004-08-14</t>
  </si>
  <si>
    <t>2005-03-21</t>
  </si>
  <si>
    <t>2004-12-15</t>
  </si>
  <si>
    <t>2004-08-16</t>
  </si>
  <si>
    <t>2005-09-28</t>
  </si>
  <si>
    <t>2005-02-27</t>
  </si>
  <si>
    <t>2005-01-06</t>
  </si>
  <si>
    <t>2004-03-05</t>
  </si>
  <si>
    <t>2004-04-04</t>
  </si>
  <si>
    <t>2004-08-28</t>
  </si>
  <si>
    <t>2005-09-12</t>
  </si>
  <si>
    <t>2005-07-16</t>
  </si>
  <si>
    <t>2006-01-24</t>
  </si>
  <si>
    <t>2005-02-14</t>
  </si>
  <si>
    <t>2005-01-15</t>
  </si>
  <si>
    <t>2004-12-02</t>
  </si>
  <si>
    <t>2003-04-18</t>
  </si>
  <si>
    <t>2005-03-08</t>
  </si>
  <si>
    <t>2005-08-01</t>
  </si>
  <si>
    <t>2004-10-10</t>
  </si>
  <si>
    <t>2004-06-30</t>
  </si>
  <si>
    <t>2004-09-04</t>
  </si>
  <si>
    <t>2005-06-09</t>
  </si>
  <si>
    <t>2004-11-26</t>
  </si>
  <si>
    <t>2004-10-27</t>
  </si>
  <si>
    <t>2005-05-06</t>
  </si>
  <si>
    <t>2004-08-25</t>
  </si>
  <si>
    <t>2005-05-02</t>
  </si>
  <si>
    <t>2004-06-24</t>
  </si>
  <si>
    <t>2005-07-20</t>
  </si>
  <si>
    <t>2005-01-08</t>
  </si>
  <si>
    <t>2004-07-03</t>
  </si>
  <si>
    <t>2004-09-14</t>
  </si>
  <si>
    <t>2005-02-13</t>
  </si>
  <si>
    <t>2005-04-11</t>
  </si>
  <si>
    <t>2005-06-17</t>
  </si>
  <si>
    <t>2004-10-09</t>
  </si>
  <si>
    <t>2004-05-09</t>
  </si>
  <si>
    <t>RAIHANA NISA AZ - ZAHRA</t>
  </si>
  <si>
    <t>2005-08-26</t>
  </si>
  <si>
    <t>2004-09-10</t>
  </si>
  <si>
    <t>2005-06-25</t>
  </si>
  <si>
    <t>2004-09-16</t>
  </si>
  <si>
    <t>2004-08-17</t>
  </si>
  <si>
    <t>2004-12-30</t>
  </si>
  <si>
    <t>2005-01-28</t>
  </si>
  <si>
    <t>2004-07-27</t>
  </si>
  <si>
    <t>2004-10-21</t>
  </si>
  <si>
    <t>2005-01-22</t>
  </si>
  <si>
    <t>2004-08-07</t>
  </si>
  <si>
    <t>2004-07-10</t>
  </si>
  <si>
    <t>2004-12-08</t>
  </si>
  <si>
    <t>.</t>
  </si>
  <si>
    <t>PRESENSI SISWA</t>
  </si>
  <si>
    <t>Windy Novia Anggraeni, S.Si</t>
  </si>
  <si>
    <t>Neneng Suhartini, S.Si</t>
  </si>
  <si>
    <t>KELAS KOSEN</t>
  </si>
  <si>
    <t>Sabila Fauzia, S.PD</t>
  </si>
  <si>
    <t>WALI KELAS :</t>
  </si>
  <si>
    <t>NO</t>
  </si>
  <si>
    <t>NIS / NISN</t>
  </si>
  <si>
    <t>PERTEMUAN</t>
  </si>
  <si>
    <t>Titin Siti Halimah, S.Pd</t>
  </si>
  <si>
    <t>Desta Mulyanti, S. Sn</t>
  </si>
  <si>
    <t>Sudarmi, M.Pd</t>
  </si>
  <si>
    <t>Kania Dewi Waluya, S.Kom</t>
  </si>
  <si>
    <t>Dena Handriana, M. Pd</t>
  </si>
  <si>
    <t>Jaya Sumpena, M.KOM</t>
  </si>
  <si>
    <t>Iah Robiah, S.Pd</t>
  </si>
  <si>
    <t>Ade Hartono, S.Pd</t>
  </si>
  <si>
    <t>Dini Karomna, S.Pd</t>
  </si>
  <si>
    <t>Dra. Mimy Ardiany, M.Pd</t>
  </si>
  <si>
    <t>Lia Yulianti, S.Pd</t>
  </si>
  <si>
    <t xml:space="preserve"> </t>
  </si>
  <si>
    <t>Sarinah Br Ginting, M.Pd</t>
  </si>
  <si>
    <t>Nogi Muharam, S.Kom</t>
  </si>
  <si>
    <t>Imannudin Akbar, S.TP, M.KOM</t>
  </si>
  <si>
    <t>Regina Fitrie, S.Pd</t>
  </si>
  <si>
    <t>Nur Fauziah Rahmawati, S.Pd</t>
  </si>
  <si>
    <t>Dadan Rukma Dian Dawan, S.Pd</t>
  </si>
  <si>
    <t>Anggita Septiani, S.TP, M.PD</t>
  </si>
  <si>
    <t xml:space="preserve">Rukmana. S.Pd.I </t>
  </si>
  <si>
    <t>Sugiyatmi, S.Si</t>
  </si>
  <si>
    <t>Dra. Weni Asmaraeni</t>
  </si>
  <si>
    <t>Indirasari P, M.ED</t>
  </si>
  <si>
    <t>Ruhya, S.Ag, M.M.Pd</t>
  </si>
  <si>
    <t>Nofa Nirawati, S.Pd,M.T</t>
  </si>
  <si>
    <t>Muchamad Harry Ismail, S.Tr.Kom., M.M</t>
  </si>
  <si>
    <t>Rini Dwiwahyuni, S.Pd</t>
  </si>
  <si>
    <t>Pratiwi, S.SI, GR</t>
  </si>
  <si>
    <t>Syafitri K Arief, S.Pd., M.T</t>
  </si>
  <si>
    <t>Ujang Suhara, S.PD</t>
  </si>
  <si>
    <t>Cecep Suryana, S.SI</t>
  </si>
  <si>
    <t xml:space="preserve">                 </t>
  </si>
  <si>
    <t>Dra. Rahmi Dalilah Fitrianni</t>
  </si>
  <si>
    <t>Drs. Otong Nugraha, M.Si</t>
  </si>
  <si>
    <t>Octavina Sopamena, M.Pd</t>
  </si>
  <si>
    <t>JUMLAH</t>
  </si>
  <si>
    <t>`</t>
  </si>
  <si>
    <t>LAKI-LAKI</t>
  </si>
  <si>
    <t>Walikelas</t>
  </si>
  <si>
    <t>PEREMPUAN</t>
  </si>
  <si>
    <t>KETERANGAN</t>
  </si>
  <si>
    <t>S : Sakit</t>
  </si>
  <si>
    <t>A : Alpa</t>
  </si>
  <si>
    <t>I  : Izin</t>
  </si>
  <si>
    <t xml:space="preserve">          </t>
  </si>
  <si>
    <t>Guru Mata Pelajaran</t>
  </si>
  <si>
    <t>DATA SISWA SMK NEGERI 13 BANDUNG</t>
  </si>
  <si>
    <t>BERDASARKAN USIA</t>
  </si>
  <si>
    <t>TAHUN AJARAN 2020-2021</t>
  </si>
  <si>
    <t>UMUR</t>
  </si>
  <si>
    <t>KELAS X</t>
  </si>
  <si>
    <t>KELAS XI</t>
  </si>
  <si>
    <t>KELAS XII</t>
  </si>
  <si>
    <t>KELAS XIII</t>
  </si>
  <si>
    <t>L+P</t>
  </si>
  <si>
    <t>&lt; =13 Tahun</t>
  </si>
  <si>
    <t>14 Tahun</t>
  </si>
  <si>
    <t>15 Tahun</t>
  </si>
  <si>
    <t>16 Tahun</t>
  </si>
  <si>
    <t>17 Tahun</t>
  </si>
  <si>
    <t>18 Tahun</t>
  </si>
  <si>
    <t>19 Tahun</t>
  </si>
  <si>
    <t>20 Tahun</t>
  </si>
  <si>
    <t>BANDUNG, JUNI 2020</t>
  </si>
  <si>
    <t>MENGETAHUI</t>
  </si>
  <si>
    <t>KEPALA SEKOLAH,</t>
  </si>
  <si>
    <t>INO SOPRANO, S.Pd, M.M.Pd</t>
  </si>
  <si>
    <t>NIP. 196307081987031009</t>
  </si>
  <si>
    <t>BERDASARKAN AGAMA</t>
  </si>
  <si>
    <t>TAHUN AJARAN 2020/2021</t>
  </si>
  <si>
    <t>KELAS</t>
  </si>
  <si>
    <t>KATHOLIK</t>
  </si>
  <si>
    <t>PROTESTAN</t>
  </si>
  <si>
    <t>JUMLAH TOTAL</t>
  </si>
  <si>
    <t>X</t>
  </si>
  <si>
    <t>XII</t>
  </si>
  <si>
    <t>XIII</t>
  </si>
  <si>
    <t>0076650474</t>
  </si>
  <si>
    <t>ADAM ALIF NURAHNAF SYAIFUDIN</t>
  </si>
  <si>
    <t>0086535292</t>
  </si>
  <si>
    <t>ALIFA SYAKINA</t>
  </si>
  <si>
    <t>0073643663</t>
  </si>
  <si>
    <t>ALIYA KHAIRUNNISA</t>
  </si>
  <si>
    <t>0089316539</t>
  </si>
  <si>
    <t>ALYA TRI CAHYANI</t>
  </si>
  <si>
    <t>0075977264</t>
  </si>
  <si>
    <t>AYU SYIFA AL FIYANI</t>
  </si>
  <si>
    <t>0074316539</t>
  </si>
  <si>
    <t>DARIN SYAKIRA MARDHIYA</t>
  </si>
  <si>
    <t>0077024892</t>
  </si>
  <si>
    <t>DEMAS PRAYUDHA LUTHFIANTO</t>
  </si>
  <si>
    <t>0075115777</t>
  </si>
  <si>
    <t>DEWI SRI RAHAYU</t>
  </si>
  <si>
    <t>0089847230</t>
  </si>
  <si>
    <t>DINA LATHIFAH ATHIRAH AZHAR</t>
  </si>
  <si>
    <t>0087993601</t>
  </si>
  <si>
    <t>DINDA DAMAYANTI</t>
  </si>
  <si>
    <t>0083121409</t>
  </si>
  <si>
    <t>DZULFIKAR AHMAD</t>
  </si>
  <si>
    <t>0076487771</t>
  </si>
  <si>
    <t>EVI RAHMAWATI</t>
  </si>
  <si>
    <t>0083861812</t>
  </si>
  <si>
    <t>FACHRI MUHAMMAD</t>
  </si>
  <si>
    <t>0073444383</t>
  </si>
  <si>
    <t>FAUZIA LUTHFI ATHAILLAH</t>
  </si>
  <si>
    <t>0086597062</t>
  </si>
  <si>
    <t>FIANTIKA DWI IRAWAN</t>
  </si>
  <si>
    <t>0088168979</t>
  </si>
  <si>
    <t>KAYLA ANANDITA PUTRI</t>
  </si>
  <si>
    <t>0075463246</t>
  </si>
  <si>
    <t>KAYLA QOLBY LIYYAL KHAIRA</t>
  </si>
  <si>
    <t>0071783553</t>
  </si>
  <si>
    <t>KAYLA RAHADHATUL AISY</t>
  </si>
  <si>
    <t>0082007607</t>
  </si>
  <si>
    <t>KHAIRANI NAZWA ALIYYA MUTTAQIN SYAH</t>
  </si>
  <si>
    <t>0087008346</t>
  </si>
  <si>
    <t>LUTHFI LATIEFAH NUR JAMEELA</t>
  </si>
  <si>
    <t>0082388418</t>
  </si>
  <si>
    <t>MAHYRA ZAHRA PURNAMA</t>
  </si>
  <si>
    <t>0088620854</t>
  </si>
  <si>
    <t>MEYLINDA PUTRI SANTIKA</t>
  </si>
  <si>
    <t>0082811386</t>
  </si>
  <si>
    <t>MIRZA ARIEL FEBY KAVALERI</t>
  </si>
  <si>
    <t>0072159565</t>
  </si>
  <si>
    <t>MUHAMMAD MULKI HAKIM</t>
  </si>
  <si>
    <t>0076284245</t>
  </si>
  <si>
    <t>NAILAH AGHNIYA TAFIDAH</t>
  </si>
  <si>
    <t>0078016724</t>
  </si>
  <si>
    <t>PRISHA KHAIRUNISA NA'IEMAH</t>
  </si>
  <si>
    <t>0085595699</t>
  </si>
  <si>
    <t>PUTRI RISMAYANTI MUHTARI</t>
  </si>
  <si>
    <t>0071854052</t>
  </si>
  <si>
    <t>RASYA SYAHID ARROYAN</t>
  </si>
  <si>
    <t>0074233228</t>
  </si>
  <si>
    <t>RATU PUTRIDEWI NURRAHMAN</t>
  </si>
  <si>
    <t>0081133852</t>
  </si>
  <si>
    <t>RIF'AT FADILAH</t>
  </si>
  <si>
    <t>3078294883</t>
  </si>
  <si>
    <t>RIRIN WIDYA AJAHRA</t>
  </si>
  <si>
    <t>0078892846</t>
  </si>
  <si>
    <t>RISALAH MUAWIYAH</t>
  </si>
  <si>
    <t>0086108062</t>
  </si>
  <si>
    <t>SAHLAN AHMAD FAUZAAN</t>
  </si>
  <si>
    <t>0075938192</t>
  </si>
  <si>
    <t>SATRIA RIZKI SAPUTRA</t>
  </si>
  <si>
    <t>0086799792</t>
  </si>
  <si>
    <t>ZAHVA KHALLISBOA</t>
  </si>
  <si>
    <t>3085051012</t>
  </si>
  <si>
    <t>ABI FIKRI MEDI ALFARISI</t>
  </si>
  <si>
    <t>0073567964</t>
  </si>
  <si>
    <t>ALIFIA NUR OKTAVIANI</t>
  </si>
  <si>
    <t>0083465238</t>
  </si>
  <si>
    <t>ALIKA AYU SALSABILA</t>
  </si>
  <si>
    <t>0083222975</t>
  </si>
  <si>
    <t>ALMA ANDRIANA</t>
  </si>
  <si>
    <t>0074840659</t>
  </si>
  <si>
    <t>ALTIANA RYNOVA AWWALIA</t>
  </si>
  <si>
    <t>0076654942</t>
  </si>
  <si>
    <t>ANISA AULIA PUTRI</t>
  </si>
  <si>
    <t>0073463134</t>
  </si>
  <si>
    <t>ATHAYA MAGANI INDRASTA</t>
  </si>
  <si>
    <t>0081408458</t>
  </si>
  <si>
    <t>AZRA AURA RAHMANIA</t>
  </si>
  <si>
    <t>0087221131</t>
  </si>
  <si>
    <t>AZRA KHAYLA RAMADHANI FERDINAND</t>
  </si>
  <si>
    <t>0085798636</t>
  </si>
  <si>
    <t>CIKAPARA SENJANI AWIRU</t>
  </si>
  <si>
    <t>0075839709</t>
  </si>
  <si>
    <t>DESFITA QEYLANI ISKANDAR</t>
  </si>
  <si>
    <t>0085379842</t>
  </si>
  <si>
    <t>DIMAS MAULANA ROKHMAN</t>
  </si>
  <si>
    <t>0082036680</t>
  </si>
  <si>
    <t>DIVANI ERIYANTI PUTRI</t>
  </si>
  <si>
    <t>0085343931</t>
  </si>
  <si>
    <t>GHAISANI HANANIA SAUSAN</t>
  </si>
  <si>
    <t>0075257725</t>
  </si>
  <si>
    <t>JECONIA FAUZI ASYAM</t>
  </si>
  <si>
    <t>0081320475</t>
  </si>
  <si>
    <t>JELITA LARAS SHANTY</t>
  </si>
  <si>
    <t>0081715088</t>
  </si>
  <si>
    <t>JIHAN ALFI NUR AZIZAH</t>
  </si>
  <si>
    <t>0071667824</t>
  </si>
  <si>
    <t>KEYSHA AURELIA PUTRI NUGRAHA</t>
  </si>
  <si>
    <t>0089247870</t>
  </si>
  <si>
    <t>MOCHAMAD RAYHAN PRATAMA</t>
  </si>
  <si>
    <t>0088331583</t>
  </si>
  <si>
    <t>MUHAMMAD FACHRY KOSWARA</t>
  </si>
  <si>
    <t>0085866723</t>
  </si>
  <si>
    <t>MUHAMMAD KAHTAN FATH</t>
  </si>
  <si>
    <t>0084094977</t>
  </si>
  <si>
    <t>MUHAMMAD MIKAEL</t>
  </si>
  <si>
    <t>0076436466</t>
  </si>
  <si>
    <t>NAOMI RASENDRIYA</t>
  </si>
  <si>
    <t>0075122729</t>
  </si>
  <si>
    <t>NOVELIA FITRI KURNIAN SYAH</t>
  </si>
  <si>
    <t>0088641135</t>
  </si>
  <si>
    <t>NYAYU KEISHA FAKHIRA ZAENUDIN</t>
  </si>
  <si>
    <t>0075641736</t>
  </si>
  <si>
    <t>PUPUT SRI RAHAYU</t>
  </si>
  <si>
    <t>0088615018</t>
  </si>
  <si>
    <t>RAKA NUGRAHA PUTRA PRATAMA</t>
  </si>
  <si>
    <t>0075507432</t>
  </si>
  <si>
    <t>REFFALIA MARAYA SANI</t>
  </si>
  <si>
    <t>0077007002</t>
  </si>
  <si>
    <t>RITA SURYANI</t>
  </si>
  <si>
    <t>0079635732</t>
  </si>
  <si>
    <t>RIZKI ALFARIZY</t>
  </si>
  <si>
    <t>0087009812</t>
  </si>
  <si>
    <t>SALWA</t>
  </si>
  <si>
    <t>0073418492</t>
  </si>
  <si>
    <t>SEYRA ADELIKA DESTYA</t>
  </si>
  <si>
    <t>0084133237</t>
  </si>
  <si>
    <t>SOFI SALSABILA MUGHNI</t>
  </si>
  <si>
    <t>0083676718</t>
  </si>
  <si>
    <t>SYEIRA PUTRI RAHAYU</t>
  </si>
  <si>
    <t>0077280204</t>
  </si>
  <si>
    <t>ANDHIKA OKTAVIAN HESKALUNA PUTRA</t>
  </si>
  <si>
    <t>0086626524</t>
  </si>
  <si>
    <t>ANDRA LUTHFI ABDURRAZZIIQ</t>
  </si>
  <si>
    <t>0084951585</t>
  </si>
  <si>
    <t>AQILA HASNA FADILAH</t>
  </si>
  <si>
    <t>0082555479</t>
  </si>
  <si>
    <t>ARDANI EKA SAPUTRA</t>
  </si>
  <si>
    <t>0083899515</t>
  </si>
  <si>
    <t>DAFFA HAFIZH LAUDZA'I</t>
  </si>
  <si>
    <t>0075630300</t>
  </si>
  <si>
    <t>DERA SEPTIANI</t>
  </si>
  <si>
    <t>0082801923</t>
  </si>
  <si>
    <t>DESY NURAINI</t>
  </si>
  <si>
    <t>0083015573</t>
  </si>
  <si>
    <t>FAIZ RAIHAN</t>
  </si>
  <si>
    <t>0079592277</t>
  </si>
  <si>
    <t>FALIQ ZIDANE PUTRA</t>
  </si>
  <si>
    <t>0089303968</t>
  </si>
  <si>
    <t>FARANINDA APRILIAN</t>
  </si>
  <si>
    <t>0085593058</t>
  </si>
  <si>
    <t>FERLI AISH SALIM</t>
  </si>
  <si>
    <t>0081858563</t>
  </si>
  <si>
    <t>FIRDHA AZZAHRA</t>
  </si>
  <si>
    <t>0087904714</t>
  </si>
  <si>
    <t>GAIZKAWILDA SAFANISA</t>
  </si>
  <si>
    <t>0084947055</t>
  </si>
  <si>
    <t>JOANA CITRA ISABEL PASARIBU</t>
  </si>
  <si>
    <t>0072225646</t>
  </si>
  <si>
    <t>KANIA ARSYADANI HIDAYATI</t>
  </si>
  <si>
    <t>0082349698</t>
  </si>
  <si>
    <t>KEYSA ZAHRA ANIZA</t>
  </si>
  <si>
    <t>0075071757</t>
  </si>
  <si>
    <t>KHALISA AWALIYA HELVINA</t>
  </si>
  <si>
    <t>0088205829</t>
  </si>
  <si>
    <t>LAELA AMELIA AZ ZAHRA</t>
  </si>
  <si>
    <t>0077692756</t>
  </si>
  <si>
    <t>MOKHAMAD SYAEPUL</t>
  </si>
  <si>
    <t>0081322572</t>
  </si>
  <si>
    <t>MUHAMMAD DANAR ZULFIANSYAH</t>
  </si>
  <si>
    <t>0087951998</t>
  </si>
  <si>
    <t>NABIL SYAH RACHMAN</t>
  </si>
  <si>
    <t>0082601060</t>
  </si>
  <si>
    <t>NAUVAL NOOR RAIHAN</t>
  </si>
  <si>
    <t>0086013230</t>
  </si>
  <si>
    <t>NIKRILA ALHAMDIA HADI</t>
  </si>
  <si>
    <t>0089963657</t>
  </si>
  <si>
    <t>PASYA KARINA ARUM</t>
  </si>
  <si>
    <t>0081094469</t>
  </si>
  <si>
    <t>0076646342</t>
  </si>
  <si>
    <t>PUTRI INTAN CAHYANI</t>
  </si>
  <si>
    <t>0075496974</t>
  </si>
  <si>
    <t>RADYTHIA MUHAMMAD RIZKI</t>
  </si>
  <si>
    <t>0085341813</t>
  </si>
  <si>
    <t>SANDRINA TASNYM SULASIKIN</t>
  </si>
  <si>
    <t>0077753281</t>
  </si>
  <si>
    <t>SASKIA AZZAHRA SALSABILLA</t>
  </si>
  <si>
    <t>0085839134</t>
  </si>
  <si>
    <t>SILVANI PUTRI FATIMAH</t>
  </si>
  <si>
    <t>0086437547</t>
  </si>
  <si>
    <t>SITI AISYAH RIZKIA APRIANI</t>
  </si>
  <si>
    <t>0086624127</t>
  </si>
  <si>
    <t>VANIA ISAURA KARDANI</t>
  </si>
  <si>
    <t>0083798069</t>
  </si>
  <si>
    <t>VINA AGNIA PASHA</t>
  </si>
  <si>
    <t>0072929475</t>
  </si>
  <si>
    <t>WULAN GITA KAMELIA</t>
  </si>
  <si>
    <t>3095196125</t>
  </si>
  <si>
    <t>ZAHRA AFIFAH MAULINDI</t>
  </si>
  <si>
    <t>0087367217</t>
  </si>
  <si>
    <t>AINI AGUSTINA</t>
  </si>
  <si>
    <t>0088392243</t>
  </si>
  <si>
    <t>ALIKA KIRANIA PUTRI</t>
  </si>
  <si>
    <t>0084176901</t>
  </si>
  <si>
    <t>ALYA JENNYARIZKI</t>
  </si>
  <si>
    <t>0083884481</t>
  </si>
  <si>
    <t>ANANDA SYAQEENA NURSYABILA</t>
  </si>
  <si>
    <t>0081886790</t>
  </si>
  <si>
    <t>ANDHIKA ANJAR ANUGRAH</t>
  </si>
  <si>
    <t>0074590001</t>
  </si>
  <si>
    <t>ARDI FATHUROHMAN</t>
  </si>
  <si>
    <t>0082766801</t>
  </si>
  <si>
    <t>ARISTAWIDYA ZABRINA ALFREDA</t>
  </si>
  <si>
    <t>0074964649</t>
  </si>
  <si>
    <t>AYU RIZKY LESTARI</t>
  </si>
  <si>
    <t>3079548873</t>
  </si>
  <si>
    <t>DEWI JUWITA SALAM</t>
  </si>
  <si>
    <t>0086577769</t>
  </si>
  <si>
    <t>DIRLA PINATIH ASRIYAH</t>
  </si>
  <si>
    <t>0082696637</t>
  </si>
  <si>
    <t>FAREL TRI PUTRA PAMUNGKAS</t>
  </si>
  <si>
    <t>0081410684</t>
  </si>
  <si>
    <t>FARREL ARDIANSYAH PRATAMA</t>
  </si>
  <si>
    <t>0076189032</t>
  </si>
  <si>
    <t>GUSTIANA RAMADHANI</t>
  </si>
  <si>
    <t>0086999695</t>
  </si>
  <si>
    <t>HAFIZAH REYHANA NAHDI</t>
  </si>
  <si>
    <t>0072738420</t>
  </si>
  <si>
    <t>HYSTORIZO LADUNI FIARDY</t>
  </si>
  <si>
    <t>0071414617</t>
  </si>
  <si>
    <t>INDA LESTARI</t>
  </si>
  <si>
    <t>0081041092</t>
  </si>
  <si>
    <t>KEYZA SALSABILA</t>
  </si>
  <si>
    <t>0072947211</t>
  </si>
  <si>
    <t>KIREINA SHAFFIRANI</t>
  </si>
  <si>
    <t>0088026581</t>
  </si>
  <si>
    <t>MALVA ZANETA SYADIN</t>
  </si>
  <si>
    <t>0086374712</t>
  </si>
  <si>
    <t>MEGA MUTIARA AZZAHRA</t>
  </si>
  <si>
    <t>0083443043</t>
  </si>
  <si>
    <t>MOCHAMAD KEENAN NUR SETIA ADJI</t>
  </si>
  <si>
    <t>0075022031</t>
  </si>
  <si>
    <t>MUHAMAD AKIKO FAIRUZ JAJA</t>
  </si>
  <si>
    <t>MUHAMMAD DAFFA AL-FARIZQI</t>
  </si>
  <si>
    <t>0086454884</t>
  </si>
  <si>
    <t>MU'NA BINTANG NAURA</t>
  </si>
  <si>
    <t>0088244692</t>
  </si>
  <si>
    <t>NADIA KHOIRUNNISA</t>
  </si>
  <si>
    <t>0087348149</t>
  </si>
  <si>
    <t>NAZWA FATIMAH AZZAHRA</t>
  </si>
  <si>
    <t>0082558202</t>
  </si>
  <si>
    <t>QORRY ZAHRA PRIATNA</t>
  </si>
  <si>
    <t>0079163934</t>
  </si>
  <si>
    <t>RAI ANDHIKA PUTRA</t>
  </si>
  <si>
    <t>0062181246</t>
  </si>
  <si>
    <t>RAIHAN SUBAGJA</t>
  </si>
  <si>
    <t>0081466861</t>
  </si>
  <si>
    <t>SHAFA KAMILAH</t>
  </si>
  <si>
    <t>0087534748</t>
  </si>
  <si>
    <t>SYAIKHA SEKAR NUR ATHAYA</t>
  </si>
  <si>
    <t>0089570855</t>
  </si>
  <si>
    <t>SYIRIN NAZLA SYAKIRA</t>
  </si>
  <si>
    <t>0074275181</t>
  </si>
  <si>
    <t>ZAHRATUL SHYITA</t>
  </si>
  <si>
    <t>0081063039</t>
  </si>
  <si>
    <t>ABBDURRAHIM RYU ARSYA KEITARO YANI</t>
  </si>
  <si>
    <t>0083701684</t>
  </si>
  <si>
    <t>AGHNIYA SITI HASYA</t>
  </si>
  <si>
    <t>0082864145</t>
  </si>
  <si>
    <t>AKMAL BAHTIAR GUNAWAN</t>
  </si>
  <si>
    <t>0074312391</t>
  </si>
  <si>
    <t>ALMER KEEFE ABIGAIL</t>
  </si>
  <si>
    <t>0079546404</t>
  </si>
  <si>
    <t>ALYA RIHHADATUL ' AISYA</t>
  </si>
  <si>
    <t>0085367383</t>
  </si>
  <si>
    <t xml:space="preserve">ANA YULIA SUGIHARTO </t>
  </si>
  <si>
    <t>0075599276</t>
  </si>
  <si>
    <t>ASIFA NURANGGRAENI</t>
  </si>
  <si>
    <t>0083763873</t>
  </si>
  <si>
    <t>AULIA MEYLANI PUTRI</t>
  </si>
  <si>
    <t>0088270112</t>
  </si>
  <si>
    <t>CHARISYA AULIA RIZKI PUTRI</t>
  </si>
  <si>
    <t>0089183841</t>
  </si>
  <si>
    <t>DAVINA SAFA YASSIRA</t>
  </si>
  <si>
    <t>0076658479</t>
  </si>
  <si>
    <t>EKA DAMAYANTI ROSANINGRUM</t>
  </si>
  <si>
    <t>0068269702</t>
  </si>
  <si>
    <t>ELSA ANANDYTA</t>
  </si>
  <si>
    <t>0071027097</t>
  </si>
  <si>
    <t>FADYA ADINDA</t>
  </si>
  <si>
    <t>0084707089</t>
  </si>
  <si>
    <t>FELIX EKA WIGANDA</t>
  </si>
  <si>
    <t>0072740728</t>
  </si>
  <si>
    <t>GHIBRAN MURSIDAN EKSTRADA</t>
  </si>
  <si>
    <t>0086523589</t>
  </si>
  <si>
    <t>KAILLA SALSABILLA AZZEMA</t>
  </si>
  <si>
    <t>0071278183</t>
  </si>
  <si>
    <t>MOCHAMAD ALKAUTSAR AL AZIZ</t>
  </si>
  <si>
    <t>0077060411</t>
  </si>
  <si>
    <t>MUHAMMAD FADLAN</t>
  </si>
  <si>
    <t>0076048777</t>
  </si>
  <si>
    <t>MUTIA ALMA KHOLILAH RUDIANA</t>
  </si>
  <si>
    <t>0074803913</t>
  </si>
  <si>
    <t>NABIL PUTRA RISKINA</t>
  </si>
  <si>
    <t>0075952951</t>
  </si>
  <si>
    <t>NAURA ISHMATURRAHMA</t>
  </si>
  <si>
    <t>0074550036</t>
  </si>
  <si>
    <t>NAYLA MANAHIL DZIKRA</t>
  </si>
  <si>
    <t>0083037301</t>
  </si>
  <si>
    <t>NURAINI AZZAHRA</t>
  </si>
  <si>
    <t>0082148661</t>
  </si>
  <si>
    <t>PUTRI NUR SYAHARA</t>
  </si>
  <si>
    <t>0087761530</t>
  </si>
  <si>
    <t>RAGA SAPUTRA</t>
  </si>
  <si>
    <t>0079455637</t>
  </si>
  <si>
    <t>RAHAYU JULIANTI</t>
  </si>
  <si>
    <t>0076152564</t>
  </si>
  <si>
    <t>RINDU FITRIA OKTAPIANI</t>
  </si>
  <si>
    <t>0087429415</t>
  </si>
  <si>
    <t>RIZKY AGUSTIAN PANGESTU</t>
  </si>
  <si>
    <t>0088361461</t>
  </si>
  <si>
    <t>SASHA ADISTIRA</t>
  </si>
  <si>
    <t>0076259081</t>
  </si>
  <si>
    <t>SITI HANA AGUSTINA</t>
  </si>
  <si>
    <t>0086617146</t>
  </si>
  <si>
    <t>SYIFA AULIA SAKINAH</t>
  </si>
  <si>
    <t>0081165467</t>
  </si>
  <si>
    <t>VINZA ALYSKA</t>
  </si>
  <si>
    <t>0073556428</t>
  </si>
  <si>
    <t>ZAVIA ZAHRA FADILAH</t>
  </si>
  <si>
    <t>0083231183</t>
  </si>
  <si>
    <t>ZEAN JUSHEVA ALJANA</t>
  </si>
  <si>
    <t>0075247381</t>
  </si>
  <si>
    <t>AGWEN SALDIRA</t>
  </si>
  <si>
    <t>0081652544</t>
  </si>
  <si>
    <t>ALLYKA PUTRI MAULINA</t>
  </si>
  <si>
    <t>0076934440</t>
  </si>
  <si>
    <t>ALMA SURYA RAYSHA PUTRI</t>
  </si>
  <si>
    <t>0072400972</t>
  </si>
  <si>
    <t>ALYA WININGSIH</t>
  </si>
  <si>
    <t>0075917366</t>
  </si>
  <si>
    <t>AQSHA PUTRI WAHYU LISTIANTO</t>
  </si>
  <si>
    <t>0088272844</t>
  </si>
  <si>
    <t>AS-SYIFA TRI WULANDARI</t>
  </si>
  <si>
    <t>0071500862</t>
  </si>
  <si>
    <t>AULIA DEWI ANGGRAENI</t>
  </si>
  <si>
    <t>0075505029</t>
  </si>
  <si>
    <t>AULIA NUR FAUZIAH</t>
  </si>
  <si>
    <t>0076801224</t>
  </si>
  <si>
    <t>CARMELIA NUR FADHILA</t>
  </si>
  <si>
    <t>0075107827</t>
  </si>
  <si>
    <t>INDRI OKTAVIANI PUTRI</t>
  </si>
  <si>
    <t>0078821648</t>
  </si>
  <si>
    <t>INKA SIAMI</t>
  </si>
  <si>
    <t>0082066322</t>
  </si>
  <si>
    <t>JAESY GRISELDA</t>
  </si>
  <si>
    <t>0084863083</t>
  </si>
  <si>
    <t>MICKY YUHANA</t>
  </si>
  <si>
    <t>0082151321</t>
  </si>
  <si>
    <t>MOCHAMAD RAIZAKY</t>
  </si>
  <si>
    <t>0074698309</t>
  </si>
  <si>
    <t>MOCHAMAD ZULFI ROZAQIANZA</t>
  </si>
  <si>
    <t>0086955126</t>
  </si>
  <si>
    <t>MUHAMAD RAYHAN</t>
  </si>
  <si>
    <t>0078843246</t>
  </si>
  <si>
    <t>MUHAMMAD CAREL FATIH NORMAN</t>
  </si>
  <si>
    <t>0075338762</t>
  </si>
  <si>
    <t>MUHAMMAD HAFIZH KHAIRUL IMAM</t>
  </si>
  <si>
    <t>0076345533</t>
  </si>
  <si>
    <t>MUHAMMAD SAKA PUTRA PAMUNGKAS</t>
  </si>
  <si>
    <t>0081211243</t>
  </si>
  <si>
    <t>NAJLA HASBIYAH NURUL ALIFA</t>
  </si>
  <si>
    <t>0071097017</t>
  </si>
  <si>
    <t>NATASYA PUTRI ANDINI</t>
  </si>
  <si>
    <t>0085090302</t>
  </si>
  <si>
    <t>NAYLA RIZKYA AZZAHRA</t>
  </si>
  <si>
    <t>0073595772</t>
  </si>
  <si>
    <t>RAIHANA</t>
  </si>
  <si>
    <t>0079998162</t>
  </si>
  <si>
    <t xml:space="preserve">RAIHANNISA AZZAHRA </t>
  </si>
  <si>
    <t>0089016673</t>
  </si>
  <si>
    <t>RAKA ABYLLASACH DANIAPUTRA</t>
  </si>
  <si>
    <t>0084881148</t>
  </si>
  <si>
    <t>RASYA APRILIA PUTRI</t>
  </si>
  <si>
    <t>0088024882</t>
  </si>
  <si>
    <t>SAFIRA APRILIA</t>
  </si>
  <si>
    <t>0084794823</t>
  </si>
  <si>
    <t>SALFADRINA ZAHRANISA HAYYA</t>
  </si>
  <si>
    <t>0074575647</t>
  </si>
  <si>
    <t>SITI JASMIN NURHALIMAH</t>
  </si>
  <si>
    <t>0084810048</t>
  </si>
  <si>
    <t>SYBILLA SITI NURFADILLAH BALQIS</t>
  </si>
  <si>
    <t>0078012684</t>
  </si>
  <si>
    <t>TERRAN SABIAN HATAMI</t>
  </si>
  <si>
    <t>0088120650</t>
  </si>
  <si>
    <t>VIRA MARTANIA</t>
  </si>
  <si>
    <t>0084906908</t>
  </si>
  <si>
    <t>YESA AMALIA</t>
  </si>
  <si>
    <t>0077980820</t>
  </si>
  <si>
    <t>ABIYU AFLAH</t>
  </si>
  <si>
    <t>0079960589</t>
  </si>
  <si>
    <t>ADITYA SETIAWAN</t>
  </si>
  <si>
    <t>AHMAD GERALD MAKARIM</t>
  </si>
  <si>
    <t>0089962293</t>
  </si>
  <si>
    <t>ALISHA RUSMANA</t>
  </si>
  <si>
    <t>0084508035</t>
  </si>
  <si>
    <t>ANDITA ALIFIAH</t>
  </si>
  <si>
    <t>0076539726</t>
  </si>
  <si>
    <t>ARDIVAN NUR RAIHAN RAHMAN</t>
  </si>
  <si>
    <t>0088542837</t>
  </si>
  <si>
    <t>ARSYA MAULANA FADILLAH</t>
  </si>
  <si>
    <t>0075496839</t>
  </si>
  <si>
    <t>DEBIAN BUDI PANGARTI</t>
  </si>
  <si>
    <t>0083512450</t>
  </si>
  <si>
    <t>FAJARRAHMAN AZHAR PUTRA</t>
  </si>
  <si>
    <t>0076859975</t>
  </si>
  <si>
    <t>GHANIFRA SOBIA BASEL</t>
  </si>
  <si>
    <t>0072435891</t>
  </si>
  <si>
    <t>HASNA ABIGAEL BELVA PRAMUDI</t>
  </si>
  <si>
    <t>0074265098</t>
  </si>
  <si>
    <t>HUDA SAPUTRA</t>
  </si>
  <si>
    <t>0074595453</t>
  </si>
  <si>
    <t>ICA UTAMI EKA PUTRI</t>
  </si>
  <si>
    <t>0085990745</t>
  </si>
  <si>
    <t>IRSYAD MAULANA</t>
  </si>
  <si>
    <t>0079975268</t>
  </si>
  <si>
    <t>IZZAN RAMADHAN</t>
  </si>
  <si>
    <t>0072889132</t>
  </si>
  <si>
    <t>KAILA IBRAHIM HAKIM</t>
  </si>
  <si>
    <t>0079226269</t>
  </si>
  <si>
    <t>KENNEZH NAZHILLA RAMADHANI PUTRI ARKHA</t>
  </si>
  <si>
    <t>0072223405</t>
  </si>
  <si>
    <t>KHUMAIRA AZZAHRA DENTA NURTIAS</t>
  </si>
  <si>
    <t>0084544230</t>
  </si>
  <si>
    <t>MELINDA PUTRI ELIANDI</t>
  </si>
  <si>
    <t>0089804315</t>
  </si>
  <si>
    <t>MUHAMAD BALYAN RAMADANI</t>
  </si>
  <si>
    <t>0087406078</t>
  </si>
  <si>
    <t>MUHAMMAD ALIEF FADILAH</t>
  </si>
  <si>
    <t>0075644524</t>
  </si>
  <si>
    <t>MUHAMMAD KEISYA FADILAH</t>
  </si>
  <si>
    <t>0079455301</t>
  </si>
  <si>
    <t>NAUFAL FADIYAH IDRUS</t>
  </si>
  <si>
    <t>0086781654</t>
  </si>
  <si>
    <t>NUR ALIF ABDILAH</t>
  </si>
  <si>
    <t>0077366569</t>
  </si>
  <si>
    <t>PUTRA ADITYA PRATAMA</t>
  </si>
  <si>
    <t>0074272821</t>
  </si>
  <si>
    <t>RAIHAN ARIANSYAH</t>
  </si>
  <si>
    <t>3082611104</t>
  </si>
  <si>
    <t>RAZZAN ILMAN ANWAR</t>
  </si>
  <si>
    <t>0073516828</t>
  </si>
  <si>
    <t>RENATA MAHARANI REGITA SOMANTRI</t>
  </si>
  <si>
    <t>0077659637</t>
  </si>
  <si>
    <t>RIDHO AZRIA SAFARAN</t>
  </si>
  <si>
    <t>0087964467</t>
  </si>
  <si>
    <t>SABIL KHALIFA TUL UMMAH</t>
  </si>
  <si>
    <t>0076267127</t>
  </si>
  <si>
    <t>SYIFA NURAINI</t>
  </si>
  <si>
    <t>0088736872</t>
  </si>
  <si>
    <t>VELIA FITRI LARASATI</t>
  </si>
  <si>
    <t>0077061719</t>
  </si>
  <si>
    <t>YUSUF INDRA WIJAYA</t>
  </si>
  <si>
    <t>0075816553</t>
  </si>
  <si>
    <t>ZAIDAN FAARIS ABIDI</t>
  </si>
  <si>
    <t>0075022738</t>
  </si>
  <si>
    <t>ZOHAN PRAMADHANI</t>
  </si>
  <si>
    <t>0085340711</t>
  </si>
  <si>
    <t>ADIT RAHMAT HIDAYAT</t>
  </si>
  <si>
    <t>0088510176</t>
  </si>
  <si>
    <t>ADLY FEBRYAN</t>
  </si>
  <si>
    <t>0086406839</t>
  </si>
  <si>
    <t>ALYA MUTIA ZAHRA</t>
  </si>
  <si>
    <t>0076496453</t>
  </si>
  <si>
    <t>BAGUS SETIAWAN</t>
  </si>
  <si>
    <t>0076749939</t>
  </si>
  <si>
    <t>DAFFA GHALIB NUR FAUZAN</t>
  </si>
  <si>
    <t>0078492820</t>
  </si>
  <si>
    <t>DESTIA DWI ANGGRAENI</t>
  </si>
  <si>
    <t>0074325501</t>
  </si>
  <si>
    <t>DIAZ MUHAMAD ARKAAN SYAHTIAN</t>
  </si>
  <si>
    <t>0071977413</t>
  </si>
  <si>
    <t>DZAKWAN NAHAREZKA PASHA</t>
  </si>
  <si>
    <t>0083206263</t>
  </si>
  <si>
    <t>FA'IQ HALUL DANENDRA</t>
  </si>
  <si>
    <t>0089020959</t>
  </si>
  <si>
    <t>FAIZA RAHMAN GHANI</t>
  </si>
  <si>
    <t>0075828721</t>
  </si>
  <si>
    <t>FITRIA RAMADANI</t>
  </si>
  <si>
    <t>0086107477</t>
  </si>
  <si>
    <t>KHANSA KHAIRUNNISA</t>
  </si>
  <si>
    <t>0079066763</t>
  </si>
  <si>
    <t>MARITZA RIEVANI WIBOWO</t>
  </si>
  <si>
    <t>3084332395</t>
  </si>
  <si>
    <t>MESSI ANASTASYA</t>
  </si>
  <si>
    <t>0088938197</t>
  </si>
  <si>
    <t>MIZWAR ADIARSA</t>
  </si>
  <si>
    <t>0072069739</t>
  </si>
  <si>
    <t>MOCHAMAD DENDRA DWI PRATAMA PUTRA</t>
  </si>
  <si>
    <t>0082713327</t>
  </si>
  <si>
    <t>MUHAMAD FARHAN FADILAH</t>
  </si>
  <si>
    <t>0077256308</t>
  </si>
  <si>
    <t>MUHAMAD FIRDAUS AL GHAJALI</t>
  </si>
  <si>
    <t>0086816679</t>
  </si>
  <si>
    <t>MUHAMMAD BILLAL NURFILDAN</t>
  </si>
  <si>
    <t>0096116251</t>
  </si>
  <si>
    <t>MUHAMMAD ILHAM HIZAM</t>
  </si>
  <si>
    <t>0088708948</t>
  </si>
  <si>
    <t>MUHAMMAD NASYWAN MUBAROK</t>
  </si>
  <si>
    <t>0079232180</t>
  </si>
  <si>
    <t>NANDA AHMAD NURSHIDIQ</t>
  </si>
  <si>
    <t>0075058906</t>
  </si>
  <si>
    <t>NAYLA AZKA FATIMA SOEHAYA</t>
  </si>
  <si>
    <t>0086108172</t>
  </si>
  <si>
    <t>NAZWA AZZAHRA</t>
  </si>
  <si>
    <t>0072358122</t>
  </si>
  <si>
    <t>RAIHAN FADHLURRASYAD</t>
  </si>
  <si>
    <t>0075976833</t>
  </si>
  <si>
    <t>RAKHA PUTRA RIDWAN</t>
  </si>
  <si>
    <t>REVAN PERMANA PUTRA</t>
  </si>
  <si>
    <t>0076723923</t>
  </si>
  <si>
    <t>REYKISHA RYTZKAYLA RIZALIA</t>
  </si>
  <si>
    <t>0084628722</t>
  </si>
  <si>
    <t>REYSA ANGGRAENI</t>
  </si>
  <si>
    <t>0085067732</t>
  </si>
  <si>
    <t>RIVAL KHOLQI FAJDUANI</t>
  </si>
  <si>
    <t>0072275251</t>
  </si>
  <si>
    <t>SALSABILA APRILIANI SUBARNI</t>
  </si>
  <si>
    <t>0087528383</t>
  </si>
  <si>
    <t>SELBINURIF ALFAKA</t>
  </si>
  <si>
    <t>0061965192</t>
  </si>
  <si>
    <t>SETIAWAN DWI FEBRIANTO</t>
  </si>
  <si>
    <t>0087700522</t>
  </si>
  <si>
    <t>VEREL KEEFI ALIE</t>
  </si>
  <si>
    <t>0075807271</t>
  </si>
  <si>
    <t>ABEL ALFAREL</t>
  </si>
  <si>
    <t>0086901041</t>
  </si>
  <si>
    <t>ALIF FAIRUZ RACHMAN</t>
  </si>
  <si>
    <t>0087063569</t>
  </si>
  <si>
    <t>ARDO FAUZAN FAROOK</t>
  </si>
  <si>
    <t>0088635986</t>
  </si>
  <si>
    <t>ARLCERLY ADLAMAYANVUA ALIVANA</t>
  </si>
  <si>
    <t>0072015379</t>
  </si>
  <si>
    <t>BAGAS ALVIANSYAH</t>
  </si>
  <si>
    <t>0077739364</t>
  </si>
  <si>
    <t>BIMA KSATRIA UTAMA</t>
  </si>
  <si>
    <t>0078941755</t>
  </si>
  <si>
    <t>DENI ANDREANO SUSANTO</t>
  </si>
  <si>
    <t>0074829155</t>
  </si>
  <si>
    <t>FAHRI MUHAMAD NUR RIZKY</t>
  </si>
  <si>
    <t>0079340182</t>
  </si>
  <si>
    <t>FAUZY ROSSI</t>
  </si>
  <si>
    <t>0088310873</t>
  </si>
  <si>
    <t>FAWWAZ IHSANNULLOH</t>
  </si>
  <si>
    <t>0088166127</t>
  </si>
  <si>
    <t>HAIFA AURELLIA AZFA</t>
  </si>
  <si>
    <t>0085065917</t>
  </si>
  <si>
    <t>IQBAL FADHIL TRESNADARMA</t>
  </si>
  <si>
    <t>0073616122</t>
  </si>
  <si>
    <t>JAKA FAWWAZ SURYANATA</t>
  </si>
  <si>
    <t>0079453942</t>
  </si>
  <si>
    <t>KEVIN TIMOTHY</t>
  </si>
  <si>
    <t>0083575608</t>
  </si>
  <si>
    <t>MOCHAMAD FAUZI SAPUTRA</t>
  </si>
  <si>
    <t>0072905286</t>
  </si>
  <si>
    <t>MUHAMAD DAFFA GUNAWAN</t>
  </si>
  <si>
    <t>0088112658</t>
  </si>
  <si>
    <t>MUHAMAD FATHUR MULIA</t>
  </si>
  <si>
    <t>0071300595</t>
  </si>
  <si>
    <t>MUHAMAD FATIR RAMADHAN</t>
  </si>
  <si>
    <t>0087939609</t>
  </si>
  <si>
    <t>MUHAMAD ZAHRAN</t>
  </si>
  <si>
    <t>0077055490</t>
  </si>
  <si>
    <t>NAFIL FAUZIYAH IDRUS</t>
  </si>
  <si>
    <t>0079026089</t>
  </si>
  <si>
    <t>NAUVAL RADENI RAFAEL</t>
  </si>
  <si>
    <t>0082328377</t>
  </si>
  <si>
    <t>NEO NALIKA CONSTANTINE RONDONUWU</t>
  </si>
  <si>
    <t>0081202818</t>
  </si>
  <si>
    <t>RADEN MUHAMMAD ICHSAN ARRIANSYAH</t>
  </si>
  <si>
    <t>0085587746</t>
  </si>
  <si>
    <t>RADI MUHAMMAD SUKMANA</t>
  </si>
  <si>
    <t>0081577483</t>
  </si>
  <si>
    <t>RAFFI FAHMI GRAVILA</t>
  </si>
  <si>
    <t>0072070192</t>
  </si>
  <si>
    <t>RASYA PRATAMA</t>
  </si>
  <si>
    <t>0078228687</t>
  </si>
  <si>
    <t>SALWA PUSPITA DEWI</t>
  </si>
  <si>
    <t>0083935390</t>
  </si>
  <si>
    <t>SENTANU</t>
  </si>
  <si>
    <t>0087480517</t>
  </si>
  <si>
    <t>SEPTIAN FAUZY RAMADHAN</t>
  </si>
  <si>
    <t>0074258368</t>
  </si>
  <si>
    <t>TOGAS MICELLE</t>
  </si>
  <si>
    <t>0075433510</t>
  </si>
  <si>
    <t>0082480255</t>
  </si>
  <si>
    <t>TYO RENDI MUDA PRATAMA</t>
  </si>
  <si>
    <t>0088869033</t>
  </si>
  <si>
    <t>VALEN KUSUMA PUTRA</t>
  </si>
  <si>
    <t>0079453347</t>
  </si>
  <si>
    <t>ZENZA MARDIKA ABDILLAH</t>
  </si>
  <si>
    <t>0071820956</t>
  </si>
  <si>
    <t>ADITYA DIMAS PRASETYA</t>
  </si>
  <si>
    <t>AHMAD MUNAWIR GHOZY</t>
  </si>
  <si>
    <t>0077341046</t>
  </si>
  <si>
    <t>ATHALLA RAFALEONDI RAHMAN</t>
  </si>
  <si>
    <t>0082401764</t>
  </si>
  <si>
    <t>AZZAHWA QEEANEARLY QUEEN</t>
  </si>
  <si>
    <t>0084363714</t>
  </si>
  <si>
    <t>BARA RAFI MAHARDIKA</t>
  </si>
  <si>
    <t>0083311277</t>
  </si>
  <si>
    <t>DAFFA SYAWALLIF SETIADI</t>
  </si>
  <si>
    <t>0088438965</t>
  </si>
  <si>
    <t>DAFFA TRI DHETRA</t>
  </si>
  <si>
    <t>0072972593</t>
  </si>
  <si>
    <t>DESTA ALDIAN PUTRA</t>
  </si>
  <si>
    <t>0088114927</t>
  </si>
  <si>
    <t>FAISHAL SYAIFUR ROHMAN</t>
  </si>
  <si>
    <t>0072311255</t>
  </si>
  <si>
    <t>FAIZAL ARRAFI ALFARISY</t>
  </si>
  <si>
    <t>0077788249</t>
  </si>
  <si>
    <t>FAUZI EZAR RADITYA</t>
  </si>
  <si>
    <t>0068296356</t>
  </si>
  <si>
    <t>GHANI RIZKYA FIRDAUS</t>
  </si>
  <si>
    <t>0074221882</t>
  </si>
  <si>
    <t>HIZRAN KAMIL ATHALLAH</t>
  </si>
  <si>
    <t>0041192086</t>
  </si>
  <si>
    <t>IMANUEL PRAYUDI YOSUA RIVA</t>
  </si>
  <si>
    <t>0084184222</t>
  </si>
  <si>
    <t>IRFAN MAULANA</t>
  </si>
  <si>
    <t>0082117383</t>
  </si>
  <si>
    <t>MAHENDRA EKA BATARA</t>
  </si>
  <si>
    <t>0087193240</t>
  </si>
  <si>
    <t>MOHAMAD RADHITYA SURYADILAGA</t>
  </si>
  <si>
    <t>0077687408</t>
  </si>
  <si>
    <t>MUHAMAD ILHAM PUTRA MARDANI</t>
  </si>
  <si>
    <t>0084178875</t>
  </si>
  <si>
    <t>MUHAMAD VIKY FERDINAND</t>
  </si>
  <si>
    <t>0076239172</t>
  </si>
  <si>
    <t>MUHAMMAD DHABITH SANDZURY</t>
  </si>
  <si>
    <t>0075027953</t>
  </si>
  <si>
    <t>MUHAMMAD NAUFAL FADHIL</t>
  </si>
  <si>
    <t>0077885142</t>
  </si>
  <si>
    <t>MUHAMMAD NUR KAHFI</t>
  </si>
  <si>
    <t>0074137257</t>
  </si>
  <si>
    <t>MUHAMMAD REFAN ADRIANSYAH</t>
  </si>
  <si>
    <t>0075586236</t>
  </si>
  <si>
    <t>MUHAMMAD ZIBAN ARRAHMAN SUTARDI</t>
  </si>
  <si>
    <t>0071848231</t>
  </si>
  <si>
    <t>NABILA PRAMASARI</t>
  </si>
  <si>
    <t>0078311767</t>
  </si>
  <si>
    <t>RAIFA JULIANA</t>
  </si>
  <si>
    <t>0078307040</t>
  </si>
  <si>
    <t>RESPATI</t>
  </si>
  <si>
    <t>0074911724</t>
  </si>
  <si>
    <t>REYHAN PUTRA JATI ARIFIN</t>
  </si>
  <si>
    <t>0072673710</t>
  </si>
  <si>
    <t>RIFAL RIZKI AL ZIKRI</t>
  </si>
  <si>
    <t>0078058614</t>
  </si>
  <si>
    <t>RIFKI ARKAN</t>
  </si>
  <si>
    <t>0086772171</t>
  </si>
  <si>
    <t>SENO SETIAWAN</t>
  </si>
  <si>
    <t>0071100442</t>
  </si>
  <si>
    <t>SERLY SAFITRI</t>
  </si>
  <si>
    <t>0085141692</t>
  </si>
  <si>
    <t>VIOLA AL LUTHFI KARTIWA</t>
  </si>
  <si>
    <t>0086836055</t>
  </si>
  <si>
    <t>WISNU MAULANA</t>
  </si>
  <si>
    <t>0081386473</t>
  </si>
  <si>
    <t>ZAKY AKMAL MAULANA</t>
  </si>
  <si>
    <t>ALIF PRASETYO</t>
  </si>
  <si>
    <t>0089667071</t>
  </si>
  <si>
    <t>ANZA CHESTA WIBAWA AHMAD</t>
  </si>
  <si>
    <t>0088713038</t>
  </si>
  <si>
    <t>BAYU AJIE JULIAN</t>
  </si>
  <si>
    <t>0072254343</t>
  </si>
  <si>
    <t>CYRIL ATHALLAH ALFARIDZ</t>
  </si>
  <si>
    <t>0078808121</t>
  </si>
  <si>
    <t>DICTA PUTRI DZULFALLAH</t>
  </si>
  <si>
    <t>0078780376</t>
  </si>
  <si>
    <t>DIMAS PUTRA DWI HALIS</t>
  </si>
  <si>
    <t>0089531076</t>
  </si>
  <si>
    <t>ELVAN ASSETIAN</t>
  </si>
  <si>
    <t>0087620447</t>
  </si>
  <si>
    <t>FAKHRI ALKHOIRI SUTRISNO</t>
  </si>
  <si>
    <t>0082051135</t>
  </si>
  <si>
    <t>FEBRIAN RESTU FIRDAUS</t>
  </si>
  <si>
    <t>0071987104</t>
  </si>
  <si>
    <t>GILANG BAGJA ABDILLAH</t>
  </si>
  <si>
    <t>0072392486</t>
  </si>
  <si>
    <t>HILMI HILMANSYAH</t>
  </si>
  <si>
    <t>0079621468</t>
  </si>
  <si>
    <t>IFTIKHAAR SA'AD FAIRUZ</t>
  </si>
  <si>
    <t>0085722366</t>
  </si>
  <si>
    <t>KEYSHA APRILLIA PUTRI</t>
  </si>
  <si>
    <t>KHAER GIFRAN</t>
  </si>
  <si>
    <t>0078023199</t>
  </si>
  <si>
    <t>LYDIA DWI PERTIWI</t>
  </si>
  <si>
    <t>0077077836</t>
  </si>
  <si>
    <t>M AGUNG HERMAWAN</t>
  </si>
  <si>
    <t>0075243125</t>
  </si>
  <si>
    <t>MAHA PURNAMADEVA SURYANA PUTRA</t>
  </si>
  <si>
    <t>0077184290</t>
  </si>
  <si>
    <t>MARIO DAMAR ARCHENTRO</t>
  </si>
  <si>
    <t>0083056153</t>
  </si>
  <si>
    <t>MARLO RIZKI MOHAMAD DANIEL</t>
  </si>
  <si>
    <t>0078665272</t>
  </si>
  <si>
    <t>MUHAMMAD PASHA RAMADHAN</t>
  </si>
  <si>
    <t>0076074619</t>
  </si>
  <si>
    <t>MUHAMMAD RASYA AL GHIFARI RUKMANA</t>
  </si>
  <si>
    <t>0063725246</t>
  </si>
  <si>
    <t>MUSTOFA BAHRI</t>
  </si>
  <si>
    <t>3087024329</t>
  </si>
  <si>
    <t>PUTRI KHALISHA AZKATHALLAH P</t>
  </si>
  <si>
    <t>RAIHAN FAWWAZ NUWAIR</t>
  </si>
  <si>
    <t>0075675961</t>
  </si>
  <si>
    <t>RAUDHO FADLIKA ANUGRAHALA</t>
  </si>
  <si>
    <t>0086595764</t>
  </si>
  <si>
    <t>RAYHAN SULTAN SHAHARA</t>
  </si>
  <si>
    <t>0078318546</t>
  </si>
  <si>
    <t>RENDI RIZQIYANA RAHMANSYAH</t>
  </si>
  <si>
    <t>0088799076</t>
  </si>
  <si>
    <t>RIDHO MUHAMAD ARIEP</t>
  </si>
  <si>
    <t>0075791606</t>
  </si>
  <si>
    <t>RIFQY SHOLIBAN</t>
  </si>
  <si>
    <t>0071253626</t>
  </si>
  <si>
    <t>SYAHRUL ROMADHON MAULANA ROHMAN</t>
  </si>
  <si>
    <t>0072498929</t>
  </si>
  <si>
    <t>TIANKA SURYA AL FAJDUANI</t>
  </si>
  <si>
    <t>0088718943</t>
  </si>
  <si>
    <t>TIANRUS VILOSET VINONIA</t>
  </si>
  <si>
    <t>0083334829</t>
  </si>
  <si>
    <t>VALLEN ALFAREZI</t>
  </si>
  <si>
    <t>0066133611</t>
  </si>
  <si>
    <t>ZAKARIA</t>
  </si>
  <si>
    <t>Awal 2023</t>
  </si>
  <si>
    <t>Akhir 2023</t>
  </si>
  <si>
    <t>XI KA 1</t>
  </si>
  <si>
    <t>XI KA 2</t>
  </si>
  <si>
    <t>XI KA 3</t>
  </si>
  <si>
    <t>XI KA 4</t>
  </si>
  <si>
    <t>XI KA 5</t>
  </si>
  <si>
    <t>XI KA 6</t>
  </si>
  <si>
    <t>XI PPLG 1</t>
  </si>
  <si>
    <t>XI PPLG 2</t>
  </si>
  <si>
    <t>XI TJKT 1</t>
  </si>
  <si>
    <t>XI TJKT 2</t>
  </si>
  <si>
    <t>XI TJKT 3</t>
  </si>
  <si>
    <t>TAHUN PELAJARAN 2023/2024</t>
  </si>
  <si>
    <t>TONY SETIAWAN</t>
  </si>
  <si>
    <t>Sabila Fauziyya, S.kom.</t>
  </si>
  <si>
    <t>Yeni Meilina, S.Pd.</t>
  </si>
  <si>
    <t>Tini Rosmayani, S.Pd.</t>
  </si>
  <si>
    <t>Gana Dargana, S. Pd., M.T</t>
  </si>
  <si>
    <t>Ermawati, M.Kom</t>
  </si>
  <si>
    <t>Danty, S.Pd</t>
  </si>
  <si>
    <t>Priyo Hadisuryo</t>
  </si>
  <si>
    <t>Kiki Aima Mu’mina, S.Pd (ak6)</t>
  </si>
  <si>
    <t>0088638903</t>
  </si>
  <si>
    <t>MUHAMMAD RIDHO AL HAQQI</t>
  </si>
  <si>
    <t>0078988895</t>
  </si>
  <si>
    <t>MUHAMMAD FAZRY PRATAMA</t>
  </si>
  <si>
    <t>0078924257</t>
  </si>
  <si>
    <t>RAIHAN MUHAMMAD ARNANSYAH</t>
  </si>
  <si>
    <t>PRESENSI RAPAT ORANGTUA SISWA</t>
  </si>
  <si>
    <t>SOSIALISASI PEMAPARAN PROGRAM SEKOLAH KELAS XII DAN XIII</t>
  </si>
  <si>
    <t>NAMA ORANGTUA</t>
  </si>
  <si>
    <t>TANDA TANGAN</t>
  </si>
  <si>
    <t>Masuk Dina AK4</t>
  </si>
  <si>
    <t>0089706496</t>
  </si>
  <si>
    <t>DINA SULISTIAWATI</t>
  </si>
  <si>
    <t>PUTRI FUTUWATUL MARATUL ALIA</t>
  </si>
  <si>
    <t>XII KA 1</t>
  </si>
  <si>
    <t>XII KA 2</t>
  </si>
  <si>
    <t>XII KA 3</t>
  </si>
  <si>
    <t>XII KA 4</t>
  </si>
  <si>
    <t>XII KA 5</t>
  </si>
  <si>
    <t>XII KA 6</t>
  </si>
  <si>
    <t>XII PPLG 1</t>
  </si>
  <si>
    <t>XII PPLG 2</t>
  </si>
  <si>
    <t>XII TJKT 1</t>
  </si>
  <si>
    <t>XII TJKT 2</t>
  </si>
  <si>
    <t>XII TJKT 3</t>
  </si>
  <si>
    <t>AKHTAR ANARGYA WAHYUDI</t>
  </si>
  <si>
    <t>AKMAL NUR HAKIM</t>
  </si>
  <si>
    <t>ANDHIKA DWI PUTRA KUSTYAN</t>
  </si>
  <si>
    <t>ARRUBI NAZMA HIDAYAT</t>
  </si>
  <si>
    <t>AVISA VALERIE INDRA PUTRI</t>
  </si>
  <si>
    <t>CHARISA FITRIYANTI</t>
  </si>
  <si>
    <t>FATMA RIZKYANI FADILAH</t>
  </si>
  <si>
    <t>FIRLY DWI ATHALLAH</t>
  </si>
  <si>
    <t>GYNA RIZKI NUR PADILAH</t>
  </si>
  <si>
    <t>IRFAN RAMADHANI</t>
  </si>
  <si>
    <t>JASMINE QUEENEZ KHARUNNISA</t>
  </si>
  <si>
    <t>JIHAN ASSYIFA DEWI</t>
  </si>
  <si>
    <t>KAUTSAR HABIEB HERWINDO</t>
  </si>
  <si>
    <t>KEIKO KANAYA RIZQI WAHYUDI PUTRI</t>
  </si>
  <si>
    <t>KIRANA AZKA PUTRI</t>
  </si>
  <si>
    <t>KOKO DWI PRIHANTORO</t>
  </si>
  <si>
    <t>MEYLIA DEWI HANDAYANI</t>
  </si>
  <si>
    <t>MICHAELA REZQI RICHMOND</t>
  </si>
  <si>
    <t>MISVIRA TRIAULIA RIZKY RUSBIANTO</t>
  </si>
  <si>
    <t>MUSTIKA AZAHRA LINTANG</t>
  </si>
  <si>
    <t>NASWA SALSABILA ZAHRA</t>
  </si>
  <si>
    <t>NIKITA AYU KIRANA</t>
  </si>
  <si>
    <t>PUTRI KHAIRUNNISA ZAHIRAH</t>
  </si>
  <si>
    <t>QUINSYA SYAFA AZ-ZAHRA</t>
  </si>
  <si>
    <t>RAYNA SYFA PUTRI KUSTIANDI</t>
  </si>
  <si>
    <t>RENI MEILINDA</t>
  </si>
  <si>
    <t>RIFA WIDYA ASTUTI</t>
  </si>
  <si>
    <t>SALSABILA SAPANA</t>
  </si>
  <si>
    <t>SANTI DEWI</t>
  </si>
  <si>
    <t>SHAFA NA'ILA HASNA</t>
  </si>
  <si>
    <t>SYIFA AMNA MUQIMAH FUTHIYAH</t>
  </si>
  <si>
    <t>SYIFA JIHADA PUTRI</t>
  </si>
  <si>
    <t>TIA SEPTIANI CANIA DINI</t>
  </si>
  <si>
    <t>WILDAN PRATAMA</t>
  </si>
  <si>
    <t>ZAHRA EKA PUTRI</t>
  </si>
  <si>
    <t>ABYAN MAULANA</t>
  </si>
  <si>
    <t>AFIFAH NUR SALAMAH</t>
  </si>
  <si>
    <t>AMIRA SAYYIDATI ZAHRA</t>
  </si>
  <si>
    <t>ANNISA FAIZATUL AZKIA</t>
  </si>
  <si>
    <t>ANNISA TRIYANI</t>
  </si>
  <si>
    <t>ANNISA YUSIE RAHMADANI</t>
  </si>
  <si>
    <t>DESTA DWI ANGGA</t>
  </si>
  <si>
    <t>EZAR AIMAN</t>
  </si>
  <si>
    <t>HAFIDZ FAHREZI SYAHPUTRA</t>
  </si>
  <si>
    <t>HAFIDZAH ROUDHOTUL JANNAH</t>
  </si>
  <si>
    <t>HANIFA APRILIA MAULANISA</t>
  </si>
  <si>
    <t>JELITA PERMATASARI</t>
  </si>
  <si>
    <t>JUWITA NUR CAHYANI</t>
  </si>
  <si>
    <t>KANZHA JANEETA</t>
  </si>
  <si>
    <t>KARINA PUTRI NURAINI</t>
  </si>
  <si>
    <t>KEYLA GYANA NURIZQI</t>
  </si>
  <si>
    <t>LUSSIANI NIKITA DEWI</t>
  </si>
  <si>
    <t>LYSHA KURNIA SARI</t>
  </si>
  <si>
    <t>NADIA PUTRI KESUMA</t>
  </si>
  <si>
    <t>NADIA SHOLIHA AULIA YAHYA</t>
  </si>
  <si>
    <t>NADIRA NUR AFIANA</t>
  </si>
  <si>
    <t>NAILAH ALMIRA KIRANA</t>
  </si>
  <si>
    <t>NURUL NAJMI ZIYAN ZAHIRAH</t>
  </si>
  <si>
    <t>PUSPA AULIA AZAHRA</t>
  </si>
  <si>
    <t>QUEENSHA LAXMI JUNAEDI</t>
  </si>
  <si>
    <t>RAISYA AULIA PUTRI</t>
  </si>
  <si>
    <t>REFHA WIDIYASWARA</t>
  </si>
  <si>
    <t>REVA PUTRI FAKHRURIZZA</t>
  </si>
  <si>
    <t>RIGIEZTHYA RADHIA ZAHRA ANDINE</t>
  </si>
  <si>
    <t>SALWA SYIFA AL-HUSNA</t>
  </si>
  <si>
    <t>SHIREEN DHEA AZISKA MAHARANI</t>
  </si>
  <si>
    <t>SYIFA SYAFIRA</t>
  </si>
  <si>
    <t>VIRNA RESTU SHADANA KUDORI</t>
  </si>
  <si>
    <t>ZAFANA ALAIQA ZACHWAN</t>
  </si>
  <si>
    <t>ZAHRA AULIA SYAHRANI</t>
  </si>
  <si>
    <t>ADE SYIFA RAMDANIAH</t>
  </si>
  <si>
    <t>AISYAH SHAFARINI</t>
  </si>
  <si>
    <t>AJENG MEGA ARIANTY</t>
  </si>
  <si>
    <t>ALDI KUSNADI</t>
  </si>
  <si>
    <t>ALEA ZAIN</t>
  </si>
  <si>
    <t>ALMER SYAKA MAULANA</t>
  </si>
  <si>
    <t>ARIEF MUHAMAD FAUZAN</t>
  </si>
  <si>
    <t>AZZAM AZMI AZZAKI</t>
  </si>
  <si>
    <t>BALQIS CHALISA PUTRI TRINITA</t>
  </si>
  <si>
    <t>DIEZTARA PUTRA ROSADA</t>
  </si>
  <si>
    <t>ELVINA NURFADILLAH HADIATI</t>
  </si>
  <si>
    <t>GHANI YUSUF FAKHRUDDIN</t>
  </si>
  <si>
    <t>GHANIA RAMADHANI</t>
  </si>
  <si>
    <t>HANUN INTAN MUSTIKA</t>
  </si>
  <si>
    <t>HAPPY NAIS ARCHIE</t>
  </si>
  <si>
    <t>IBNU ALMAHRI HIMAWAN</t>
  </si>
  <si>
    <t>KHANSA TSABITUL AZMI</t>
  </si>
  <si>
    <t>KIRANA AULIA RAMADANI</t>
  </si>
  <si>
    <t>MALIKA KHANA YA BILQISH</t>
  </si>
  <si>
    <t>MARIA JESICA TOGIANA SIMBOLON</t>
  </si>
  <si>
    <t>MUHAMAD RAFI JUANURDIN</t>
  </si>
  <si>
    <t>MUTIA NUR AZZAHRA</t>
  </si>
  <si>
    <t>PRAYA NURI FAIRUUZ</t>
  </si>
  <si>
    <t>RAFFA MAULANA</t>
  </si>
  <si>
    <t>REVANI NAZLA AULIA</t>
  </si>
  <si>
    <t>RIFA LUTHFIATURROHMAN</t>
  </si>
  <si>
    <t>RIZKY HAUZAN ARKAN</t>
  </si>
  <si>
    <t>SALWA RAHMAN</t>
  </si>
  <si>
    <t>SANIA FITRIANI ROSNIA</t>
  </si>
  <si>
    <t>SAYYIDAH HUSNUL KHOTIMAH</t>
  </si>
  <si>
    <t>SHAFIRAH</t>
  </si>
  <si>
    <t>SYAFA ZAHIRA PRILIANI</t>
  </si>
  <si>
    <t>WULAN SARI</t>
  </si>
  <si>
    <t>ZIANRA SABRILIA</t>
  </si>
  <si>
    <t>ZIORA SAPUTRA</t>
  </si>
  <si>
    <t>ADINDA SYARIFA SETIAWAN</t>
  </si>
  <si>
    <t>ALIFA ZAHIRA AHMAD</t>
  </si>
  <si>
    <t>APRILIA RISYA DEWI</t>
  </si>
  <si>
    <t>FAHRI MIFTAH PIRDAUS</t>
  </si>
  <si>
    <t>FIRDA MEDINA SYFA</t>
  </si>
  <si>
    <t>GHYNDRA RAMADHAN</t>
  </si>
  <si>
    <t>KAMILIA KHAERUNNISA</t>
  </si>
  <si>
    <t>KEYSA HAQ NURROHMAN</t>
  </si>
  <si>
    <t>KIKI FARIDAH</t>
  </si>
  <si>
    <t>LIDYA NUR AZIZAH</t>
  </si>
  <si>
    <t>LIHAN RADITYA</t>
  </si>
  <si>
    <t>MARSA ASMA NAJI'IFAH</t>
  </si>
  <si>
    <t>MAULIDA AURA NUR SYAFIRA</t>
  </si>
  <si>
    <t>MAYANG SALSABILA ALAMSYAH</t>
  </si>
  <si>
    <t>MUAMAR FAIRUZ RIZAL</t>
  </si>
  <si>
    <t>MUHAMAD FITRAH</t>
  </si>
  <si>
    <t>MUHAMMAD AZKAA MAULAANAA ADITYA</t>
  </si>
  <si>
    <t>MUHAMMAD INSAN BAGAS SUARSA</t>
  </si>
  <si>
    <t>MUTHYA ANINDYTA NURAFIFAH SUKMA</t>
  </si>
  <si>
    <t>NAUVAL AGHA RIFAL MUSHOLI</t>
  </si>
  <si>
    <t>NIDA ULHAQ NURSYIFA</t>
  </si>
  <si>
    <t>NUR SHALIHAH</t>
  </si>
  <si>
    <t>PUTRI ANGGRAENI</t>
  </si>
  <si>
    <t>REFAN SAPUTRA</t>
  </si>
  <si>
    <t>RENATA DHEA DETANTI</t>
  </si>
  <si>
    <t>RISKA RAHMAWATI SAGITA</t>
  </si>
  <si>
    <t>RIZATI AULIA</t>
  </si>
  <si>
    <t>RIZKY FATURROHMAN</t>
  </si>
  <si>
    <t>ROSI ROSITA</t>
  </si>
  <si>
    <t>ROSMAYANTI</t>
  </si>
  <si>
    <t>SHALSHABILA ENDRINA</t>
  </si>
  <si>
    <t>SITI MEYSYA MAESAROH</t>
  </si>
  <si>
    <t>SITI RAHMA AYU JULIAWATI</t>
  </si>
  <si>
    <t>SYIFA AZKA WARDANI</t>
  </si>
  <si>
    <t>TANIA KHANZA FEBRIANTI</t>
  </si>
  <si>
    <t>ZAHRA AURA BILKIS</t>
  </si>
  <si>
    <t>ALFATH SULTAN ADI BASTA</t>
  </si>
  <si>
    <t>ARIEK APRILIAN</t>
  </si>
  <si>
    <t>AURELIA SADIRA FADHILAH</t>
  </si>
  <si>
    <t>AZKIA NAZWA ASYIFA</t>
  </si>
  <si>
    <t>CAHAYA GUMITA</t>
  </si>
  <si>
    <t>CALISTA SYIFA OCTAVIANI</t>
  </si>
  <si>
    <t>CHELSE HESTIANA</t>
  </si>
  <si>
    <t>CITRA NABILAH</t>
  </si>
  <si>
    <t>FADEL YUTZAAK EL QOUDRY</t>
  </si>
  <si>
    <t>FAHRI FIRJATULLOH</t>
  </si>
  <si>
    <t>FARAMITA HAPY AGUSTINA</t>
  </si>
  <si>
    <t>HAJIJI</t>
  </si>
  <si>
    <t>JASMINE AZZAHRA DIANTY</t>
  </si>
  <si>
    <t>KEISHA DELFINA BERLIANTI</t>
  </si>
  <si>
    <t>KEYSHA FITRIA OCTAVIONA</t>
  </si>
  <si>
    <t>LARA NUR FITRI</t>
  </si>
  <si>
    <t>LUTHFI ANARGYA PRATAMA</t>
  </si>
  <si>
    <t>MOH.FARREL PANCA PRADIVA SOPYAN</t>
  </si>
  <si>
    <t>MUHAMMAD ARKAAN ATHALLAH</t>
  </si>
  <si>
    <t>MUHAMMAD GHAFKA YASSAR PUTRA</t>
  </si>
  <si>
    <t>NADHIRA KHAIRUNNISA AHLAM</t>
  </si>
  <si>
    <t>NADILA NUR ALFADILAH</t>
  </si>
  <si>
    <t>NASYWA PUTRI ASHARI ANWAR</t>
  </si>
  <si>
    <t>NAVIRA MEYSABRINA</t>
  </si>
  <si>
    <t>NAYLA DEWANTI PUTRI</t>
  </si>
  <si>
    <t>PANJI ALFAUZANI</t>
  </si>
  <si>
    <t>PRISA ALYA RAHMADINA</t>
  </si>
  <si>
    <t>RAISHA FEBRIANIEKA RESTU PUTRI</t>
  </si>
  <si>
    <t>RYANDRA RIZQI FADHILA</t>
  </si>
  <si>
    <t>SARAH AULIA NISRIINA</t>
  </si>
  <si>
    <t>SASKIA ZALFANI HAFIZH</t>
  </si>
  <si>
    <t>SHOFIYYAH PUTRI AISYAH</t>
  </si>
  <si>
    <t>SINTIA BAROKAH</t>
  </si>
  <si>
    <t>TALITHA FELICIA HOTMAIDA SIBURIAN</t>
  </si>
  <si>
    <t>ZAHRANI FARRAS SALSABILA</t>
  </si>
  <si>
    <t>ABYAN RAUFAL FARIDZIQ</t>
  </si>
  <si>
    <t>ADITHA SEPTIA RAHAYU</t>
  </si>
  <si>
    <t>ALISA SRI NURAINI</t>
  </si>
  <si>
    <t>AMELIA CAHYA JULIANI</t>
  </si>
  <si>
    <t>ARTIKA SARI KANIA</t>
  </si>
  <si>
    <t>ARUMI JULIANI</t>
  </si>
  <si>
    <t>ARYO AGNIANSYAH</t>
  </si>
  <si>
    <t>ASYANTI NURAINI</t>
  </si>
  <si>
    <t>ELVINA PUTRI ALIFA</t>
  </si>
  <si>
    <t>EVAN DWIDAMA WIHENDAR</t>
  </si>
  <si>
    <t>FADHIL IBNU RUSYDI</t>
  </si>
  <si>
    <t>FAKHRI DWI SETIA UMBARA</t>
  </si>
  <si>
    <t>FARROS JIHAD RAMADHAN AL MAISA</t>
  </si>
  <si>
    <t>FAUZI NUGROHO</t>
  </si>
  <si>
    <t>FIQRI SHARIF HIDAYAT TULLOH</t>
  </si>
  <si>
    <t>GHEARAIA ADINDA MARGHFIRA</t>
  </si>
  <si>
    <t>HAFIDZ ALIANSYAH</t>
  </si>
  <si>
    <t>HAWARI NURIL ANBIYA</t>
  </si>
  <si>
    <t>KEYSHA APRILLIANA AHDANI</t>
  </si>
  <si>
    <t>KHANSA NUR ATHIFA</t>
  </si>
  <si>
    <t>MELINDA DITA RIYANTI</t>
  </si>
  <si>
    <t>MUHAMMAD AKHMAL FACHRIAN</t>
  </si>
  <si>
    <t>MUHAMMAD RULY FATHURRACHMAN</t>
  </si>
  <si>
    <t>NABILA AQILAH</t>
  </si>
  <si>
    <t>NAJWA NUR SHABRINA</t>
  </si>
  <si>
    <t>NATAN FAKHRY MUHAMMAD</t>
  </si>
  <si>
    <t>NAURA ALMIRA RILFA</t>
  </si>
  <si>
    <t>NAYA RAMADHANI</t>
  </si>
  <si>
    <t>NURI ANASTASYA OKTAVIANA</t>
  </si>
  <si>
    <t>RAISHA NUR MARSIYAH</t>
  </si>
  <si>
    <t>TRYSTAN PRAMADINATA LEMAN</t>
  </si>
  <si>
    <t>VIZKA REHANDAKEYSA PEBRIANI</t>
  </si>
  <si>
    <t>WILNA NUR AINI</t>
  </si>
  <si>
    <t>YULIA EDI KUSNIA</t>
  </si>
  <si>
    <t>ZASKIA FATIMAH DIANING PURI</t>
  </si>
  <si>
    <t>ADELYA FAUZI ALFIAN</t>
  </si>
  <si>
    <t>ADLY SYAKIEB HAFIDZ GUSTIRA</t>
  </si>
  <si>
    <t>ALFIZAR SAFIY HAMIZAN</t>
  </si>
  <si>
    <t>ALIF YUSUF ANWAR</t>
  </si>
  <si>
    <t>ALYA ALMIRA PUTRI</t>
  </si>
  <si>
    <t>ANNISA AGHNIYA FAZA</t>
  </si>
  <si>
    <t xml:space="preserve">ARBIANSYAH AKBAR </t>
  </si>
  <si>
    <t>AYYAS HUSAYN</t>
  </si>
  <si>
    <t>BINTANG PUTRA RASYA DIKA</t>
  </si>
  <si>
    <t>DAFFA DERYAN RASHIF</t>
  </si>
  <si>
    <t>DANIS FERDIANSYAH</t>
  </si>
  <si>
    <t>DEAN SULTAN SADYA</t>
  </si>
  <si>
    <t xml:space="preserve">DZIKRY FARERA LENGGANA </t>
  </si>
  <si>
    <t>FARREL MUTTAQIN</t>
  </si>
  <si>
    <t>FREGA TEGUH DWIGUNA</t>
  </si>
  <si>
    <t>HANIF YANWAR WAHIDAN</t>
  </si>
  <si>
    <t>IMEITA NATASHA</t>
  </si>
  <si>
    <t>IRHAM HADI AHSANU</t>
  </si>
  <si>
    <t>KAISA VIDYA AMATULLAH</t>
  </si>
  <si>
    <t>KAKA ANDREA YAHYA</t>
  </si>
  <si>
    <t>MARVA AULIA AHMAD</t>
  </si>
  <si>
    <t>MUHAMMAD RAFFA HARVANI</t>
  </si>
  <si>
    <t>MUHAMMAD WILDAN TAUFIK</t>
  </si>
  <si>
    <t>NABIL AKBAR FADHILLAH</t>
  </si>
  <si>
    <t>NAILAH FAKHIRAH HANAF</t>
  </si>
  <si>
    <t>NAUFAL RAUSYAN FIKRI</t>
  </si>
  <si>
    <t xml:space="preserve">NESYA MEGA PUTRI </t>
  </si>
  <si>
    <t>PUTRI JASMINE AZZAHRA RAMADHANI</t>
  </si>
  <si>
    <t>RAFADITYA SYAHPUTRA</t>
  </si>
  <si>
    <t>RAIKHANIA RIZKY PUTRI HERDIANA</t>
  </si>
  <si>
    <t>REFKY FAVIAN MAHARDIKA</t>
  </si>
  <si>
    <t>RIZKY FAUZI RAHMAN</t>
  </si>
  <si>
    <t>SASHYKIRANA ANANDITA SAHRONI</t>
  </si>
  <si>
    <t>SITUMORANG, GABRIELDO</t>
  </si>
  <si>
    <t>TIFAYATUL HUSNA AZAHRA</t>
  </si>
  <si>
    <t>YUGA PUTRA NUGRAHA</t>
  </si>
  <si>
    <t>ABDURRAFFA MUHAMMAD AMRI</t>
  </si>
  <si>
    <t xml:space="preserve">AISYAH AGUSTINA RIYANTI </t>
  </si>
  <si>
    <t>ALDI FAIZAL</t>
  </si>
  <si>
    <t>ANDRI YUDIANSAH</t>
  </si>
  <si>
    <t>ARKANANTA WISALA ESHA'AL</t>
  </si>
  <si>
    <t>AUFA FADILAH</t>
  </si>
  <si>
    <t>BHAGAS ALAM SASTRO MIHARJO</t>
  </si>
  <si>
    <t>CINDY STEVANI</t>
  </si>
  <si>
    <t>FAKHRIZA AHMAD DARAJAT</t>
  </si>
  <si>
    <t>FARIDA DIANA NABILLA</t>
  </si>
  <si>
    <t>GHIATS ABDURAHMAN RASYID</t>
  </si>
  <si>
    <t>GHINAYA ARTA ILMI PUTERI GEMINI</t>
  </si>
  <si>
    <t>HASNA SALSABILA</t>
  </si>
  <si>
    <t>HILMAN AMINUDIN</t>
  </si>
  <si>
    <t xml:space="preserve">MARSYA RAIHANA FAZILA </t>
  </si>
  <si>
    <t>MUHAMAD AFGHAN PUTRA CAHYADI</t>
  </si>
  <si>
    <t>MUHAMMAD DAFA RAMDHANI</t>
  </si>
  <si>
    <t>MUHAMMAD DZAKWAN HAFIZH FADHILAH</t>
  </si>
  <si>
    <t>MUHAMMAD GHOZI IDZHARUDIN</t>
  </si>
  <si>
    <t>MUHAMMAD IKRAM RABBANI</t>
  </si>
  <si>
    <t>MUHAMMAD LUTHFI ALGHIFARI</t>
  </si>
  <si>
    <t>MUHAMMAD RAHLY HAIKAL FABIAN</t>
  </si>
  <si>
    <t>MUHAMMAD RANGGA NUGRAHA</t>
  </si>
  <si>
    <t>MUHAMMAD ZAIDAN AL-FATHIR</t>
  </si>
  <si>
    <t>NABILA YUSTIKA AZZAHRA</t>
  </si>
  <si>
    <t>NADIRA PUTERI AULIA</t>
  </si>
  <si>
    <t>NAUVAL AMORDI LAGA</t>
  </si>
  <si>
    <t>RANGGA</t>
  </si>
  <si>
    <t>RESTU NOOR ADITIA RAE</t>
  </si>
  <si>
    <t>RIZKI AULIA LINGGA</t>
  </si>
  <si>
    <t xml:space="preserve">SACHIO FADIL TAUFIK </t>
  </si>
  <si>
    <t>SAKINAH QUINNVASHA DARYANTO</t>
  </si>
  <si>
    <t>SATRIO FAWWAS FEBRIHARSONO</t>
  </si>
  <si>
    <t>SATYA PAMBUDI</t>
  </si>
  <si>
    <t>TUBAGUS RESTU BUDHI PRATAMA</t>
  </si>
  <si>
    <t>YUDA INDRA MAULIDA</t>
  </si>
  <si>
    <t>AKHTAR FAZIL SIDDIQ</t>
  </si>
  <si>
    <t>ANDRE LESDIANA A</t>
  </si>
  <si>
    <t>ANDRY TEGAR FIRMANSYAH</t>
  </si>
  <si>
    <t>AZUAN FAUZI HIDAYAT</t>
  </si>
  <si>
    <t>AZWAN ZAHRAAN AKBAR</t>
  </si>
  <si>
    <t>DAFFA RAISSA ZHAFIF</t>
  </si>
  <si>
    <t>DITYA SATRYA ROCHMAN</t>
  </si>
  <si>
    <t xml:space="preserve">FIKRI ALFARIDZI </t>
  </si>
  <si>
    <t>M. FADLAN RAMADHAN</t>
  </si>
  <si>
    <t>MUHAMAD RAFI KHOERUDIN</t>
  </si>
  <si>
    <t>MUHAMMAD ARFA PUTRA</t>
  </si>
  <si>
    <t>MUHAMMAD ATHAROHMAN</t>
  </si>
  <si>
    <t>MUHAMMAD GUNTUR YUKI ANATA</t>
  </si>
  <si>
    <t>MUHAMMAD KHAIRAN HAMBALI</t>
  </si>
  <si>
    <t>MUHAMMAD NABIL SAPUTRA</t>
  </si>
  <si>
    <t>MUHAMMAD RIZKY</t>
  </si>
  <si>
    <t>NADA JUWITA RAMADHANI</t>
  </si>
  <si>
    <t>RADEN DIAZKA ADHITYA BUDIMAN</t>
  </si>
  <si>
    <t xml:space="preserve">RAFAN FAUZI NUGRAHA </t>
  </si>
  <si>
    <t>RAFI RAMADHAN IRIANTO</t>
  </si>
  <si>
    <t>REYHAN EKA JULIANSYAH</t>
  </si>
  <si>
    <t xml:space="preserve">REZKY SYAHPUTRA ZAINI </t>
  </si>
  <si>
    <t>RIFA RAMADHANI IRIANTO</t>
  </si>
  <si>
    <t>RIZKY ACHMAD FAHLEVI</t>
  </si>
  <si>
    <t>SAHRUL FIRMANSYAH</t>
  </si>
  <si>
    <t>SATRIA DHAFA PRIMULIA</t>
  </si>
  <si>
    <t>SHAFA CHINTYANI ROHIMAH</t>
  </si>
  <si>
    <t xml:space="preserve">SRI MULYANI BINTANG </t>
  </si>
  <si>
    <t>SUSAN APRINENGSIH</t>
  </si>
  <si>
    <t xml:space="preserve">YAFI ZAINAL ABIDIN </t>
  </si>
  <si>
    <t>YULIANI SIMBOLON</t>
  </si>
  <si>
    <t>ZAIN ZAHRAN KAPILA</t>
  </si>
  <si>
    <t>ZILDAN NUR ZAMAN</t>
  </si>
  <si>
    <t>ADAM ARIFIN</t>
  </si>
  <si>
    <t>AFRIZAL TARDJA HANUGRA</t>
  </si>
  <si>
    <t>AGUNG DWI FRASETYO</t>
  </si>
  <si>
    <t>ALDI NUR PRIYANTO</t>
  </si>
  <si>
    <t>ALFI AKZA NAUFAL</t>
  </si>
  <si>
    <t>AZFA SEPTI SAUMI</t>
  </si>
  <si>
    <t>BARA SAJIWO</t>
  </si>
  <si>
    <t>DAFFA APRIANSYAH MURNIAWAN</t>
  </si>
  <si>
    <t>DENIS HERDIANSYAH</t>
  </si>
  <si>
    <t>DHIEGO RIVANNO</t>
  </si>
  <si>
    <t>DZAKHWAN ADLI ALFAUZAN</t>
  </si>
  <si>
    <t xml:space="preserve">ERIK SEBASTIAN JUNAEDI </t>
  </si>
  <si>
    <t>FIKRI AL-AYUBI</t>
  </si>
  <si>
    <t xml:space="preserve">FITRA MUHAMMAD ZAKI </t>
  </si>
  <si>
    <t>HADY AZIS TIFANDI</t>
  </si>
  <si>
    <t>HAFIDZ MUHAMAD REZI</t>
  </si>
  <si>
    <t>KEIZA ABI NUGRAHA</t>
  </si>
  <si>
    <t>M. FAIZAL RAMDHANI RUNDIA</t>
  </si>
  <si>
    <t>MOHAMMAD BAYKHUNI</t>
  </si>
  <si>
    <t xml:space="preserve">MUHAMAD ARYA PRATAMA </t>
  </si>
  <si>
    <t>MUHAMMAD AGNA MALIKA MIFTAH</t>
  </si>
  <si>
    <t>MUHAMMAD IMAM MULHAKIM</t>
  </si>
  <si>
    <t>MUHAMMAD YASSER ISMAIL</t>
  </si>
  <si>
    <t>MUHAMMAD ZAKY PRALIGA KARJONO</t>
  </si>
  <si>
    <t xml:space="preserve">RAFA ADRIAN PRATAMA </t>
  </si>
  <si>
    <t xml:space="preserve">RAFAEL ALIF RAMADHAN </t>
  </si>
  <si>
    <t>RAFIAN AURA RAMADHAN</t>
  </si>
  <si>
    <t>RAFLI AGUSTIANSYAH</t>
  </si>
  <si>
    <t>RAKHA ABYAN GHAUSSUFI</t>
  </si>
  <si>
    <t>RAKHA MUQTAFIN ALMA PRIBADI</t>
  </si>
  <si>
    <t>REISYA RIZSKY IBRINA</t>
  </si>
  <si>
    <t>SAPUTRA MURSAH AL FARIZI</t>
  </si>
  <si>
    <t>ZAHRA GHAIDA AFIFAH</t>
  </si>
  <si>
    <t>ALGHA GRAHA DWIFA</t>
  </si>
  <si>
    <t>ALI YAZID MUNTAZHAR</t>
  </si>
  <si>
    <t>ARBY RAFFANESYHATAMA</t>
  </si>
  <si>
    <t>ARI SAPUTRA BUDIARSO</t>
  </si>
  <si>
    <t>ARKAN DZAKI SALMAN</t>
  </si>
  <si>
    <t>ATHAR FARIZTA HERTRIADY</t>
  </si>
  <si>
    <t>BAGAS ANDIKA PRATAMA</t>
  </si>
  <si>
    <t>DAVINA  MUTIA SHALSABILLA</t>
  </si>
  <si>
    <t xml:space="preserve">EVAN HIBATULLAH </t>
  </si>
  <si>
    <t>EZRA SANDRA ATAYA</t>
  </si>
  <si>
    <t>FADLAN</t>
  </si>
  <si>
    <t>FAYZA KULLA AZMINA</t>
  </si>
  <si>
    <t>GHASSAN ZAIDAN FAIQ</t>
  </si>
  <si>
    <t>GHAZY SAKHI ABDULGHANI</t>
  </si>
  <si>
    <t>KHAIRAN HADI SUCIPTO</t>
  </si>
  <si>
    <t>MALIK HABIBULLAH</t>
  </si>
  <si>
    <t>MOCHAMAD RIZKY FAHRIZAL</t>
  </si>
  <si>
    <t>MOHAMMAD NEKEL SUDJATIMERA</t>
  </si>
  <si>
    <t xml:space="preserve">MUHAMMAD ALVARO ABRAR </t>
  </si>
  <si>
    <t>MUHAMMAD CECEP REZA</t>
  </si>
  <si>
    <t xml:space="preserve">MUHAMMAD ESYA NURHIDAYAT </t>
  </si>
  <si>
    <t>MUHAMMAD RESTU SUKMARA</t>
  </si>
  <si>
    <t>OPIK ISKANDAR</t>
  </si>
  <si>
    <t>PATHRESYA LOUIS TANDJUNG</t>
  </si>
  <si>
    <t>PUSPITA PUTRI INDAH MULYANI</t>
  </si>
  <si>
    <t>RAFAEL FATHIR RIZQY AR-RASYID</t>
  </si>
  <si>
    <t>RAKHA BAGAS SAPUTRA</t>
  </si>
  <si>
    <t>RANGGA SUGIANTO</t>
  </si>
  <si>
    <t>RASYAD RABBANI</t>
  </si>
  <si>
    <t>RAYHAN SAPUTRA</t>
  </si>
  <si>
    <t xml:space="preserve">RIDHWAN FAUZI </t>
  </si>
  <si>
    <t>SABIAN ADIS PRASTIKA</t>
  </si>
  <si>
    <t>SITI AINUR ROHMAH</t>
  </si>
  <si>
    <t>YUSUF RAHLIL MAULANA</t>
  </si>
  <si>
    <t>Awal 2024</t>
  </si>
  <si>
    <t>XIII KA 1</t>
  </si>
  <si>
    <t>XIII KA 2</t>
  </si>
  <si>
    <t>XIII KA 3</t>
  </si>
  <si>
    <t>XIII KA 4</t>
  </si>
  <si>
    <t>XIII KA 5</t>
  </si>
  <si>
    <t>XIII KA 6</t>
  </si>
  <si>
    <t>Eros Roswiyah,S.Pd</t>
  </si>
  <si>
    <t>Apriliani Hardiyanti Hariyono,S.Pd</t>
  </si>
  <si>
    <t>Sukmawidi,S.Pd</t>
  </si>
  <si>
    <t>DHIYA SHAFWAN</t>
  </si>
  <si>
    <t>DAILAMY NISSA RAMADHANI</t>
  </si>
  <si>
    <t>KHOIROTUN HISAAN</t>
  </si>
  <si>
    <t>MOCHAMAD ALI SYAUQI</t>
  </si>
  <si>
    <t>Tita Heriyanti, S.Pd</t>
  </si>
  <si>
    <t>Ela Nurlaela, S.Pd</t>
  </si>
  <si>
    <t>Rani Rabiussani, M.Pd</t>
  </si>
  <si>
    <t>Kania Dewi Waluya, S.kom</t>
  </si>
  <si>
    <t>Dra. Mimy Ardiany, M.T</t>
  </si>
  <si>
    <t>FHAIZ ALMUTAQIN</t>
  </si>
  <si>
    <t>Oman Somana, M.Pd</t>
  </si>
  <si>
    <t>Adiwiguna, S.Pd</t>
  </si>
  <si>
    <t>Ujang Suhara, S.Pd</t>
  </si>
  <si>
    <t>Tessa Eka Yuniar, S.Pd</t>
  </si>
  <si>
    <t>Eti Ariesanti, S.Pd</t>
  </si>
  <si>
    <t>Ariantonius Sagala, S.Kom</t>
  </si>
  <si>
    <t>Tini Rosmayani, S.Si</t>
  </si>
  <si>
    <t>Aam Siti Nur Rochmah, S.Pd</t>
  </si>
  <si>
    <t>Syafitri K. Arief, S.Pd, M.T</t>
  </si>
  <si>
    <t xml:space="preserve">0086985872  </t>
  </si>
  <si>
    <t xml:space="preserve">0082738092  </t>
  </si>
  <si>
    <t xml:space="preserve">0085056739  </t>
  </si>
  <si>
    <t xml:space="preserve">0096040843  </t>
  </si>
  <si>
    <t xml:space="preserve">0091552057  </t>
  </si>
  <si>
    <t xml:space="preserve">0081306089  </t>
  </si>
  <si>
    <t xml:space="preserve">0084014496  </t>
  </si>
  <si>
    <t xml:space="preserve">0081520116  </t>
  </si>
  <si>
    <t xml:space="preserve">0092327546  </t>
  </si>
  <si>
    <t xml:space="preserve">0086624070  </t>
  </si>
  <si>
    <t xml:space="preserve">0081155652  </t>
  </si>
  <si>
    <t xml:space="preserve">0085551583  </t>
  </si>
  <si>
    <t xml:space="preserve">0088196547  </t>
  </si>
  <si>
    <t xml:space="preserve">3080576208  </t>
  </si>
  <si>
    <t xml:space="preserve">0091024499  </t>
  </si>
  <si>
    <t xml:space="preserve">0089181110  </t>
  </si>
  <si>
    <t xml:space="preserve">0096669557  </t>
  </si>
  <si>
    <t xml:space="preserve">0084688524  </t>
  </si>
  <si>
    <t xml:space="preserve">0081675840  </t>
  </si>
  <si>
    <t xml:space="preserve">0091278801  </t>
  </si>
  <si>
    <t xml:space="preserve">0088394224  </t>
  </si>
  <si>
    <t xml:space="preserve">0099887847  </t>
  </si>
  <si>
    <t xml:space="preserve">0098880380  </t>
  </si>
  <si>
    <t xml:space="preserve">0093656322  </t>
  </si>
  <si>
    <t xml:space="preserve">0098731360  </t>
  </si>
  <si>
    <t xml:space="preserve">0088305634  </t>
  </si>
  <si>
    <t xml:space="preserve">0084430131  </t>
  </si>
  <si>
    <t xml:space="preserve">0097401082  </t>
  </si>
  <si>
    <t xml:space="preserve">0095262167  </t>
  </si>
  <si>
    <t xml:space="preserve">0083367863  </t>
  </si>
  <si>
    <t xml:space="preserve">0093408875  </t>
  </si>
  <si>
    <t xml:space="preserve">0081592132  </t>
  </si>
  <si>
    <t xml:space="preserve">0091689841  </t>
  </si>
  <si>
    <t xml:space="preserve">0089101437  </t>
  </si>
  <si>
    <t xml:space="preserve">0094589085  </t>
  </si>
  <si>
    <t xml:space="preserve">0096436995  </t>
  </si>
  <si>
    <t xml:space="preserve">0098776688  </t>
  </si>
  <si>
    <t xml:space="preserve">0094807363  </t>
  </si>
  <si>
    <t xml:space="preserve">0092625726  </t>
  </si>
  <si>
    <t xml:space="preserve">0094883860  </t>
  </si>
  <si>
    <t xml:space="preserve">0088914999  </t>
  </si>
  <si>
    <t xml:space="preserve">0081904378  </t>
  </si>
  <si>
    <t xml:space="preserve">0092597790  </t>
  </si>
  <si>
    <t xml:space="preserve">0082662611  </t>
  </si>
  <si>
    <t xml:space="preserve">0084320288  </t>
  </si>
  <si>
    <t xml:space="preserve">0086609664  </t>
  </si>
  <si>
    <t xml:space="preserve">0094832579  </t>
  </si>
  <si>
    <t xml:space="preserve">0091571489  </t>
  </si>
  <si>
    <t xml:space="preserve">0084486723  </t>
  </si>
  <si>
    <t xml:space="preserve">0097675057  </t>
  </si>
  <si>
    <t xml:space="preserve">0088986927  </t>
  </si>
  <si>
    <t xml:space="preserve">0091921416  </t>
  </si>
  <si>
    <t xml:space="preserve">0085244072  </t>
  </si>
  <si>
    <t xml:space="preserve">0099036466  </t>
  </si>
  <si>
    <t xml:space="preserve">3082883655  </t>
  </si>
  <si>
    <t xml:space="preserve">0084961838  </t>
  </si>
  <si>
    <t xml:space="preserve">0093011146  </t>
  </si>
  <si>
    <t xml:space="preserve">0088214849  </t>
  </si>
  <si>
    <t xml:space="preserve">0098874758  </t>
  </si>
  <si>
    <t xml:space="preserve">0092462819  </t>
  </si>
  <si>
    <t xml:space="preserve">0087059154  </t>
  </si>
  <si>
    <t xml:space="preserve">0082514837  </t>
  </si>
  <si>
    <t xml:space="preserve">0099898588  </t>
  </si>
  <si>
    <t xml:space="preserve">0084468232  </t>
  </si>
  <si>
    <t xml:space="preserve">0085364977  </t>
  </si>
  <si>
    <t xml:space="preserve">0083585009  </t>
  </si>
  <si>
    <t xml:space="preserve">0084120743  </t>
  </si>
  <si>
    <t xml:space="preserve">0097200375  </t>
  </si>
  <si>
    <t xml:space="preserve">0088898051  </t>
  </si>
  <si>
    <t xml:space="preserve">0097631377  </t>
  </si>
  <si>
    <t xml:space="preserve">0095746870  </t>
  </si>
  <si>
    <t xml:space="preserve">0094053105  </t>
  </si>
  <si>
    <t xml:space="preserve">0087223087  </t>
  </si>
  <si>
    <t xml:space="preserve">0094603134  </t>
  </si>
  <si>
    <t xml:space="preserve">0098748408  </t>
  </si>
  <si>
    <t xml:space="preserve">0089966505  </t>
  </si>
  <si>
    <t xml:space="preserve">0099826574  </t>
  </si>
  <si>
    <t xml:space="preserve">0093501458  </t>
  </si>
  <si>
    <t xml:space="preserve">0087896797  </t>
  </si>
  <si>
    <t xml:space="preserve">0097393214  </t>
  </si>
  <si>
    <t xml:space="preserve">0083739792  </t>
  </si>
  <si>
    <t xml:space="preserve">0089580912  </t>
  </si>
  <si>
    <t xml:space="preserve">0086611690  </t>
  </si>
  <si>
    <t xml:space="preserve">0089934665  </t>
  </si>
  <si>
    <t xml:space="preserve">0089729875  </t>
  </si>
  <si>
    <t xml:space="preserve">0088518271  </t>
  </si>
  <si>
    <t xml:space="preserve">0082345326  </t>
  </si>
  <si>
    <t xml:space="preserve">0099367342  </t>
  </si>
  <si>
    <t xml:space="preserve">0088622423  </t>
  </si>
  <si>
    <t xml:space="preserve">0098229646  </t>
  </si>
  <si>
    <t xml:space="preserve">0085023038  </t>
  </si>
  <si>
    <t xml:space="preserve">0088380557  </t>
  </si>
  <si>
    <t xml:space="preserve">0082706495  </t>
  </si>
  <si>
    <t xml:space="preserve">0087854003  </t>
  </si>
  <si>
    <t xml:space="preserve">0088606475  </t>
  </si>
  <si>
    <t xml:space="preserve">0092758668  </t>
  </si>
  <si>
    <t xml:space="preserve">0081380444  </t>
  </si>
  <si>
    <t xml:space="preserve">0096350223  </t>
  </si>
  <si>
    <t xml:space="preserve">0086356689  </t>
  </si>
  <si>
    <t xml:space="preserve">0083164250  </t>
  </si>
  <si>
    <t xml:space="preserve">0087593833  </t>
  </si>
  <si>
    <t xml:space="preserve">0093828895  </t>
  </si>
  <si>
    <t xml:space="preserve">0091046811  </t>
  </si>
  <si>
    <t xml:space="preserve">0093900872  </t>
  </si>
  <si>
    <t xml:space="preserve">0087875786  </t>
  </si>
  <si>
    <t xml:space="preserve">0098743654  </t>
  </si>
  <si>
    <t xml:space="preserve">0075621627  </t>
  </si>
  <si>
    <t xml:space="preserve">0088266215  </t>
  </si>
  <si>
    <t xml:space="preserve">0096632619  </t>
  </si>
  <si>
    <t xml:space="preserve">0081628172  </t>
  </si>
  <si>
    <t xml:space="preserve">0082280271  </t>
  </si>
  <si>
    <t xml:space="preserve">0086443722  </t>
  </si>
  <si>
    <t xml:space="preserve">0085432397  </t>
  </si>
  <si>
    <t xml:space="preserve">0091402980  </t>
  </si>
  <si>
    <t xml:space="preserve">0092567285  </t>
  </si>
  <si>
    <t xml:space="preserve">0098778748  </t>
  </si>
  <si>
    <t xml:space="preserve">0094185910  </t>
  </si>
  <si>
    <t xml:space="preserve">3091013270  </t>
  </si>
  <si>
    <t xml:space="preserve">0096461521  </t>
  </si>
  <si>
    <t xml:space="preserve">0098718677  </t>
  </si>
  <si>
    <t xml:space="preserve">0082789673  </t>
  </si>
  <si>
    <t xml:space="preserve">0099538085  </t>
  </si>
  <si>
    <t xml:space="preserve">0087316099  </t>
  </si>
  <si>
    <t xml:space="preserve">0085318955  </t>
  </si>
  <si>
    <t xml:space="preserve">0087109425  </t>
  </si>
  <si>
    <t xml:space="preserve">0094506576  </t>
  </si>
  <si>
    <t xml:space="preserve">0075117684  </t>
  </si>
  <si>
    <t xml:space="preserve">0096309549  </t>
  </si>
  <si>
    <t xml:space="preserve">0104580159  </t>
  </si>
  <si>
    <t xml:space="preserve">0097286338  </t>
  </si>
  <si>
    <t xml:space="preserve">0101705323  </t>
  </si>
  <si>
    <t xml:space="preserve">0087706108  </t>
  </si>
  <si>
    <t xml:space="preserve">0088494152  </t>
  </si>
  <si>
    <t xml:space="preserve">0089149890  </t>
  </si>
  <si>
    <t xml:space="preserve">0083516218  </t>
  </si>
  <si>
    <t xml:space="preserve">0086670330  </t>
  </si>
  <si>
    <t xml:space="preserve">0081116764  </t>
  </si>
  <si>
    <t xml:space="preserve">0082125311  </t>
  </si>
  <si>
    <t xml:space="preserve">0084160421  </t>
  </si>
  <si>
    <t xml:space="preserve">0086510314  </t>
  </si>
  <si>
    <t xml:space="preserve">0092972971  </t>
  </si>
  <si>
    <t xml:space="preserve">0095239526  </t>
  </si>
  <si>
    <t xml:space="preserve">0092270553  </t>
  </si>
  <si>
    <t xml:space="preserve">0093625915  </t>
  </si>
  <si>
    <t xml:space="preserve">0083306384  </t>
  </si>
  <si>
    <t xml:space="preserve">0098237034  </t>
  </si>
  <si>
    <t xml:space="preserve">3088257747  </t>
  </si>
  <si>
    <t xml:space="preserve">0086182538  </t>
  </si>
  <si>
    <t xml:space="preserve">0089734995  </t>
  </si>
  <si>
    <t xml:space="preserve">0084092354  </t>
  </si>
  <si>
    <t xml:space="preserve">0095114464  </t>
  </si>
  <si>
    <t xml:space="preserve">0081263315  </t>
  </si>
  <si>
    <t xml:space="preserve">0089247552  </t>
  </si>
  <si>
    <t xml:space="preserve">0084171930  </t>
  </si>
  <si>
    <t xml:space="preserve">3096474296  </t>
  </si>
  <si>
    <t xml:space="preserve">0092394908  </t>
  </si>
  <si>
    <t xml:space="preserve">0081648856  </t>
  </si>
  <si>
    <t xml:space="preserve">0088248349  </t>
  </si>
  <si>
    <t xml:space="preserve">0091523280  </t>
  </si>
  <si>
    <t xml:space="preserve">0094505119  </t>
  </si>
  <si>
    <t xml:space="preserve">3097866657  </t>
  </si>
  <si>
    <t xml:space="preserve">0095561318  </t>
  </si>
  <si>
    <t xml:space="preserve">3092375147  </t>
  </si>
  <si>
    <t xml:space="preserve">0086815886  </t>
  </si>
  <si>
    <t xml:space="preserve">0089908577  </t>
  </si>
  <si>
    <t xml:space="preserve">0089126274  </t>
  </si>
  <si>
    <t xml:space="preserve">0093796715  </t>
  </si>
  <si>
    <t xml:space="preserve">0098278808  </t>
  </si>
  <si>
    <t xml:space="preserve">0095969995  </t>
  </si>
  <si>
    <t xml:space="preserve">0082443997  </t>
  </si>
  <si>
    <t xml:space="preserve">0096748295  </t>
  </si>
  <si>
    <t xml:space="preserve">0082617276  </t>
  </si>
  <si>
    <t xml:space="preserve">3093913248  </t>
  </si>
  <si>
    <t xml:space="preserve">0086656421  </t>
  </si>
  <si>
    <t xml:space="preserve">0092494712  </t>
  </si>
  <si>
    <t xml:space="preserve">0098402574  </t>
  </si>
  <si>
    <t xml:space="preserve">0097250620  </t>
  </si>
  <si>
    <t xml:space="preserve">0097314580  </t>
  </si>
  <si>
    <t xml:space="preserve">0097676763  </t>
  </si>
  <si>
    <t xml:space="preserve">0085145785  </t>
  </si>
  <si>
    <t xml:space="preserve">0086806420  </t>
  </si>
  <si>
    <t xml:space="preserve">0088863174  </t>
  </si>
  <si>
    <t xml:space="preserve">0088020612  </t>
  </si>
  <si>
    <t xml:space="preserve">0087369197  </t>
  </si>
  <si>
    <t xml:space="preserve">0099888057  </t>
  </si>
  <si>
    <t xml:space="preserve">0084575029  </t>
  </si>
  <si>
    <t xml:space="preserve">0098403290  </t>
  </si>
  <si>
    <t xml:space="preserve">0081918603  </t>
  </si>
  <si>
    <t xml:space="preserve">0093462423  </t>
  </si>
  <si>
    <t xml:space="preserve">0081406389  </t>
  </si>
  <si>
    <t xml:space="preserve">0086317391  </t>
  </si>
  <si>
    <t xml:space="preserve">0095503915  </t>
  </si>
  <si>
    <t xml:space="preserve">0087896850  </t>
  </si>
  <si>
    <t xml:space="preserve">0086136478  </t>
  </si>
  <si>
    <t xml:space="preserve">0094870610  </t>
  </si>
  <si>
    <t xml:space="preserve">0087912399  </t>
  </si>
  <si>
    <t xml:space="preserve">0099356695  </t>
  </si>
  <si>
    <t xml:space="preserve">0082995896  </t>
  </si>
  <si>
    <t xml:space="preserve">0092365396  </t>
  </si>
  <si>
    <t xml:space="preserve">0088888827  </t>
  </si>
  <si>
    <t xml:space="preserve">0088366187  </t>
  </si>
  <si>
    <t xml:space="preserve">0095875972  </t>
  </si>
  <si>
    <t xml:space="preserve">0098248768  </t>
  </si>
  <si>
    <t xml:space="preserve">0086530655  </t>
  </si>
  <si>
    <t xml:space="preserve">0088992007  </t>
  </si>
  <si>
    <t xml:space="preserve">0093818048  </t>
  </si>
  <si>
    <t xml:space="preserve">0094872055  </t>
  </si>
  <si>
    <t xml:space="preserve">0094146548  </t>
  </si>
  <si>
    <t xml:space="preserve">0088639703  </t>
  </si>
  <si>
    <t xml:space="preserve">0093609084  </t>
  </si>
  <si>
    <t xml:space="preserve">0082408300  </t>
  </si>
  <si>
    <t xml:space="preserve">0099839155  </t>
  </si>
  <si>
    <t xml:space="preserve">3096048655  </t>
  </si>
  <si>
    <t xml:space="preserve">0089761823  </t>
  </si>
  <si>
    <t xml:space="preserve">0083620508  </t>
  </si>
  <si>
    <t xml:space="preserve">0097003151  </t>
  </si>
  <si>
    <t xml:space="preserve">0092137145  </t>
  </si>
  <si>
    <t xml:space="preserve">0087916106  </t>
  </si>
  <si>
    <t xml:space="preserve">0095085901  </t>
  </si>
  <si>
    <t xml:space="preserve">0095336041  </t>
  </si>
  <si>
    <t xml:space="preserve">0089341771  </t>
  </si>
  <si>
    <t xml:space="preserve">0097296846  </t>
  </si>
  <si>
    <t xml:space="preserve">0094995529  </t>
  </si>
  <si>
    <t xml:space="preserve">0096900894  </t>
  </si>
  <si>
    <t xml:space="preserve">3094589164  </t>
  </si>
  <si>
    <t xml:space="preserve">0098787501  </t>
  </si>
  <si>
    <t xml:space="preserve">0083912690  </t>
  </si>
  <si>
    <t xml:space="preserve">0086517268  </t>
  </si>
  <si>
    <t xml:space="preserve">0099930276  </t>
  </si>
  <si>
    <t xml:space="preserve">0095573252  </t>
  </si>
  <si>
    <t xml:space="preserve">0087467723  </t>
  </si>
  <si>
    <t xml:space="preserve">3097144451  </t>
  </si>
  <si>
    <t xml:space="preserve">0081744762  </t>
  </si>
  <si>
    <t xml:space="preserve">0088190060  </t>
  </si>
  <si>
    <t xml:space="preserve">0084058748  </t>
  </si>
  <si>
    <t xml:space="preserve">0095147822  </t>
  </si>
  <si>
    <t xml:space="preserve">0087215222  </t>
  </si>
  <si>
    <t xml:space="preserve">0084249496  </t>
  </si>
  <si>
    <t xml:space="preserve">3081221325  </t>
  </si>
  <si>
    <t xml:space="preserve">0082483612  </t>
  </si>
  <si>
    <t xml:space="preserve">0084245542  </t>
  </si>
  <si>
    <t xml:space="preserve">0082947154  </t>
  </si>
  <si>
    <t xml:space="preserve">0094557984  </t>
  </si>
  <si>
    <t xml:space="preserve">0082273407  </t>
  </si>
  <si>
    <t xml:space="preserve">0093347067  </t>
  </si>
  <si>
    <t xml:space="preserve">0091176198  </t>
  </si>
  <si>
    <t xml:space="preserve">0089999286  </t>
  </si>
  <si>
    <t xml:space="preserve">0097955381  </t>
  </si>
  <si>
    <t xml:space="preserve">0091042703  </t>
  </si>
  <si>
    <t xml:space="preserve">0086500732  </t>
  </si>
  <si>
    <t xml:space="preserve">0085820364  </t>
  </si>
  <si>
    <t xml:space="preserve">0084923065  </t>
  </si>
  <si>
    <t xml:space="preserve">0085027903  </t>
  </si>
  <si>
    <t xml:space="preserve">0099917345  </t>
  </si>
  <si>
    <t xml:space="preserve">0082485007  </t>
  </si>
  <si>
    <t xml:space="preserve">0085613381  </t>
  </si>
  <si>
    <t xml:space="preserve">0085195840  </t>
  </si>
  <si>
    <t xml:space="preserve">0098218336  </t>
  </si>
  <si>
    <t xml:space="preserve">0081676739  </t>
  </si>
  <si>
    <t xml:space="preserve">0089817484  </t>
  </si>
  <si>
    <t xml:space="preserve">0085715160  </t>
  </si>
  <si>
    <t xml:space="preserve">0087333932  </t>
  </si>
  <si>
    <t xml:space="preserve">0085104349  </t>
  </si>
  <si>
    <t xml:space="preserve">0095545644  </t>
  </si>
  <si>
    <t xml:space="preserve">0088108810  </t>
  </si>
  <si>
    <t xml:space="preserve">0088230208  </t>
  </si>
  <si>
    <t xml:space="preserve">0091305241  </t>
  </si>
  <si>
    <t xml:space="preserve">0092349412  </t>
  </si>
  <si>
    <t xml:space="preserve">0092943953  </t>
  </si>
  <si>
    <t xml:space="preserve">0087755280  </t>
  </si>
  <si>
    <t xml:space="preserve">0099674168  </t>
  </si>
  <si>
    <t xml:space="preserve">0086795046  </t>
  </si>
  <si>
    <t xml:space="preserve">0094288409  </t>
  </si>
  <si>
    <t xml:space="preserve">0093722035  </t>
  </si>
  <si>
    <t xml:space="preserve">0088790413  </t>
  </si>
  <si>
    <t xml:space="preserve">0091959988  </t>
  </si>
  <si>
    <t xml:space="preserve">0082438362  </t>
  </si>
  <si>
    <t xml:space="preserve">0089202540  </t>
  </si>
  <si>
    <t xml:space="preserve">0083568552  </t>
  </si>
  <si>
    <t xml:space="preserve">0082170453  </t>
  </si>
  <si>
    <t xml:space="preserve">0093896114  </t>
  </si>
  <si>
    <t xml:space="preserve">0094038768  </t>
  </si>
  <si>
    <t xml:space="preserve">0091523546  </t>
  </si>
  <si>
    <t xml:space="preserve">0083320421  </t>
  </si>
  <si>
    <t xml:space="preserve">0084710369  </t>
  </si>
  <si>
    <t xml:space="preserve">0083067491  </t>
  </si>
  <si>
    <t xml:space="preserve">0087524354  </t>
  </si>
  <si>
    <t xml:space="preserve">0086472956  </t>
  </si>
  <si>
    <t xml:space="preserve">3083063339  </t>
  </si>
  <si>
    <t xml:space="preserve">0085833526  </t>
  </si>
  <si>
    <t xml:space="preserve">0084410174  </t>
  </si>
  <si>
    <t xml:space="preserve">3094317836  </t>
  </si>
  <si>
    <t xml:space="preserve">0092904472  </t>
  </si>
  <si>
    <t xml:space="preserve">0087244731  </t>
  </si>
  <si>
    <t xml:space="preserve">0093483375  </t>
  </si>
  <si>
    <t xml:space="preserve">0099717818  </t>
  </si>
  <si>
    <t xml:space="preserve">0099252859  </t>
  </si>
  <si>
    <t xml:space="preserve">0094429268  </t>
  </si>
  <si>
    <t xml:space="preserve">0093705685  </t>
  </si>
  <si>
    <t xml:space="preserve">0086687845  </t>
  </si>
  <si>
    <t xml:space="preserve">0084308251  </t>
  </si>
  <si>
    <t xml:space="preserve">0099644920  </t>
  </si>
  <si>
    <t xml:space="preserve">0097066206  </t>
  </si>
  <si>
    <t xml:space="preserve">0092340441  </t>
  </si>
  <si>
    <t xml:space="preserve">0084825511  </t>
  </si>
  <si>
    <t xml:space="preserve">0085190091  </t>
  </si>
  <si>
    <t xml:space="preserve">0089928046  </t>
  </si>
  <si>
    <t xml:space="preserve">0088046365  </t>
  </si>
  <si>
    <t xml:space="preserve">0093189709  </t>
  </si>
  <si>
    <t xml:space="preserve">0099150853  </t>
  </si>
  <si>
    <t xml:space="preserve">0092514537  </t>
  </si>
  <si>
    <t xml:space="preserve">0084985246  </t>
  </si>
  <si>
    <t xml:space="preserve">0087407876  </t>
  </si>
  <si>
    <t xml:space="preserve">3088661364  </t>
  </si>
  <si>
    <t xml:space="preserve">0081006815  </t>
  </si>
  <si>
    <t xml:space="preserve">0081011831  </t>
  </si>
  <si>
    <t xml:space="preserve">0082542321  </t>
  </si>
  <si>
    <t xml:space="preserve">0082858995  </t>
  </si>
  <si>
    <t xml:space="preserve">0099597313  </t>
  </si>
  <si>
    <t xml:space="preserve">0099854527  </t>
  </si>
  <si>
    <t xml:space="preserve">0098157963  </t>
  </si>
  <si>
    <t xml:space="preserve">0085831539  </t>
  </si>
  <si>
    <t xml:space="preserve">0085817506  </t>
  </si>
  <si>
    <t xml:space="preserve">0084354073  </t>
  </si>
  <si>
    <t xml:space="preserve">0082676122  </t>
  </si>
  <si>
    <t xml:space="preserve">0096459802  </t>
  </si>
  <si>
    <t xml:space="preserve">0084446957  </t>
  </si>
  <si>
    <t xml:space="preserve">0089335398  </t>
  </si>
  <si>
    <t xml:space="preserve">0091504963  </t>
  </si>
  <si>
    <t xml:space="preserve">0092996890  </t>
  </si>
  <si>
    <t xml:space="preserve">0095267749  </t>
  </si>
  <si>
    <t xml:space="preserve">0092777822  </t>
  </si>
  <si>
    <t xml:space="preserve">0093076999  </t>
  </si>
  <si>
    <t xml:space="preserve">0084956802  </t>
  </si>
  <si>
    <t xml:space="preserve">0088252140  </t>
  </si>
  <si>
    <t xml:space="preserve">0087327540  </t>
  </si>
  <si>
    <t xml:space="preserve">3099423278  </t>
  </si>
  <si>
    <t xml:space="preserve">0081577334  </t>
  </si>
  <si>
    <t xml:space="preserve">0087964601  </t>
  </si>
  <si>
    <t xml:space="preserve">0098610616  </t>
  </si>
  <si>
    <t xml:space="preserve">0073677777  </t>
  </si>
  <si>
    <t xml:space="preserve">0089424536  </t>
  </si>
  <si>
    <t xml:space="preserve">0093246156  </t>
  </si>
  <si>
    <t xml:space="preserve">0095110320  </t>
  </si>
  <si>
    <t xml:space="preserve">0098558141  </t>
  </si>
  <si>
    <t xml:space="preserve">0089797084  </t>
  </si>
  <si>
    <t xml:space="preserve">0096836046  </t>
  </si>
  <si>
    <t xml:space="preserve">0084404344  </t>
  </si>
  <si>
    <t xml:space="preserve">0095843012  </t>
  </si>
  <si>
    <t xml:space="preserve">0092212115  </t>
  </si>
  <si>
    <t xml:space="preserve">0094398958  </t>
  </si>
  <si>
    <t xml:space="preserve">0082953057  </t>
  </si>
  <si>
    <t xml:space="preserve">0093078145  </t>
  </si>
  <si>
    <t xml:space="preserve">0089703805  </t>
  </si>
  <si>
    <t xml:space="preserve">0093339571  </t>
  </si>
  <si>
    <t xml:space="preserve">0073953069  </t>
  </si>
  <si>
    <t xml:space="preserve">0086054850  </t>
  </si>
  <si>
    <t xml:space="preserve">0087476786  </t>
  </si>
  <si>
    <t xml:space="preserve">3084822605  </t>
  </si>
  <si>
    <t xml:space="preserve">0089487010  </t>
  </si>
  <si>
    <t xml:space="preserve">0094449227  </t>
  </si>
  <si>
    <t xml:space="preserve">0086603234  </t>
  </si>
  <si>
    <t xml:space="preserve">0085321735  </t>
  </si>
  <si>
    <t xml:space="preserve">0098945024  </t>
  </si>
  <si>
    <t xml:space="preserve">0088402817  </t>
  </si>
  <si>
    <t xml:space="preserve">0086257492  </t>
  </si>
  <si>
    <t xml:space="preserve">0082621596  </t>
  </si>
  <si>
    <t xml:space="preserve">3081591161  </t>
  </si>
  <si>
    <t xml:space="preserve">0085811242  </t>
  </si>
  <si>
    <t xml:space="preserve">0085940969  </t>
  </si>
  <si>
    <t xml:space="preserve">0084898506  </t>
  </si>
  <si>
    <t xml:space="preserve">0086120298  </t>
  </si>
  <si>
    <t xml:space="preserve">3095346998  </t>
  </si>
  <si>
    <t xml:space="preserve">0089573813  </t>
  </si>
  <si>
    <t xml:space="preserve">0082558674  </t>
  </si>
  <si>
    <t xml:space="preserve">0094957657  </t>
  </si>
  <si>
    <t xml:space="preserve">0086170999  </t>
  </si>
  <si>
    <t xml:space="preserve">0089388364  </t>
  </si>
  <si>
    <t xml:space="preserve">0087238596  </t>
  </si>
  <si>
    <t xml:space="preserve">0081345262  </t>
  </si>
  <si>
    <t xml:space="preserve">0097621391  </t>
  </si>
  <si>
    <t xml:space="preserve">0082998065  </t>
  </si>
  <si>
    <t xml:space="preserve">0095895113  </t>
  </si>
  <si>
    <t xml:space="preserve">0089894596  </t>
  </si>
  <si>
    <t xml:space="preserve">0081231319  </t>
  </si>
  <si>
    <t xml:space="preserve">0099384134  </t>
  </si>
  <si>
    <t xml:space="preserve">0086205712  </t>
  </si>
  <si>
    <t>0095487249</t>
  </si>
  <si>
    <t>Akhir 2024 (Kls X)</t>
  </si>
  <si>
    <t>Masuk XI TKJ 1 M. Nadlif</t>
  </si>
  <si>
    <t>MUHAMMAD NADLIF HILAL GUMILAR</t>
  </si>
  <si>
    <t>TKJ</t>
  </si>
  <si>
    <t>RIZAL RAMADHANI PRATAMA</t>
  </si>
  <si>
    <t>0067061275</t>
  </si>
  <si>
    <t>2022/2023</t>
  </si>
  <si>
    <t>2023/2024</t>
  </si>
  <si>
    <t>2024/2025</t>
  </si>
  <si>
    <t>2025/2026</t>
  </si>
  <si>
    <t>2026/2027</t>
  </si>
  <si>
    <t xml:space="preserve">102419135 /   0086985872  </t>
  </si>
  <si>
    <t xml:space="preserve">102419136 /   0082738092  </t>
  </si>
  <si>
    <t xml:space="preserve">102419137 /   0085056739  </t>
  </si>
  <si>
    <t xml:space="preserve">102419138 /   0096040843  </t>
  </si>
  <si>
    <t xml:space="preserve">102419139 /   0091552057  </t>
  </si>
  <si>
    <t xml:space="preserve">102419140 /   0081306089  </t>
  </si>
  <si>
    <t xml:space="preserve">102419141 /   0084014496  </t>
  </si>
  <si>
    <t xml:space="preserve">102419142 /   0081520116  </t>
  </si>
  <si>
    <t xml:space="preserve">102419143 /   0092327546  </t>
  </si>
  <si>
    <t xml:space="preserve">102419144 /   0086624070  </t>
  </si>
  <si>
    <t xml:space="preserve">102419145 /   0081155652  </t>
  </si>
  <si>
    <t xml:space="preserve">102419146 /   0085551583  </t>
  </si>
  <si>
    <t xml:space="preserve">102419147 /   0088196547  </t>
  </si>
  <si>
    <t xml:space="preserve">102419148 /   3080576208  </t>
  </si>
  <si>
    <t xml:space="preserve">102419149 /   0091024499  </t>
  </si>
  <si>
    <t xml:space="preserve">102419150 /   0089181110  </t>
  </si>
  <si>
    <t xml:space="preserve">102419151 /   0096669557  </t>
  </si>
  <si>
    <t xml:space="preserve">102419152 /   0084688524  </t>
  </si>
  <si>
    <t xml:space="preserve">102419153 /   0081675840  </t>
  </si>
  <si>
    <t xml:space="preserve">102419154 /   0091278801  </t>
  </si>
  <si>
    <t xml:space="preserve">102419155 /   0088394224  </t>
  </si>
  <si>
    <t xml:space="preserve">102419156 /   0099887847  </t>
  </si>
  <si>
    <t xml:space="preserve">102419157 /   0098880380  </t>
  </si>
  <si>
    <t xml:space="preserve">102419158 /   0093656322  </t>
  </si>
  <si>
    <t xml:space="preserve">102419159 /   0098731360  </t>
  </si>
  <si>
    <t xml:space="preserve">102419160 /   0088305634  </t>
  </si>
  <si>
    <t xml:space="preserve">102419161 /   0084430131  </t>
  </si>
  <si>
    <t xml:space="preserve">102419162 /   0097401082  </t>
  </si>
  <si>
    <t xml:space="preserve">102419163 /   0095262167  </t>
  </si>
  <si>
    <t xml:space="preserve">102419164 /   0083367863  </t>
  </si>
  <si>
    <t xml:space="preserve">102419165 /   0093408875  </t>
  </si>
  <si>
    <t xml:space="preserve">102419166 /   0081592132  </t>
  </si>
  <si>
    <t xml:space="preserve">102419167 /   0091689841  </t>
  </si>
  <si>
    <t xml:space="preserve">102419168 /   0089101437  </t>
  </si>
  <si>
    <t xml:space="preserve">102419169 /   0094589085  </t>
  </si>
  <si>
    <t xml:space="preserve">102419170 /   0096436995  </t>
  </si>
  <si>
    <t xml:space="preserve">102419171 /   0098776688  </t>
  </si>
  <si>
    <t xml:space="preserve">102419172 /   0094807363  </t>
  </si>
  <si>
    <t xml:space="preserve">102419173 /   0092625726  </t>
  </si>
  <si>
    <t xml:space="preserve">102419174 /   0094883860  </t>
  </si>
  <si>
    <t xml:space="preserve">102419175 /   0088914999  </t>
  </si>
  <si>
    <t xml:space="preserve">102419176 /   0081904378  </t>
  </si>
  <si>
    <t xml:space="preserve">102419177 /   0092597790  </t>
  </si>
  <si>
    <t xml:space="preserve">102419178 /   0082662611  </t>
  </si>
  <si>
    <t xml:space="preserve">102419179 /   0084320288  </t>
  </si>
  <si>
    <t xml:space="preserve">102419180 /   0086609664  </t>
  </si>
  <si>
    <t xml:space="preserve">102419181 /   0094832579  </t>
  </si>
  <si>
    <t xml:space="preserve">102419182 /   0091571489  </t>
  </si>
  <si>
    <t xml:space="preserve">102419183 /   0084486723  </t>
  </si>
  <si>
    <t xml:space="preserve">102419184 /   0097675057  </t>
  </si>
  <si>
    <t xml:space="preserve">102419185 /   0088986927  </t>
  </si>
  <si>
    <t xml:space="preserve">102419186 /   0091921416  </t>
  </si>
  <si>
    <t xml:space="preserve">102419187 /   0085244072  </t>
  </si>
  <si>
    <t xml:space="preserve">102419188 /   0099036466  </t>
  </si>
  <si>
    <t xml:space="preserve">102419189 /   3082883655  </t>
  </si>
  <si>
    <t xml:space="preserve">102419190 /   0084961838  </t>
  </si>
  <si>
    <t xml:space="preserve">102419191 /   0093011146  </t>
  </si>
  <si>
    <t xml:space="preserve">102419192 /   0088214849  </t>
  </si>
  <si>
    <t xml:space="preserve">102419193 /   0098874758  </t>
  </si>
  <si>
    <t xml:space="preserve">102419194 /   0092462819  </t>
  </si>
  <si>
    <t xml:space="preserve">102419195 /   0087059154  </t>
  </si>
  <si>
    <t xml:space="preserve">102419196 /   0082514837  </t>
  </si>
  <si>
    <t xml:space="preserve">102419197 /   0099898588  </t>
  </si>
  <si>
    <t xml:space="preserve">102419198 /   0084468232  </t>
  </si>
  <si>
    <t xml:space="preserve">102419199 /   0085364977  </t>
  </si>
  <si>
    <t xml:space="preserve">102419200 /   0083585009  </t>
  </si>
  <si>
    <t xml:space="preserve">102419201 /   0084120743  </t>
  </si>
  <si>
    <t xml:space="preserve">102419202 /   0097200375  </t>
  </si>
  <si>
    <t xml:space="preserve">102419203 /   0088898051  </t>
  </si>
  <si>
    <t xml:space="preserve">102419204 /   0097631377  </t>
  </si>
  <si>
    <t xml:space="preserve">102419205 /   0095746870  </t>
  </si>
  <si>
    <t xml:space="preserve">102419206 /   0094053105  </t>
  </si>
  <si>
    <t xml:space="preserve">102419207 /   0087223087  </t>
  </si>
  <si>
    <t xml:space="preserve">102419208 /   0094603134  </t>
  </si>
  <si>
    <t xml:space="preserve">102419209 /   0098748408  </t>
  </si>
  <si>
    <t xml:space="preserve">102419210 /   0089966505  </t>
  </si>
  <si>
    <t xml:space="preserve">102419211 /   0099826574  </t>
  </si>
  <si>
    <t>102419212 /   0095487249</t>
  </si>
  <si>
    <t xml:space="preserve">102419213 /   0093501458  </t>
  </si>
  <si>
    <t xml:space="preserve">102419214 /   0087896797  </t>
  </si>
  <si>
    <t xml:space="preserve">102419215 /   0097393214  </t>
  </si>
  <si>
    <t xml:space="preserve">102419216 /   0083739792  </t>
  </si>
  <si>
    <t xml:space="preserve">102419217 /   0089580912  </t>
  </si>
  <si>
    <t xml:space="preserve">102419218 /   0086611690  </t>
  </si>
  <si>
    <t xml:space="preserve">102419219 /   0089934665  </t>
  </si>
  <si>
    <t xml:space="preserve">102419220 /   0089729875  </t>
  </si>
  <si>
    <t xml:space="preserve">102419221 /   0088518271  </t>
  </si>
  <si>
    <t xml:space="preserve">102419222 /   0082345326  </t>
  </si>
  <si>
    <t xml:space="preserve">102419223 /   0099367342  </t>
  </si>
  <si>
    <t xml:space="preserve">102419224 /   0088622423  </t>
  </si>
  <si>
    <t xml:space="preserve">102419225 /   0098229646  </t>
  </si>
  <si>
    <t xml:space="preserve">102419226 /   0085023038  </t>
  </si>
  <si>
    <t xml:space="preserve">102419227 /   0088380557  </t>
  </si>
  <si>
    <t xml:space="preserve">102419228 /   0082706495  </t>
  </si>
  <si>
    <t xml:space="preserve">102419229 /   0087854003  </t>
  </si>
  <si>
    <t xml:space="preserve">102419230 /   0088606475  </t>
  </si>
  <si>
    <t xml:space="preserve">102419231 /   0092758668  </t>
  </si>
  <si>
    <t xml:space="preserve">102419232 /   0081380444  </t>
  </si>
  <si>
    <t xml:space="preserve">102419233 /   0096350223  </t>
  </si>
  <si>
    <t xml:space="preserve">102419234 /   0086356689  </t>
  </si>
  <si>
    <t xml:space="preserve">102419235 /   0083164250  </t>
  </si>
  <si>
    <t xml:space="preserve">102419236 /   0087593833  </t>
  </si>
  <si>
    <t xml:space="preserve">102419237 /   0093828895  </t>
  </si>
  <si>
    <t xml:space="preserve">102419238 /   0091046811  </t>
  </si>
  <si>
    <t xml:space="preserve">102419239 /   0093900872  </t>
  </si>
  <si>
    <t xml:space="preserve">102419240 /   0087875786  </t>
  </si>
  <si>
    <t xml:space="preserve">102419241 /   0098743654  </t>
  </si>
  <si>
    <t xml:space="preserve">102419242 /   0075621627  </t>
  </si>
  <si>
    <t xml:space="preserve">102419243 /   0088266215  </t>
  </si>
  <si>
    <t xml:space="preserve">102419244 /   0096632619  </t>
  </si>
  <si>
    <t xml:space="preserve">102419245 /   0081628172  </t>
  </si>
  <si>
    <t xml:space="preserve">102419246 /   0082280271  </t>
  </si>
  <si>
    <t xml:space="preserve">102419247 /   0086443722  </t>
  </si>
  <si>
    <t xml:space="preserve">102419248 /   0085432397  </t>
  </si>
  <si>
    <t xml:space="preserve">102419249 /   0091402980  </t>
  </si>
  <si>
    <t xml:space="preserve">102419250 /   0092567285  </t>
  </si>
  <si>
    <t xml:space="preserve">102419251 /   0098778748  </t>
  </si>
  <si>
    <t xml:space="preserve">102419252 /   0094185910  </t>
  </si>
  <si>
    <t xml:space="preserve">102419253 /   3091013270  </t>
  </si>
  <si>
    <t xml:space="preserve">102419254 /   0096461521  </t>
  </si>
  <si>
    <t xml:space="preserve">102419255 /   0098718677  </t>
  </si>
  <si>
    <t xml:space="preserve">102419256 /   0082789673  </t>
  </si>
  <si>
    <t xml:space="preserve">102419257 /   0099538085  </t>
  </si>
  <si>
    <t xml:space="preserve">102419258 /   0087316099  </t>
  </si>
  <si>
    <t xml:space="preserve">102419259 /   0085318955  </t>
  </si>
  <si>
    <t xml:space="preserve">102419260 /   0087109425  </t>
  </si>
  <si>
    <t xml:space="preserve">102419261 /   0094506576  </t>
  </si>
  <si>
    <t xml:space="preserve">102419262 /   0075117684  </t>
  </si>
  <si>
    <t xml:space="preserve">102419263 /   0096309549  </t>
  </si>
  <si>
    <t xml:space="preserve">102419264 /   0104580159  </t>
  </si>
  <si>
    <t xml:space="preserve">102419265 /   0097286338  </t>
  </si>
  <si>
    <t xml:space="preserve">102419266 /   0101705323  </t>
  </si>
  <si>
    <t xml:space="preserve">102419267 /   0087706108  </t>
  </si>
  <si>
    <t xml:space="preserve">102419268 /   0088494152  </t>
  </si>
  <si>
    <t xml:space="preserve">102419269 /   0089149890  </t>
  </si>
  <si>
    <t xml:space="preserve">102419270 /   0083516218  </t>
  </si>
  <si>
    <t xml:space="preserve">102419271 /   0086670330  </t>
  </si>
  <si>
    <t xml:space="preserve">102419272 /   0081116764  </t>
  </si>
  <si>
    <t xml:space="preserve">102419273 /   0082125311  </t>
  </si>
  <si>
    <t xml:space="preserve">102419274 /   0084160421  </t>
  </si>
  <si>
    <t xml:space="preserve">102419275 /   0086510314  </t>
  </si>
  <si>
    <t xml:space="preserve">102419276 /   0092972971  </t>
  </si>
  <si>
    <t xml:space="preserve">102419277 /   0095239526  </t>
  </si>
  <si>
    <t xml:space="preserve">102419278 /   0092270553  </t>
  </si>
  <si>
    <t xml:space="preserve">102419279 /   0093625915  </t>
  </si>
  <si>
    <t xml:space="preserve">102419280 /   0083306384  </t>
  </si>
  <si>
    <t xml:space="preserve">102419281 /   0098237034  </t>
  </si>
  <si>
    <t xml:space="preserve">102419282 /   3088257747  </t>
  </si>
  <si>
    <t xml:space="preserve">102419283 /   0086182538  </t>
  </si>
  <si>
    <t xml:space="preserve">102419284 /   0089734995  </t>
  </si>
  <si>
    <t xml:space="preserve">102419285 /   0084092354  </t>
  </si>
  <si>
    <t xml:space="preserve">102419286 /   0095114464  </t>
  </si>
  <si>
    <t xml:space="preserve">102419287 /   0081263315  </t>
  </si>
  <si>
    <t xml:space="preserve">102419288 /   0089247552  </t>
  </si>
  <si>
    <t xml:space="preserve">102419289 /   0084171930  </t>
  </si>
  <si>
    <t xml:space="preserve">102419290 /   3096474296  </t>
  </si>
  <si>
    <t xml:space="preserve">102419291 /   0092394908  </t>
  </si>
  <si>
    <t xml:space="preserve">102419292 /   0081648856  </t>
  </si>
  <si>
    <t xml:space="preserve">102419293 /   0088248349  </t>
  </si>
  <si>
    <t xml:space="preserve">102419294 /   0091523280  </t>
  </si>
  <si>
    <t xml:space="preserve">102419295 /   0094505119  </t>
  </si>
  <si>
    <t xml:space="preserve">102419296 /   3097866657  </t>
  </si>
  <si>
    <t xml:space="preserve">102419297 /   0095561318  </t>
  </si>
  <si>
    <t xml:space="preserve">102419298 /   3092375147  </t>
  </si>
  <si>
    <t xml:space="preserve">102419299 /   0086815886  </t>
  </si>
  <si>
    <t xml:space="preserve">102419300 /   0089908577  </t>
  </si>
  <si>
    <t xml:space="preserve">102419301 /   0089126274  </t>
  </si>
  <si>
    <t xml:space="preserve">102419302 /   0093796715  </t>
  </si>
  <si>
    <t xml:space="preserve">102419303 /   0098278808  </t>
  </si>
  <si>
    <t xml:space="preserve">102419304 /   0095969995  </t>
  </si>
  <si>
    <t xml:space="preserve">102419305 /   0082443997  </t>
  </si>
  <si>
    <t xml:space="preserve">102419306 /   0096748295  </t>
  </si>
  <si>
    <t xml:space="preserve">102419307 /   0082617276  </t>
  </si>
  <si>
    <t xml:space="preserve">102419308 /   3093913248  </t>
  </si>
  <si>
    <t xml:space="preserve">102419309 /   0086656421  </t>
  </si>
  <si>
    <t xml:space="preserve">102419310 /   0092494712  </t>
  </si>
  <si>
    <t xml:space="preserve">102419311 /   0098402574  </t>
  </si>
  <si>
    <t xml:space="preserve">102419312 /   0097250620  </t>
  </si>
  <si>
    <t xml:space="preserve">102419313 /   0097314580  </t>
  </si>
  <si>
    <t xml:space="preserve">102419314 /   0097676763  </t>
  </si>
  <si>
    <t xml:space="preserve">102419315 /   0085145785  </t>
  </si>
  <si>
    <t xml:space="preserve">102419316 /   0086806420  </t>
  </si>
  <si>
    <t xml:space="preserve">102419317 /   0088863174  </t>
  </si>
  <si>
    <t xml:space="preserve">102419318 /   0088020612  </t>
  </si>
  <si>
    <t xml:space="preserve">102419319 /   0087369197  </t>
  </si>
  <si>
    <t xml:space="preserve">102419320 /   0099888057  </t>
  </si>
  <si>
    <t xml:space="preserve">102419321 /   0084575029  </t>
  </si>
  <si>
    <t xml:space="preserve">102419322 /   0098403290  </t>
  </si>
  <si>
    <t xml:space="preserve">102419323 /   0081918603  </t>
  </si>
  <si>
    <t xml:space="preserve">102419324 /   0093462423  </t>
  </si>
  <si>
    <t xml:space="preserve">102419325 /   0081406389  </t>
  </si>
  <si>
    <t xml:space="preserve">102419326 /   0086317391  </t>
  </si>
  <si>
    <t xml:space="preserve">102419327 /   0095503915  </t>
  </si>
  <si>
    <t xml:space="preserve">102419328 /   0087896850  </t>
  </si>
  <si>
    <t xml:space="preserve">102419329 /   0086136478  </t>
  </si>
  <si>
    <t xml:space="preserve">102419330 /   0094870610  </t>
  </si>
  <si>
    <t xml:space="preserve">102419331 /   0087912399  </t>
  </si>
  <si>
    <t xml:space="preserve">102419332 /   0099356695  </t>
  </si>
  <si>
    <t xml:space="preserve">102419333 /   0082995896  </t>
  </si>
  <si>
    <t xml:space="preserve">102419334 /   0092365396  </t>
  </si>
  <si>
    <t xml:space="preserve">102419335 /   0088888827  </t>
  </si>
  <si>
    <t xml:space="preserve">102419336 /   0088366187  </t>
  </si>
  <si>
    <t xml:space="preserve">102419337 /   0095875972  </t>
  </si>
  <si>
    <t xml:space="preserve">102419338 /   0098248768  </t>
  </si>
  <si>
    <t xml:space="preserve">102419339 /   0086530655  </t>
  </si>
  <si>
    <t xml:space="preserve">102419340 /   0088992007  </t>
  </si>
  <si>
    <t xml:space="preserve">102419341 /   0093818048  </t>
  </si>
  <si>
    <t xml:space="preserve">102419342 /   0094872055  </t>
  </si>
  <si>
    <t xml:space="preserve">102419343 /   0094146548  </t>
  </si>
  <si>
    <t xml:space="preserve">102419344 /   0088639703  </t>
  </si>
  <si>
    <t xml:space="preserve">102419345 /   0093609084  </t>
  </si>
  <si>
    <t xml:space="preserve">102419346 /   0082408300  </t>
  </si>
  <si>
    <t xml:space="preserve">102419347 /   0099839155  </t>
  </si>
  <si>
    <t xml:space="preserve">102419348 /   3096048655  </t>
  </si>
  <si>
    <t xml:space="preserve">102419349 /   0089761823  </t>
  </si>
  <si>
    <t xml:space="preserve">102419350 /   0083620508  </t>
  </si>
  <si>
    <t xml:space="preserve">102419351 /   0097003151  </t>
  </si>
  <si>
    <t xml:space="preserve">102419352 /   0092137145  </t>
  </si>
  <si>
    <t xml:space="preserve">102419353 /   0087916106  </t>
  </si>
  <si>
    <t xml:space="preserve">102419354 /   0095085901  </t>
  </si>
  <si>
    <t xml:space="preserve">102419355 /   0095336041  </t>
  </si>
  <si>
    <t xml:space="preserve">102419356 /   0089341771  </t>
  </si>
  <si>
    <t xml:space="preserve">102419357 /   0097296846  </t>
  </si>
  <si>
    <t xml:space="preserve">102419358 /   0094995529  </t>
  </si>
  <si>
    <t xml:space="preserve">102419359 /   0096900894  </t>
  </si>
  <si>
    <t xml:space="preserve">102419360 /   3094589164  </t>
  </si>
  <si>
    <t xml:space="preserve">102419361 /   0098787501  </t>
  </si>
  <si>
    <t xml:space="preserve">102419362 /   0083912690  </t>
  </si>
  <si>
    <t xml:space="preserve">102419363 /   0086517268  </t>
  </si>
  <si>
    <t xml:space="preserve">102419364 /   0099930276  </t>
  </si>
  <si>
    <t xml:space="preserve">102419365 /   0095573252  </t>
  </si>
  <si>
    <t xml:space="preserve">102419366 /   0087467723  </t>
  </si>
  <si>
    <t xml:space="preserve">102419367 /   3097144451  </t>
  </si>
  <si>
    <t xml:space="preserve">102419368 /   0081744762  </t>
  </si>
  <si>
    <t xml:space="preserve">102419369 /   0088190060  </t>
  </si>
  <si>
    <t xml:space="preserve">102419370 /   0084058748  </t>
  </si>
  <si>
    <t xml:space="preserve">102419371 /   0095147822  </t>
  </si>
  <si>
    <t xml:space="preserve">102419372 /   0087215222  </t>
  </si>
  <si>
    <t xml:space="preserve">102419373 /   0084249496  </t>
  </si>
  <si>
    <t xml:space="preserve">102419374 /   3081221325  </t>
  </si>
  <si>
    <t xml:space="preserve">102419375 /   0082483612  </t>
  </si>
  <si>
    <t xml:space="preserve">102419376 /   0084245542  </t>
  </si>
  <si>
    <t xml:space="preserve">102419377 /   0082947154  </t>
  </si>
  <si>
    <t xml:space="preserve">102419378 /   0094557984  </t>
  </si>
  <si>
    <t xml:space="preserve">102419379 /   0082273407  </t>
  </si>
  <si>
    <t xml:space="preserve">102419380 /   0093347067  </t>
  </si>
  <si>
    <t xml:space="preserve">102419381 /   0091176198  </t>
  </si>
  <si>
    <t xml:space="preserve">102419382 /   0089999286  </t>
  </si>
  <si>
    <t xml:space="preserve">102419383 /   0097955381  </t>
  </si>
  <si>
    <t xml:space="preserve">102419384 /   0091042703  </t>
  </si>
  <si>
    <t xml:space="preserve">102419385 /   0086500732  </t>
  </si>
  <si>
    <t xml:space="preserve">102419386 /   0085820364  </t>
  </si>
  <si>
    <t xml:space="preserve">102419387 /   0084923065  </t>
  </si>
  <si>
    <t xml:space="preserve">102419388 /   0085027903  </t>
  </si>
  <si>
    <t xml:space="preserve">102419389 /   0099917345  </t>
  </si>
  <si>
    <t xml:space="preserve">102419390 /   0082485007  </t>
  </si>
  <si>
    <t xml:space="preserve">102419391 /   0085613381  </t>
  </si>
  <si>
    <t xml:space="preserve">102419392 /   0085195840  </t>
  </si>
  <si>
    <t xml:space="preserve">102419393 /   0098218336  </t>
  </si>
  <si>
    <t xml:space="preserve">102419394 /   0081676739  </t>
  </si>
  <si>
    <t xml:space="preserve">102419395 /   0089817484  </t>
  </si>
  <si>
    <t xml:space="preserve">102419396 /   0085715160  </t>
  </si>
  <si>
    <t xml:space="preserve">102419397 /   0087333932  </t>
  </si>
  <si>
    <t xml:space="preserve">102419398 /   0085104349  </t>
  </si>
  <si>
    <t xml:space="preserve">102419399 /   0095545644  </t>
  </si>
  <si>
    <t xml:space="preserve">102419400 /   0088108810  </t>
  </si>
  <si>
    <t xml:space="preserve">102419401 /   0088230208  </t>
  </si>
  <si>
    <t xml:space="preserve">102419402 /   0091305241  </t>
  </si>
  <si>
    <t xml:space="preserve">102419403 /   0092349412  </t>
  </si>
  <si>
    <t xml:space="preserve">102419404 /   0092943953  </t>
  </si>
  <si>
    <t xml:space="preserve">102419405 /   0087755280  </t>
  </si>
  <si>
    <t xml:space="preserve">102419406 /   0099674168  </t>
  </si>
  <si>
    <t xml:space="preserve">102419407 /   0086795046  </t>
  </si>
  <si>
    <t xml:space="preserve">102419408 /   0094288409  </t>
  </si>
  <si>
    <t xml:space="preserve">102419409 /   0093722035  </t>
  </si>
  <si>
    <t xml:space="preserve">102419410 /   0088790413  </t>
  </si>
  <si>
    <t xml:space="preserve">102419411 /   0091959988  </t>
  </si>
  <si>
    <t xml:space="preserve">102419412 /   0082438362  </t>
  </si>
  <si>
    <t xml:space="preserve">102419413 /   0089202540  </t>
  </si>
  <si>
    <t xml:space="preserve">102419414 /   0083568552  </t>
  </si>
  <si>
    <t xml:space="preserve">102419415 /   0082170453  </t>
  </si>
  <si>
    <t xml:space="preserve">102419416 /   0093896114  </t>
  </si>
  <si>
    <t xml:space="preserve">102419417 /   0094038768  </t>
  </si>
  <si>
    <t xml:space="preserve">102419418 /   0091523546  </t>
  </si>
  <si>
    <t xml:space="preserve">102419419 /   0083320421  </t>
  </si>
  <si>
    <t xml:space="preserve">102419420 /   0084710369  </t>
  </si>
  <si>
    <t xml:space="preserve">102419421 /   0083067491  </t>
  </si>
  <si>
    <t xml:space="preserve">102419422 /   0087524354  </t>
  </si>
  <si>
    <t xml:space="preserve">102419423 /   0086472956  </t>
  </si>
  <si>
    <t xml:space="preserve">102419424 /   3083063339  </t>
  </si>
  <si>
    <t xml:space="preserve">102419425 /   0085833526  </t>
  </si>
  <si>
    <t xml:space="preserve">102419426 /   0084410174  </t>
  </si>
  <si>
    <t xml:space="preserve">102419427 /   3094317836  </t>
  </si>
  <si>
    <t xml:space="preserve">102419428 /   0092904472  </t>
  </si>
  <si>
    <t xml:space="preserve">102419429 /   0087244731  </t>
  </si>
  <si>
    <t xml:space="preserve">102419430 /   0093483375  </t>
  </si>
  <si>
    <t xml:space="preserve">102419431 /   0099717818  </t>
  </si>
  <si>
    <t xml:space="preserve">102419432 /   0099252859  </t>
  </si>
  <si>
    <t xml:space="preserve">102419433 /   0094429268  </t>
  </si>
  <si>
    <t xml:space="preserve">102419434 /   0093705685  </t>
  </si>
  <si>
    <t xml:space="preserve">102419435 /   0086687845  </t>
  </si>
  <si>
    <t xml:space="preserve">102419436 /   0084308251  </t>
  </si>
  <si>
    <t xml:space="preserve">102419437 /   0099644920  </t>
  </si>
  <si>
    <t xml:space="preserve">102419438 /   0097066206  </t>
  </si>
  <si>
    <t xml:space="preserve">102419439 /   0092340441  </t>
  </si>
  <si>
    <t xml:space="preserve">102419440 /   0084825511  </t>
  </si>
  <si>
    <t xml:space="preserve">102419441 /   0085190091  </t>
  </si>
  <si>
    <t xml:space="preserve">102419442 /   0089928046  </t>
  </si>
  <si>
    <t xml:space="preserve">102419443 /   0088046365  </t>
  </si>
  <si>
    <t xml:space="preserve">102419444 /   0093189709  </t>
  </si>
  <si>
    <t xml:space="preserve">102419445 /   0099150853  </t>
  </si>
  <si>
    <t xml:space="preserve">102419446 /   0092514537  </t>
  </si>
  <si>
    <t xml:space="preserve">102419447 /   0084985246  </t>
  </si>
  <si>
    <t xml:space="preserve">102419448 /   0087407876  </t>
  </si>
  <si>
    <t xml:space="preserve">102419449 /   3088661364  </t>
  </si>
  <si>
    <t xml:space="preserve">102419450 /   0081006815  </t>
  </si>
  <si>
    <t xml:space="preserve">102419451 /   0081011831  </t>
  </si>
  <si>
    <t xml:space="preserve">102419452 /   0082542321  </t>
  </si>
  <si>
    <t xml:space="preserve">102419453 /   0082858995  </t>
  </si>
  <si>
    <t xml:space="preserve">102419454 /   0099597313  </t>
  </si>
  <si>
    <t xml:space="preserve">102419455 /   0099854527  </t>
  </si>
  <si>
    <t xml:space="preserve">102419456 /   0098157963  </t>
  </si>
  <si>
    <t xml:space="preserve">102419457 /   0085831539  </t>
  </si>
  <si>
    <t xml:space="preserve">102419458 /   0085817506  </t>
  </si>
  <si>
    <t xml:space="preserve">102419459 /   0084354073  </t>
  </si>
  <si>
    <t xml:space="preserve">102419460 /   0082676122  </t>
  </si>
  <si>
    <t xml:space="preserve">102419461 /   0096459802  </t>
  </si>
  <si>
    <t xml:space="preserve">102419462 /   0084446957  </t>
  </si>
  <si>
    <t xml:space="preserve">102419463 /   0089335398  </t>
  </si>
  <si>
    <t xml:space="preserve">102419464 /   0091504963  </t>
  </si>
  <si>
    <t xml:space="preserve">102419465 /   0092996890  </t>
  </si>
  <si>
    <t xml:space="preserve">102419466 /   0095267749  </t>
  </si>
  <si>
    <t xml:space="preserve">102419467 /   0092777822  </t>
  </si>
  <si>
    <t xml:space="preserve">102419468 /   0093076999  </t>
  </si>
  <si>
    <t xml:space="preserve">102419469 /   0084956802  </t>
  </si>
  <si>
    <t xml:space="preserve">102419470 /   0088252140  </t>
  </si>
  <si>
    <t xml:space="preserve">102419471 /   0087327540  </t>
  </si>
  <si>
    <t xml:space="preserve">102419472 /   3099423278  </t>
  </si>
  <si>
    <t xml:space="preserve">102419473 /   0081577334  </t>
  </si>
  <si>
    <t xml:space="preserve">102419474 /   0087964601  </t>
  </si>
  <si>
    <t xml:space="preserve">102419475 /   0098610616  </t>
  </si>
  <si>
    <t xml:space="preserve">102419476 /   0073677777  </t>
  </si>
  <si>
    <t xml:space="preserve">102419477 /   0089424536  </t>
  </si>
  <si>
    <t xml:space="preserve">102419478 /   0093246156  </t>
  </si>
  <si>
    <t xml:space="preserve">102419479 /   0095110320  </t>
  </si>
  <si>
    <t xml:space="preserve">102419480 /   0098558141  </t>
  </si>
  <si>
    <t xml:space="preserve">102419481 /   0089797084  </t>
  </si>
  <si>
    <t xml:space="preserve">102419482 /   0096836046  </t>
  </si>
  <si>
    <t xml:space="preserve">102419483 /   0084404344  </t>
  </si>
  <si>
    <t xml:space="preserve">102419484 /   0095843012  </t>
  </si>
  <si>
    <t xml:space="preserve">102419485 /   0092212115  </t>
  </si>
  <si>
    <t xml:space="preserve">102419486 /   0094398958  </t>
  </si>
  <si>
    <t xml:space="preserve">102419487 /   0082953057  </t>
  </si>
  <si>
    <t xml:space="preserve">102419488 /   0093078145  </t>
  </si>
  <si>
    <t xml:space="preserve">102419489 /   0089703805  </t>
  </si>
  <si>
    <t xml:space="preserve">102419490 /   0093339571  </t>
  </si>
  <si>
    <t xml:space="preserve">102419491 /   0073953069  </t>
  </si>
  <si>
    <t xml:space="preserve">102419492 /   0086054850  </t>
  </si>
  <si>
    <t xml:space="preserve">102419493 /   0087476786  </t>
  </si>
  <si>
    <t xml:space="preserve">102419494 /   3084822605  </t>
  </si>
  <si>
    <t xml:space="preserve">102419495 /   0089487010  </t>
  </si>
  <si>
    <t xml:space="preserve">102419496 /   0094449227  </t>
  </si>
  <si>
    <t xml:space="preserve">102419497 /   0086603234  </t>
  </si>
  <si>
    <t xml:space="preserve">102419498 /   0085321735  </t>
  </si>
  <si>
    <t xml:space="preserve">102419499 /   0098945024  </t>
  </si>
  <si>
    <t>102419500 /   0</t>
  </si>
  <si>
    <t xml:space="preserve">102419501 /   0088402817  </t>
  </si>
  <si>
    <t xml:space="preserve">102419502 /   0086257492  </t>
  </si>
  <si>
    <t xml:space="preserve">102419503 /   0082621596  </t>
  </si>
  <si>
    <t xml:space="preserve">102419504 /   3081591161  </t>
  </si>
  <si>
    <t xml:space="preserve">102419505 /   0085811242  </t>
  </si>
  <si>
    <t xml:space="preserve">102419506 /   0085940969  </t>
  </si>
  <si>
    <t xml:space="preserve">102419507 /   0084898506  </t>
  </si>
  <si>
    <t xml:space="preserve">102419508 /   0086120298  </t>
  </si>
  <si>
    <t xml:space="preserve">102419509 /   3095346998  </t>
  </si>
  <si>
    <t xml:space="preserve">102419510 /   0089573813  </t>
  </si>
  <si>
    <t xml:space="preserve">102419511 /   0082558674  </t>
  </si>
  <si>
    <t xml:space="preserve">102419512 /   0094957657  </t>
  </si>
  <si>
    <t xml:space="preserve">102419513 /   0086170999  </t>
  </si>
  <si>
    <t xml:space="preserve">102419514 /   0089388364  </t>
  </si>
  <si>
    <t xml:space="preserve">102419515 /   0087238596  </t>
  </si>
  <si>
    <t xml:space="preserve">102419516 /   0081345262  </t>
  </si>
  <si>
    <t xml:space="preserve">102419517 /   0097621391  </t>
  </si>
  <si>
    <t xml:space="preserve">102419518 /   0082998065  </t>
  </si>
  <si>
    <t xml:space="preserve">102419519 /   0095895113  </t>
  </si>
  <si>
    <t xml:space="preserve">102419520 /   0089894596  </t>
  </si>
  <si>
    <t xml:space="preserve">102419521 /   0081231319  </t>
  </si>
  <si>
    <t xml:space="preserve">102419522 /   0099384134  </t>
  </si>
  <si>
    <t xml:space="preserve">102419523 /   0086205712  </t>
  </si>
  <si>
    <t>Keluar 7 Januari 2025</t>
  </si>
  <si>
    <t>Keluar 7 Februari 2025</t>
  </si>
  <si>
    <t>Lulus 7 Mei 2024</t>
  </si>
  <si>
    <t>102318738 / 0076650474</t>
  </si>
  <si>
    <t>102318739 / 0086535292</t>
  </si>
  <si>
    <t>102318740 / 0073643663</t>
  </si>
  <si>
    <t>102318741 / 0089316539</t>
  </si>
  <si>
    <t>102318742 / 0075977264</t>
  </si>
  <si>
    <t>102318743 / 0074316539</t>
  </si>
  <si>
    <t>102318744 / 0077024892</t>
  </si>
  <si>
    <t>102318745 / 0075115777</t>
  </si>
  <si>
    <t>102318746 / 0089847230</t>
  </si>
  <si>
    <t>102318747 / 0087993601</t>
  </si>
  <si>
    <t>102318748 / 0083121409</t>
  </si>
  <si>
    <t>102318749 / 0076487771</t>
  </si>
  <si>
    <t>102318750 / 0083861812</t>
  </si>
  <si>
    <t>102318751 / 0073444383</t>
  </si>
  <si>
    <t>102318752 / 0086597062</t>
  </si>
  <si>
    <t>102318753 / 0088168979</t>
  </si>
  <si>
    <t>102318754 / 0075463246</t>
  </si>
  <si>
    <t>102318755 / 0071783553</t>
  </si>
  <si>
    <t>102318756 / 0082007607</t>
  </si>
  <si>
    <t>102318757 / 0087008346</t>
  </si>
  <si>
    <t>102318758 / 0082388418</t>
  </si>
  <si>
    <t>102318759 / 0088620854</t>
  </si>
  <si>
    <t>102318760 / 0082811386</t>
  </si>
  <si>
    <t>102318761 / 0072159565</t>
  </si>
  <si>
    <t>102318762 / 0076284245</t>
  </si>
  <si>
    <t>102318763 / 0078016724</t>
  </si>
  <si>
    <t>102318764 / 0085595699</t>
  </si>
  <si>
    <t>102318765 / 0071854052</t>
  </si>
  <si>
    <t>102318766 / 0074233228</t>
  </si>
  <si>
    <t>102318767 / 0081133852</t>
  </si>
  <si>
    <t>102318768 / 3078294883</t>
  </si>
  <si>
    <t>102318769 / 0078892846</t>
  </si>
  <si>
    <t>102318770 / 0086108062</t>
  </si>
  <si>
    <t>102318771 / 0075938192</t>
  </si>
  <si>
    <t>102318772 / 0078099494</t>
  </si>
  <si>
    <t>VERDY SATRIA GIFARI</t>
  </si>
  <si>
    <t>102318773 / 0086799792</t>
  </si>
  <si>
    <t>102318774 / 3085051012</t>
  </si>
  <si>
    <t>102318775 / 0073567964</t>
  </si>
  <si>
    <t>102318776 / 0083465238</t>
  </si>
  <si>
    <t>102318777 / 0083222975</t>
  </si>
  <si>
    <t>102318778 / 0074840659</t>
  </si>
  <si>
    <t>102318779 / 0076654942</t>
  </si>
  <si>
    <t>102318780 / 0073463134</t>
  </si>
  <si>
    <t>102318781 / 0081408458</t>
  </si>
  <si>
    <t>102318782 / 0087221131</t>
  </si>
  <si>
    <t>102318783 / 0085798636</t>
  </si>
  <si>
    <t>102318784 / 0075839709</t>
  </si>
  <si>
    <t>102318785 / 0085379842</t>
  </si>
  <si>
    <t>102318786 / 0082036680</t>
  </si>
  <si>
    <t>102318787 / 0078614373</t>
  </si>
  <si>
    <t>FAWWAZ DARUSSALAM</t>
  </si>
  <si>
    <t>102318788 / 0092148002</t>
  </si>
  <si>
    <t>FERA MAULIDIYA GUNAWAN</t>
  </si>
  <si>
    <t>102318789 / 0085343931</t>
  </si>
  <si>
    <t>102318790 / 0075257725</t>
  </si>
  <si>
    <t>102318791 / 0081320475</t>
  </si>
  <si>
    <t>102318792 / 0081715088</t>
  </si>
  <si>
    <t>102318793 / 0071667824</t>
  </si>
  <si>
    <t>102318794 / 0089247870</t>
  </si>
  <si>
    <t>102318795 / 0088331583</t>
  </si>
  <si>
    <t>102318796 / 0085866723</t>
  </si>
  <si>
    <t>102318797 / 0084094977</t>
  </si>
  <si>
    <t>102318798 / 0076436466</t>
  </si>
  <si>
    <t>102318799 / 0075122729</t>
  </si>
  <si>
    <t>102318800 / 0088641135</t>
  </si>
  <si>
    <t>102318801 / 0075641736</t>
  </si>
  <si>
    <t>102318802 / 0088615018</t>
  </si>
  <si>
    <t>102318803 / 0075507432</t>
  </si>
  <si>
    <t>102318804 / 0077007002</t>
  </si>
  <si>
    <t>102318805 / 0079635732</t>
  </si>
  <si>
    <t>102318806 / 0087009812</t>
  </si>
  <si>
    <t>102318807 / 0073418492</t>
  </si>
  <si>
    <t>102318808 / 0084133237</t>
  </si>
  <si>
    <t>102318809 / 0083676718</t>
  </si>
  <si>
    <t>102318810 / 0077280204</t>
  </si>
  <si>
    <t>102318811 / 0086626524</t>
  </si>
  <si>
    <t>102318812 / 0084951585</t>
  </si>
  <si>
    <t>102318813 / 0082555479</t>
  </si>
  <si>
    <t>102318814 / 0083899515</t>
  </si>
  <si>
    <t>102318815 / 0075630300</t>
  </si>
  <si>
    <t>102318816 / 0082801923</t>
  </si>
  <si>
    <t>102318817 / 0083015573</t>
  </si>
  <si>
    <t>102318818 / 0079592277</t>
  </si>
  <si>
    <t>102318819 / 0089303968</t>
  </si>
  <si>
    <t>102318820 / 0085593058</t>
  </si>
  <si>
    <t>102318821 / 0081858563</t>
  </si>
  <si>
    <t>102318834 / 0081094469</t>
  </si>
  <si>
    <t>FUTUWATUL MARATUL ALIA</t>
  </si>
  <si>
    <t>102318822 / 0087904714</t>
  </si>
  <si>
    <t>102318823 / 0084947055</t>
  </si>
  <si>
    <t>102318824 / 0072225646</t>
  </si>
  <si>
    <t>102318825 / 0082349698</t>
  </si>
  <si>
    <t>102318826 / 0075071757</t>
  </si>
  <si>
    <t>102318827 / 0088205829</t>
  </si>
  <si>
    <t>102318828 / 0077692756</t>
  </si>
  <si>
    <t>102318829 / 0081322572</t>
  </si>
  <si>
    <t>102318830 / 0087951998</t>
  </si>
  <si>
    <t>102318831 / 0082601060</t>
  </si>
  <si>
    <t>102318832 / 0086013230</t>
  </si>
  <si>
    <t>102318833 / 0089963657</t>
  </si>
  <si>
    <t>102318835 / 0076646342</t>
  </si>
  <si>
    <t>102318836 / 0075496974</t>
  </si>
  <si>
    <t>102318837 / 0079232250</t>
  </si>
  <si>
    <t>RAISYA ZACKYAH AGUSTIN</t>
  </si>
  <si>
    <t>102318838 / 0085341813</t>
  </si>
  <si>
    <t>102318839 / 0077753281</t>
  </si>
  <si>
    <t>102318840 / 0085839134</t>
  </si>
  <si>
    <t>102318841 / 0086437547</t>
  </si>
  <si>
    <t>102318842 / 0086624127</t>
  </si>
  <si>
    <t>102318843 / 0083798069</t>
  </si>
  <si>
    <t>102318844 / 0072929475</t>
  </si>
  <si>
    <t>102318845 / 3095196125</t>
  </si>
  <si>
    <t>102318846 / 0087367217</t>
  </si>
  <si>
    <t>102318847 / 0088392243</t>
  </si>
  <si>
    <t>102318848 / 0084176901</t>
  </si>
  <si>
    <t>102318849 / 0085871329</t>
  </si>
  <si>
    <t>ALYA PUSPA YASINKA</t>
  </si>
  <si>
    <t>102318850 / 0083884481</t>
  </si>
  <si>
    <t>102318851 / 0081886790</t>
  </si>
  <si>
    <t>102318852 / 0074590001</t>
  </si>
  <si>
    <t>102318853 / 0082766801</t>
  </si>
  <si>
    <t>102318854 / 0074964649</t>
  </si>
  <si>
    <t>102318855 / 3079548873</t>
  </si>
  <si>
    <t>102319134 / 0089706496</t>
  </si>
  <si>
    <t>102318856 / 0086577769</t>
  </si>
  <si>
    <t>102318857 / 0082696637</t>
  </si>
  <si>
    <t>102318858 / 0081410684</t>
  </si>
  <si>
    <t>102318859 / 0076189032</t>
  </si>
  <si>
    <t>102318860 / 0086999695</t>
  </si>
  <si>
    <t>102318861 / 0072738420</t>
  </si>
  <si>
    <t>102318862 / 0071414617</t>
  </si>
  <si>
    <t>102318863 / 0081041092</t>
  </si>
  <si>
    <t>102318864 / 0072947211</t>
  </si>
  <si>
    <t>102318865 / 0088026581</t>
  </si>
  <si>
    <t>102318866 / 0086374712</t>
  </si>
  <si>
    <t>102318867 / 0083443043</t>
  </si>
  <si>
    <t>102318868 / 0075022031</t>
  </si>
  <si>
    <t>102318869 / 0081624922</t>
  </si>
  <si>
    <t>102318870 / 0086454884</t>
  </si>
  <si>
    <t>102318871 / 0088244692</t>
  </si>
  <si>
    <t>102318872 / 0087348149</t>
  </si>
  <si>
    <t>102318873 / 0082558202</t>
  </si>
  <si>
    <t>102318874 / 0079163934</t>
  </si>
  <si>
    <t>102318875 / 0078924257</t>
  </si>
  <si>
    <t>102318876 / 0062181246</t>
  </si>
  <si>
    <t>102318877 / 0079927454</t>
  </si>
  <si>
    <t>REYHAN AZRAN</t>
  </si>
  <si>
    <t>102318878 / 0081466861</t>
  </si>
  <si>
    <t>102318879 / 0087534748</t>
  </si>
  <si>
    <t>102318880 / 0089570855</t>
  </si>
  <si>
    <t>102318881 / 0074275181</t>
  </si>
  <si>
    <t>102318882 / 0081063039</t>
  </si>
  <si>
    <t>102318883 / 0083701684</t>
  </si>
  <si>
    <t>102318884 / 0082864145</t>
  </si>
  <si>
    <t>102318885 / 0074312391</t>
  </si>
  <si>
    <t>102318886 / 0079546404</t>
  </si>
  <si>
    <t>102318887 / 0085367383</t>
  </si>
  <si>
    <t>ANA YULIA SUGIHARTO</t>
  </si>
  <si>
    <t>102318888 / 0075599276</t>
  </si>
  <si>
    <t>102318889 / 0083763873</t>
  </si>
  <si>
    <t>102318890 / 0088270112</t>
  </si>
  <si>
    <t>102318891 / 0089183841</t>
  </si>
  <si>
    <t>102318892 / 0076658479</t>
  </si>
  <si>
    <t>102318893 / 0068269702</t>
  </si>
  <si>
    <t>102318894 / 0071027097</t>
  </si>
  <si>
    <t>102318895 / 0076956361</t>
  </si>
  <si>
    <t>FAJAR PATUROHMAN</t>
  </si>
  <si>
    <t>102318896 / 0084707089</t>
  </si>
  <si>
    <t>102318897 / 0072740728</t>
  </si>
  <si>
    <t>102318898 / 0086523589</t>
  </si>
  <si>
    <t>102318899 / 0071278183</t>
  </si>
  <si>
    <t>102318900 / 0077060411</t>
  </si>
  <si>
    <t>102318901 / 0088638903</t>
  </si>
  <si>
    <t>102318902 / 0076048777</t>
  </si>
  <si>
    <t>102318903 / 0074803913</t>
  </si>
  <si>
    <t>102318904 / 0075952951</t>
  </si>
  <si>
    <t>102318905 / 0074550036</t>
  </si>
  <si>
    <t>102318906 / 0083037301</t>
  </si>
  <si>
    <t>102318907 / 0082148661</t>
  </si>
  <si>
    <t>102318908 / 0087761530</t>
  </si>
  <si>
    <t>102318909 / 0079455637</t>
  </si>
  <si>
    <t>102318910 / 0076152564</t>
  </si>
  <si>
    <t>102318911 / 0087429415</t>
  </si>
  <si>
    <t>102318912 / 0088361461</t>
  </si>
  <si>
    <t>102318913 / 0076259081</t>
  </si>
  <si>
    <t>102318914 / 0086617146</t>
  </si>
  <si>
    <t>102318915 / 0081165467</t>
  </si>
  <si>
    <t>102318916 / 0073556428</t>
  </si>
  <si>
    <t>102318917 / 0083231183</t>
  </si>
  <si>
    <t>102318918 / 0075548222</t>
  </si>
  <si>
    <t>ABDURRAHMAN NAFIS AL FARISI</t>
  </si>
  <si>
    <t>102318919 / 0075247381</t>
  </si>
  <si>
    <t>102318920 / 0081652544</t>
  </si>
  <si>
    <t>102318921 / 0076934440</t>
  </si>
  <si>
    <t>102318922 / 0072400972</t>
  </si>
  <si>
    <t>102318923 / 0075917366</t>
  </si>
  <si>
    <t>102318924 / 0088272844</t>
  </si>
  <si>
    <t>102318925 / 0071500862</t>
  </si>
  <si>
    <t>102318926 / 0075505029</t>
  </si>
  <si>
    <t>102318927 / 0076801224</t>
  </si>
  <si>
    <t>102318928 / 0085897220</t>
  </si>
  <si>
    <t>HARDIANTO</t>
  </si>
  <si>
    <t>102318929 / 0075107827</t>
  </si>
  <si>
    <t>102318930 / 0078821648</t>
  </si>
  <si>
    <t>102318931 / 0082066322</t>
  </si>
  <si>
    <t>102318932 / 0084863083</t>
  </si>
  <si>
    <t>102318933 / 0082151321</t>
  </si>
  <si>
    <t>102318934 / 0074698309</t>
  </si>
  <si>
    <t>102318935 / 0075463815</t>
  </si>
  <si>
    <t>MUHAMAD AKMAL NOER DWITAMA</t>
  </si>
  <si>
    <t>102318936 / 0086955126</t>
  </si>
  <si>
    <t>102318937 / 0078843246</t>
  </si>
  <si>
    <t>102318938 / 0075338762</t>
  </si>
  <si>
    <t>102318939 / 0076345533</t>
  </si>
  <si>
    <t>102318940 / 0081211243</t>
  </si>
  <si>
    <t>102318941 / 0071097017</t>
  </si>
  <si>
    <t>102318942 / 0085090302</t>
  </si>
  <si>
    <t>102318943 / 0073595772</t>
  </si>
  <si>
    <t>102318944 / 0079998162</t>
  </si>
  <si>
    <t>RAIHANNISA AZZAHRA</t>
  </si>
  <si>
    <t>102318945 / 0089016673</t>
  </si>
  <si>
    <t>102318946 / 0084881148</t>
  </si>
  <si>
    <t>102318947 / 0088024882</t>
  </si>
  <si>
    <t>102318948 / 0084794823</t>
  </si>
  <si>
    <t>102318949 / 0074575647</t>
  </si>
  <si>
    <t>102318950 / 0084810048</t>
  </si>
  <si>
    <t>102318951 / 0078012684</t>
  </si>
  <si>
    <t>102318952 / 0088120650</t>
  </si>
  <si>
    <t>102318953 / 0084906908</t>
  </si>
  <si>
    <t>102318954 / 0077980820</t>
  </si>
  <si>
    <t>102318955 / 0079960589</t>
  </si>
  <si>
    <t>102318956 / 0088397658</t>
  </si>
  <si>
    <t>102318957 / 0089962293</t>
  </si>
  <si>
    <t>102318958 / 0084508035</t>
  </si>
  <si>
    <t>102318959 / 0076539726</t>
  </si>
  <si>
    <t>102318960 / 0088542837</t>
  </si>
  <si>
    <t>102318961 / 0075496839</t>
  </si>
  <si>
    <t>102318962 / 0083512450</t>
  </si>
  <si>
    <t>102318963 / 0076859975</t>
  </si>
  <si>
    <t>102318964 / 0072435891</t>
  </si>
  <si>
    <t>102318965 / 0074265098</t>
  </si>
  <si>
    <t>102318966 / 0074595453</t>
  </si>
  <si>
    <t>102318967 / 0085990745</t>
  </si>
  <si>
    <t>102318968 / 0079975268</t>
  </si>
  <si>
    <t>102318969 / 0072889132</t>
  </si>
  <si>
    <t>102318970 / 0079226269</t>
  </si>
  <si>
    <t>102318971 / 0072223405</t>
  </si>
  <si>
    <t>102318972 / 0084544230</t>
  </si>
  <si>
    <t>102318973 / 0089804315</t>
  </si>
  <si>
    <t>102318974 / 0087406078</t>
  </si>
  <si>
    <t>102318975 / 0075644524</t>
  </si>
  <si>
    <t>102318976 / 0079455301</t>
  </si>
  <si>
    <t>102318977 / 0086781654</t>
  </si>
  <si>
    <t>102318978 / 0077366569</t>
  </si>
  <si>
    <t>102318979 / 0078311767</t>
  </si>
  <si>
    <t>102318980 / 0074272821</t>
  </si>
  <si>
    <t>102318981 / 3082611104</t>
  </si>
  <si>
    <t>102318982 / 0073516828</t>
  </si>
  <si>
    <t>102318983 / 0077659637</t>
  </si>
  <si>
    <t>102318984 / 0087964467</t>
  </si>
  <si>
    <t>102318985 / 0076267127</t>
  </si>
  <si>
    <t>102318986 / 0088736872</t>
  </si>
  <si>
    <t>102318987 / 0077061719</t>
  </si>
  <si>
    <t>102318988 / 0075816553</t>
  </si>
  <si>
    <t>102318989 / 0075022738</t>
  </si>
  <si>
    <t>102318990 / 0085340711</t>
  </si>
  <si>
    <t>102318991 / 0088510176</t>
  </si>
  <si>
    <t>102318992 / 0086406839</t>
  </si>
  <si>
    <t>102318993 / 0076496453</t>
  </si>
  <si>
    <t>102318994 / 0076749939</t>
  </si>
  <si>
    <t>102318995 / 0078492820</t>
  </si>
  <si>
    <t>102318996 / 0074325501</t>
  </si>
  <si>
    <t>102318997 / 0071977413</t>
  </si>
  <si>
    <t>102318998 / 0083206263</t>
  </si>
  <si>
    <t>102318999 / 0089020959</t>
  </si>
  <si>
    <t>102319000 / 0075828721</t>
  </si>
  <si>
    <t>102319001 / 0086107477</t>
  </si>
  <si>
    <t>102319002 / 0079066763</t>
  </si>
  <si>
    <t>102319003 / 3084332395</t>
  </si>
  <si>
    <t>102319004 / 0088938197</t>
  </si>
  <si>
    <t>102319005 / 0072069739</t>
  </si>
  <si>
    <t>102319006 / 0082713327</t>
  </si>
  <si>
    <t>102319007 / 0077256308</t>
  </si>
  <si>
    <t>102319008 / 0086816679</t>
  </si>
  <si>
    <t>102319009 / 0096116251</t>
  </si>
  <si>
    <t>102319010 / 0088708948</t>
  </si>
  <si>
    <t>102319011 / 3072647506</t>
  </si>
  <si>
    <t>MULKI SYAUQY AULIA HAKIM</t>
  </si>
  <si>
    <t>102319012 / 0079232180</t>
  </si>
  <si>
    <t>102319013 / 0075058906</t>
  </si>
  <si>
    <t>102319014 / 0086108172</t>
  </si>
  <si>
    <t>102319015 / 0072358122</t>
  </si>
  <si>
    <t>102319016 / 0075976833</t>
  </si>
  <si>
    <t>102319017 / 0073840374</t>
  </si>
  <si>
    <t>102319018 / 0076723923</t>
  </si>
  <si>
    <t>102319019 / 0084628722</t>
  </si>
  <si>
    <t>102319020 / 0085067732</t>
  </si>
  <si>
    <t>102319021 / 0072275251</t>
  </si>
  <si>
    <t>102319022 / 0087316368</t>
  </si>
  <si>
    <t>SAMWISE RAZZAAQ BELUCKY</t>
  </si>
  <si>
    <t>102319023 / 0087528383</t>
  </si>
  <si>
    <t>102319024 / 0061965192</t>
  </si>
  <si>
    <t>102319025 / 0087700522</t>
  </si>
  <si>
    <t>102319026 / 0075807271</t>
  </si>
  <si>
    <t>102319027 / 0074872644</t>
  </si>
  <si>
    <t>ADISTY MARYANA PUTRI</t>
  </si>
  <si>
    <t>102319028 / 0086901041</t>
  </si>
  <si>
    <t>102319029 / 0087063569</t>
  </si>
  <si>
    <t>102319030 / 0088635986</t>
  </si>
  <si>
    <t>102319031 / 0072015379</t>
  </si>
  <si>
    <t>102319032 / 0077739364</t>
  </si>
  <si>
    <t>102319033 / 0078941755</t>
  </si>
  <si>
    <t>102319034 / 0074829155</t>
  </si>
  <si>
    <t>102319035 / 0079340182</t>
  </si>
  <si>
    <t>102319036 / 0088310873</t>
  </si>
  <si>
    <t>102319037 / 0088166127</t>
  </si>
  <si>
    <t>102319038 / 0085065917</t>
  </si>
  <si>
    <t>102319039 / 0073616122</t>
  </si>
  <si>
    <t>102319040 / 0079453942</t>
  </si>
  <si>
    <t>102319041 / 0083575608</t>
  </si>
  <si>
    <t>102319042 / 0072905286</t>
  </si>
  <si>
    <t>102319043 / 0088112658</t>
  </si>
  <si>
    <t>102319044 / 0071300595</t>
  </si>
  <si>
    <t>102319045 / 0087939609</t>
  </si>
  <si>
    <t>102319046 / 0077055490</t>
  </si>
  <si>
    <t>102319047 / 0079026089</t>
  </si>
  <si>
    <t>102319048 / 0082328377</t>
  </si>
  <si>
    <t>102319049 / 0081202818</t>
  </si>
  <si>
    <t>102319050 / 0085587746</t>
  </si>
  <si>
    <t>102319051 / 0086136143</t>
  </si>
  <si>
    <t>RADIT KURNIAWAN</t>
  </si>
  <si>
    <t>102319052 / 0081577483</t>
  </si>
  <si>
    <t>102319053 / 0072070192</t>
  </si>
  <si>
    <t>102319054 / 0078228687</t>
  </si>
  <si>
    <t>102319055 / 0083935390</t>
  </si>
  <si>
    <t>102319056 / 0087480517</t>
  </si>
  <si>
    <t>102319057 / 0074258368</t>
  </si>
  <si>
    <t>102319058 / 0075433510</t>
  </si>
  <si>
    <t>102319059 / 0082480255</t>
  </si>
  <si>
    <t>102319060 / 0088869033</t>
  </si>
  <si>
    <t>102319061 / 0079453347</t>
  </si>
  <si>
    <t>102319062 / 0071820956</t>
  </si>
  <si>
    <t>102319063 / 0086193797</t>
  </si>
  <si>
    <t>102319064 / 0077341046</t>
  </si>
  <si>
    <t>102319065 / 0082401764</t>
  </si>
  <si>
    <t>102319066 / 0084363714</t>
  </si>
  <si>
    <t>102319067 / 0083311277</t>
  </si>
  <si>
    <t>102319068 / 0088438965</t>
  </si>
  <si>
    <t>102319069 / 0072972593</t>
  </si>
  <si>
    <t>102319070 / 0088114927</t>
  </si>
  <si>
    <t>102319071 / 0072311255</t>
  </si>
  <si>
    <t>102319072 / 0077788249</t>
  </si>
  <si>
    <t>102319073 / 0068296356</t>
  </si>
  <si>
    <t>102319074 / 0074221882</t>
  </si>
  <si>
    <t>102319075 / 0041192086</t>
  </si>
  <si>
    <t>102319076 / 0084184222</t>
  </si>
  <si>
    <t>102319077 / 0082117383</t>
  </si>
  <si>
    <t>102319078 / 0087193240</t>
  </si>
  <si>
    <t>102319079 / 0077687408</t>
  </si>
  <si>
    <t>102319080 / 0084178875</t>
  </si>
  <si>
    <t>102319081 / 0076239172</t>
  </si>
  <si>
    <t>102319082 / 0078988895</t>
  </si>
  <si>
    <t>102319083 / 0075027953</t>
  </si>
  <si>
    <t>102319084 / 0077885142</t>
  </si>
  <si>
    <t>102319085 / 0074137257</t>
  </si>
  <si>
    <t>102319086 / 0075586236</t>
  </si>
  <si>
    <t>102319087 / 0071848231</t>
  </si>
  <si>
    <t>102319088 / 0078307040</t>
  </si>
  <si>
    <t>102319089 / 0074911724</t>
  </si>
  <si>
    <t>102319090 / 0072673710</t>
  </si>
  <si>
    <t>102319091 / 0078058614</t>
  </si>
  <si>
    <t>102319092 / 0086772171</t>
  </si>
  <si>
    <t>102319093 / 0071100442</t>
  </si>
  <si>
    <t>102319094 / 0085141692</t>
  </si>
  <si>
    <t>102319095 / 0086836055</t>
  </si>
  <si>
    <t>102319096 / 0073365029</t>
  </si>
  <si>
    <t>YUSUP MAULANA</t>
  </si>
  <si>
    <t>102319097 / 0081386473</t>
  </si>
  <si>
    <t>102319098 / 0079375530</t>
  </si>
  <si>
    <t>102319099 / 0089667071</t>
  </si>
  <si>
    <t>102319100 / 0088713038</t>
  </si>
  <si>
    <t>102319101 / 0072254343</t>
  </si>
  <si>
    <t>102319102 / 0078808121</t>
  </si>
  <si>
    <t>102319103 / 0078780376</t>
  </si>
  <si>
    <t>102319104 / 0089531076</t>
  </si>
  <si>
    <t>102319105 / 0087620447</t>
  </si>
  <si>
    <t>102319106 / 0082051135</t>
  </si>
  <si>
    <t>102319107 / 0071987104</t>
  </si>
  <si>
    <t>102319108 / 0072392486</t>
  </si>
  <si>
    <t>102319109 / 0079621468</t>
  </si>
  <si>
    <t>102319110 / 0085722366</t>
  </si>
  <si>
    <t>102319111 / 0071072346</t>
  </si>
  <si>
    <t>102319112 / 0078023199</t>
  </si>
  <si>
    <t>102319113 / 0077077836</t>
  </si>
  <si>
    <t>102319114 / 0075243125</t>
  </si>
  <si>
    <t>102319115 / 0077184290</t>
  </si>
  <si>
    <t>102319116 / 0083056153</t>
  </si>
  <si>
    <t>102319117 / 0078665272</t>
  </si>
  <si>
    <t>102319118 / 0077244008</t>
  </si>
  <si>
    <t>MUHAMMAD RAFFI FIRMANSYAH</t>
  </si>
  <si>
    <t>102319119 / 0076074619</t>
  </si>
  <si>
    <t>102319120 / 0063725246</t>
  </si>
  <si>
    <t>102319121 / 3087024329</t>
  </si>
  <si>
    <t>102319122 / 0086768209</t>
  </si>
  <si>
    <t>102319123 / 0075675961</t>
  </si>
  <si>
    <t>102319124 / 0061050096</t>
  </si>
  <si>
    <t>102319125 / 0086595764</t>
  </si>
  <si>
    <t>102319126 / 0078318546</t>
  </si>
  <si>
    <t>102319127 / 0088799076</t>
  </si>
  <si>
    <t>102319128 / 0075791606</t>
  </si>
  <si>
    <t>102319129 / 0071253626</t>
  </si>
  <si>
    <t>102319130 / 0072498929</t>
  </si>
  <si>
    <t>102319131 / 0088718943</t>
  </si>
  <si>
    <t>102319132 / 0083334829</t>
  </si>
  <si>
    <t>102319133 / 0066133611</t>
  </si>
  <si>
    <t>Keluar, 16 Desember 2024</t>
  </si>
  <si>
    <t>Keluar, 1 Oktober 2024</t>
  </si>
  <si>
    <t>Keluar, 1 Juli 2024</t>
  </si>
  <si>
    <t>Keluar, 4 Juli 2024</t>
  </si>
  <si>
    <t>Keluar, 8 Juli 2024</t>
  </si>
  <si>
    <t>Keluar, 5 Juni 2024</t>
  </si>
  <si>
    <t>Keluar, 26 April 2024</t>
  </si>
  <si>
    <t>Keluar, 20 Maret 2024</t>
  </si>
  <si>
    <t xml:space="preserve">Cuti  </t>
  </si>
  <si>
    <t>Keluar, 6 Nov 2023</t>
  </si>
  <si>
    <t>Keluar, 9 Okt 2023</t>
  </si>
  <si>
    <t>Keluar, 18 Sept. 2023</t>
  </si>
  <si>
    <t>Keluar, 28 Agustus 2023</t>
  </si>
  <si>
    <t>Masuk. 3 Agustus 2023</t>
  </si>
  <si>
    <t>Masuk, 31 Juli 2023</t>
  </si>
  <si>
    <t>BUKTI SERAH TERIMA IJAZAH DAN TRANSKRIP NILAI</t>
  </si>
  <si>
    <t>SISWA LULUSAN TAHUN PELAJARAN 2024/2025</t>
  </si>
  <si>
    <t>DOKUMEN</t>
  </si>
  <si>
    <t>IJAZAH</t>
  </si>
  <si>
    <t>TRANSKRIP NILAI</t>
  </si>
  <si>
    <t>TANGGAL PENGAMBILAN</t>
  </si>
  <si>
    <t xml:space="preserve">DATA LULUSAN </t>
  </si>
  <si>
    <t>SMK NEGERI 13 BANDUNG - TAHUN 2025</t>
  </si>
  <si>
    <t>No.</t>
  </si>
  <si>
    <t>Kelas</t>
  </si>
  <si>
    <t>Jumlah Lulusan</t>
  </si>
  <si>
    <t>Jumlah</t>
  </si>
  <si>
    <t>RPL</t>
  </si>
  <si>
    <t>XI RPL</t>
  </si>
  <si>
    <t>XI TKJ</t>
  </si>
  <si>
    <t>XII RPL</t>
  </si>
  <si>
    <t>XII TKJ</t>
  </si>
  <si>
    <t>X TKJ</t>
  </si>
  <si>
    <t>TAHUN PELAJARAN 2025/2026</t>
  </si>
  <si>
    <t>0091025999</t>
  </si>
  <si>
    <t>ABIYASA DAMAI PUTRA</t>
  </si>
  <si>
    <t>0104709617</t>
  </si>
  <si>
    <t>ADLI ZAIDAN AL HAKIM</t>
  </si>
  <si>
    <t>0109154853</t>
  </si>
  <si>
    <t>ALIF ARYA SHODIKIN</t>
  </si>
  <si>
    <t>0107497597</t>
  </si>
  <si>
    <t>ANNISA PUTRI AULIA</t>
  </si>
  <si>
    <t>0107715114</t>
  </si>
  <si>
    <t>AZ ZAHIR THORIQ SHIDQI</t>
  </si>
  <si>
    <t>0108333408</t>
  </si>
  <si>
    <t>AZMI RAFI RABBANI</t>
  </si>
  <si>
    <t>0093039102</t>
  </si>
  <si>
    <t>DINI NUR KOMALA SARI</t>
  </si>
  <si>
    <t>0095506134</t>
  </si>
  <si>
    <t>DZAKWAN NUR KAMAL</t>
  </si>
  <si>
    <t>0093439139</t>
  </si>
  <si>
    <t>EL REYVILLAN ALIFATHIRTA</t>
  </si>
  <si>
    <t>0094825481</t>
  </si>
  <si>
    <t>FACHRY NUR RAMADHANI</t>
  </si>
  <si>
    <t>0102001183</t>
  </si>
  <si>
    <t>FADIL MUHAMMAD ILHAM</t>
  </si>
  <si>
    <t>0092718899</t>
  </si>
  <si>
    <t>FADLI TAUPIQ RAMDANI</t>
  </si>
  <si>
    <t>0092511359</t>
  </si>
  <si>
    <t>FAHMI GHULAM HASANI RAMADHAN</t>
  </si>
  <si>
    <t>0108898026</t>
  </si>
  <si>
    <t>IKHSAN ALFARIZQI AKBAR</t>
  </si>
  <si>
    <t>0105574260</t>
  </si>
  <si>
    <t>ISNA MAYSULINAH ADZKIA</t>
  </si>
  <si>
    <t>0097968137</t>
  </si>
  <si>
    <t>KALILA TANIA</t>
  </si>
  <si>
    <t>0088196547</t>
  </si>
  <si>
    <t>0101620356</t>
  </si>
  <si>
    <t>KHEIRA MAHAVIRA BACHRUM</t>
  </si>
  <si>
    <t>0103724684</t>
  </si>
  <si>
    <t>MOCHAMAD DZAMAR MAULANA</t>
  </si>
  <si>
    <t>0098942981</t>
  </si>
  <si>
    <t>MOCHAMAD RAFA LINTANG TUSTIADI</t>
  </si>
  <si>
    <t>0106874805</t>
  </si>
  <si>
    <t>MUHAMAD SALMAN TSUBASA</t>
  </si>
  <si>
    <t>0092044674</t>
  </si>
  <si>
    <t>MUHAMMAD RAIHAN AL MUNAWWAR</t>
  </si>
  <si>
    <t>0096195659</t>
  </si>
  <si>
    <t>MUHAMMAD RA'UF WAFAIQ</t>
  </si>
  <si>
    <t>0109548852</t>
  </si>
  <si>
    <t>MUHAMMAD WILDANSYAH</t>
  </si>
  <si>
    <t>NABIL IBNU MUZAKKII</t>
  </si>
  <si>
    <t>NADHIF RAKHA RESWARA</t>
  </si>
  <si>
    <t>0091681036</t>
  </si>
  <si>
    <t>NAUFAL DAFFA MUSYAFA</t>
  </si>
  <si>
    <t>0099264213</t>
  </si>
  <si>
    <t>RAFFA PUTRO WIBOWO</t>
  </si>
  <si>
    <t>3091048269</t>
  </si>
  <si>
    <t>RAIHAN ZAKY ALMUTAWAKKIL</t>
  </si>
  <si>
    <t>0094932950</t>
  </si>
  <si>
    <t>REZA PUTRA RAMADHANI</t>
  </si>
  <si>
    <t>0094056401</t>
  </si>
  <si>
    <t>RIFQI ADITYA PASHA</t>
  </si>
  <si>
    <t>0101537478</t>
  </si>
  <si>
    <t>RIZKY HIDAYAT</t>
  </si>
  <si>
    <t>0095520032</t>
  </si>
  <si>
    <t>RYUGA ARDHATAMA ADZ ZIKRA</t>
  </si>
  <si>
    <t>0102813162</t>
  </si>
  <si>
    <t>SEPTI NURI FITRIYANI</t>
  </si>
  <si>
    <t>0107415563</t>
  </si>
  <si>
    <t>SHAKAYLA SHAHIA RACHMAN</t>
  </si>
  <si>
    <t>0094299350</t>
  </si>
  <si>
    <t>SUSAN PUTRIYADI</t>
  </si>
  <si>
    <t>0104233794</t>
  </si>
  <si>
    <t>TERRY SYAFIRA RAHMAWATI</t>
  </si>
  <si>
    <t>TRIO ALGI FACHRI</t>
  </si>
  <si>
    <t>0101429912</t>
  </si>
  <si>
    <t>VIZZYA PUTRI RACHMAYANTI</t>
  </si>
  <si>
    <t>WAHYUNARA PASUNDAN</t>
  </si>
  <si>
    <t>0102200692</t>
  </si>
  <si>
    <t>ADHITIYA SETIAWAN</t>
  </si>
  <si>
    <t>0099048612</t>
  </si>
  <si>
    <t>AHMAD MUHARROR</t>
  </si>
  <si>
    <t>0091995719</t>
  </si>
  <si>
    <t>AHMAD ZUHDAL AKROM</t>
  </si>
  <si>
    <t>0092306053</t>
  </si>
  <si>
    <t>AKHMAD WALIYUDIN</t>
  </si>
  <si>
    <t>0095801968</t>
  </si>
  <si>
    <t>AKZA DAVIN ANDHIKA</t>
  </si>
  <si>
    <t>0101931084</t>
  </si>
  <si>
    <t>ALIKA ARUM WANGI</t>
  </si>
  <si>
    <t>0109224977</t>
  </si>
  <si>
    <t>ANJELY NURAFRIN JAGA DITA</t>
  </si>
  <si>
    <t>0091751250</t>
  </si>
  <si>
    <t>DARREL ALFAZIL PUTRA RESTIADI</t>
  </si>
  <si>
    <t>0098903113</t>
  </si>
  <si>
    <t>DAVIN MARITZA ALFARREZAL</t>
  </si>
  <si>
    <t>0099800442</t>
  </si>
  <si>
    <t>DIEGI GINANDI</t>
  </si>
  <si>
    <t>0109717656</t>
  </si>
  <si>
    <t>FADHIL RAMADHAN</t>
  </si>
  <si>
    <t>0095990005</t>
  </si>
  <si>
    <t>FADLI ALIFA FIRDAUS</t>
  </si>
  <si>
    <t>0107369851</t>
  </si>
  <si>
    <t>FARRAS NAUFAL</t>
  </si>
  <si>
    <t>0107353582</t>
  </si>
  <si>
    <t>GALEN GHUFRON WIBOWO</t>
  </si>
  <si>
    <t>0105925296</t>
  </si>
  <si>
    <t>GERALDO ZEYYAD VYMANDA</t>
  </si>
  <si>
    <t>0103951786</t>
  </si>
  <si>
    <t>HAZIQ MUHAMMAD RASYDAN</t>
  </si>
  <si>
    <t>0091472362</t>
  </si>
  <si>
    <t>IMAM MAULANA ASHIDIQ</t>
  </si>
  <si>
    <t>0101905600</t>
  </si>
  <si>
    <t>IRPAN ZAENAL MUTAQIN</t>
  </si>
  <si>
    <t>0098413276</t>
  </si>
  <si>
    <t>JAELANI IRSYAD</t>
  </si>
  <si>
    <t>0099804843</t>
  </si>
  <si>
    <t>JASMINE ZATHIRA</t>
  </si>
  <si>
    <t>0093057019</t>
  </si>
  <si>
    <t>KABSYAH NAFISA FAHIRA</t>
  </si>
  <si>
    <t>0102864629</t>
  </si>
  <si>
    <t>KIRANA AULIA PURNAMA</t>
  </si>
  <si>
    <t>0097951199</t>
  </si>
  <si>
    <t>MARSHA DARA DEVANTI</t>
  </si>
  <si>
    <t>0109998841</t>
  </si>
  <si>
    <t>MOCHAMAD ARIFFIN TRIANSYAH</t>
  </si>
  <si>
    <t>0102152681</t>
  </si>
  <si>
    <t>MOCHAMMAD DZIKRI MAULIDINA</t>
  </si>
  <si>
    <t>MUHAMAD FAKHRI</t>
  </si>
  <si>
    <t>0096062278</t>
  </si>
  <si>
    <t>MUHAMAD RIDWAN AL FARIS</t>
  </si>
  <si>
    <t>0101243698</t>
  </si>
  <si>
    <t>MUHAMMAD ALFI IQBRANI AKBAR</t>
  </si>
  <si>
    <t>0096136410</t>
  </si>
  <si>
    <t>MUHAMMAD RAFFI ALI HUSEIN</t>
  </si>
  <si>
    <t>0103794789</t>
  </si>
  <si>
    <t>MUHAMMAD SYABIL PUTRA FIRDAUS</t>
  </si>
  <si>
    <t>MUHAMMAD ZAKI MUBAROK</t>
  </si>
  <si>
    <t>0108630826</t>
  </si>
  <si>
    <t>MUJI KUSUMO PRIATMOJO</t>
  </si>
  <si>
    <t>0109516613</t>
  </si>
  <si>
    <t>NAFEEZA NISA AULIA</t>
  </si>
  <si>
    <t>0107251622</t>
  </si>
  <si>
    <t>NISRINA NABILA</t>
  </si>
  <si>
    <t>RIDHO ARRAYAN AKBAR SIDIK</t>
  </si>
  <si>
    <t>0102955102</t>
  </si>
  <si>
    <t>RIDHO ROBBANI AL-FARUQY</t>
  </si>
  <si>
    <t>0105357476</t>
  </si>
  <si>
    <t>RIZAL DWI YANTO</t>
  </si>
  <si>
    <t>3102754170</t>
  </si>
  <si>
    <t>RIZKY EKA SAPUTRA</t>
  </si>
  <si>
    <t>0093838894</t>
  </si>
  <si>
    <t>SAFA NOVIANI</t>
  </si>
  <si>
    <t>TAHTA DESTANA</t>
  </si>
  <si>
    <t>X KA</t>
  </si>
  <si>
    <t>KA</t>
  </si>
  <si>
    <t>XI KA</t>
  </si>
  <si>
    <t>XII KA</t>
  </si>
  <si>
    <t>XIII KA</t>
  </si>
  <si>
    <t>ABGARI RADITYA AHMAD</t>
  </si>
  <si>
    <t>ADINDA PUTRI</t>
  </si>
  <si>
    <t>ALIFA JIHAN IFTINAH</t>
  </si>
  <si>
    <t>ALMIRA ATHYYA HUSNIAH</t>
  </si>
  <si>
    <t>ALYYA RAHMAWATI</t>
  </si>
  <si>
    <t>AMEERA PUTRI AL ZAHRA</t>
  </si>
  <si>
    <t>ARVINO YUMA PRATAMA</t>
  </si>
  <si>
    <t>AYESHA ZEPHANIA</t>
  </si>
  <si>
    <t>CIKAL ABDUL MUIZ MUTSAQIF</t>
  </si>
  <si>
    <t>DANAR PRAWIRA</t>
  </si>
  <si>
    <t>DEVINA YULIA</t>
  </si>
  <si>
    <t>ERLANGGA AL FIKRI</t>
  </si>
  <si>
    <t>FARID KHAIRUL AZMI</t>
  </si>
  <si>
    <t>FUAN NOER ASSYFA GINTING</t>
  </si>
  <si>
    <t>GHAITSA ZAHIRA SHOFA</t>
  </si>
  <si>
    <t>HILMAN SAPUTRA</t>
  </si>
  <si>
    <t>ISMI ANANDA PUTRI</t>
  </si>
  <si>
    <t>JASMINE ANGELIE MAURINA</t>
  </si>
  <si>
    <t>KHAERILDA AYESHA REZKI</t>
  </si>
  <si>
    <t>LUTHFIYAH HAZANAH AL-KHOFIDH</t>
  </si>
  <si>
    <t>MOCHAMMAD FARIZ ADITYA</t>
  </si>
  <si>
    <t>MUHAMMAD ARVAN ZHARIV</t>
  </si>
  <si>
    <t>MUHAMMAD FAHMI NUR IHSAN</t>
  </si>
  <si>
    <t>MUHAMMAD ZIDANE FIKRUL 'AZIZ</t>
  </si>
  <si>
    <t>NAZWA PUSPA NINGRUM</t>
  </si>
  <si>
    <t>NOER KEYLA</t>
  </si>
  <si>
    <t>PURI AY UNTARI</t>
  </si>
  <si>
    <t>PUTRI KIARA KENCANA</t>
  </si>
  <si>
    <t>RAFFA AL-FIQRI FEBRIAN</t>
  </si>
  <si>
    <t>RAHMA ALIA WULANDARI</t>
  </si>
  <si>
    <t>RAISA RAHADATUL ALIMAH</t>
  </si>
  <si>
    <t>RAMADHANI ALDIANO</t>
  </si>
  <si>
    <t>SAFIRA AMARA PUTRI</t>
  </si>
  <si>
    <t>SILVI NURSIVA</t>
  </si>
  <si>
    <t>SONYA MELINDA</t>
  </si>
  <si>
    <t>SYIFA RESTU PURWAKANTI</t>
  </si>
  <si>
    <t>TAQI DZAKWAN</t>
  </si>
  <si>
    <t>ZULFA HIKMATUL MAULA</t>
  </si>
  <si>
    <t>ADINDA SAEPUTRI PRATAMA</t>
  </si>
  <si>
    <t>AISHA PUTRI RIANUR AQMAR</t>
  </si>
  <si>
    <t>ALLMIRA AELISA AGUSTINA</t>
  </si>
  <si>
    <t>ARYASATYA FAWWAZ PUTRA PANGESTU</t>
  </si>
  <si>
    <t>ASYIFA NUR ZAHRA</t>
  </si>
  <si>
    <t>AULIYA PUTRI AFIYANTI</t>
  </si>
  <si>
    <t>AURAEL SEILA MUTMAINAH</t>
  </si>
  <si>
    <t>BELA RAMADHANI</t>
  </si>
  <si>
    <t>DEVINA KAYSYA</t>
  </si>
  <si>
    <t>ELVINA VALENCIA JASMINE</t>
  </si>
  <si>
    <t>ERKAN NAUFAL SETIAWAN</t>
  </si>
  <si>
    <t>FATHIA ADZRA LATIFAH</t>
  </si>
  <si>
    <t>FERA MAULIDA SAKHI</t>
  </si>
  <si>
    <t>GEMA ABDUL FATTAH</t>
  </si>
  <si>
    <t>GENDIS NAYLA NUGROHO</t>
  </si>
  <si>
    <t>IMAYESI</t>
  </si>
  <si>
    <t>INTAN PUSPITASARI</t>
  </si>
  <si>
    <t>KANIA DWI OKTARIANI</t>
  </si>
  <si>
    <t>KAREENA NOVAYANI SOLIHAH</t>
  </si>
  <si>
    <t>KEYLA RAHMA SEPTRIANI</t>
  </si>
  <si>
    <t>MAWAR YUSI ZHULIYANTI</t>
  </si>
  <si>
    <t>MOHAMAD AZZAM HADRIAN</t>
  </si>
  <si>
    <t>MUHAMMAD ALFARIZI KOMARA</t>
  </si>
  <si>
    <t>MUHAMMAD GILANG RAMADHAN</t>
  </si>
  <si>
    <t>MUHAMMAD ILHAM RAMADHAN</t>
  </si>
  <si>
    <t>MUHAMMAD ILYAS</t>
  </si>
  <si>
    <t>MUHAMMAD RADITYA ALFARAZEL SULTON</t>
  </si>
  <si>
    <t>MUHAMMAD ZIYAD ARYA SUNDAYA</t>
  </si>
  <si>
    <t>NEYSA ZHARIFA ANEIRA</t>
  </si>
  <si>
    <t>NUR HAUNA ANINDITA</t>
  </si>
  <si>
    <t>RAFIE DWI ARDHANI</t>
  </si>
  <si>
    <t>RASYA AYASKARA MORELLO</t>
  </si>
  <si>
    <t>REZKY FADILAH</t>
  </si>
  <si>
    <t>RIDWAN PATHUR ROHMAN</t>
  </si>
  <si>
    <t>SAFIRA TRIANDINI SAKTI</t>
  </si>
  <si>
    <t>SHIFA'U ZAHRA</t>
  </si>
  <si>
    <t>SYEILLA CANTIKA MUTHMAINAH</t>
  </si>
  <si>
    <t>ZULFANI ALEA PUTRI</t>
  </si>
  <si>
    <t>ADINDA SITI ZUMAIRAH</t>
  </si>
  <si>
    <t>AGRA SATRIA NOVAL NUGRAHA</t>
  </si>
  <si>
    <t>ALTDEL NAAZNEEN APRILLA</t>
  </si>
  <si>
    <t>AULIA KHOEROTUNNISA NURYANI</t>
  </si>
  <si>
    <t>AVRILIA INDRIANI</t>
  </si>
  <si>
    <t>AZZARQO NAJMALAILA</t>
  </si>
  <si>
    <t>BAHAGIA SVETLANA AISHA FARHANA</t>
  </si>
  <si>
    <t>BUNGA AURA NUR HASANAH</t>
  </si>
  <si>
    <t>DELLA SANTI</t>
  </si>
  <si>
    <t>DIAN CITRA SAYYIDINA</t>
  </si>
  <si>
    <t>FADILLAH</t>
  </si>
  <si>
    <t>FITRIA SYAFA NURRAHMAH</t>
  </si>
  <si>
    <t>GHATY ASTRY PUTRYAN</t>
  </si>
  <si>
    <t>GICELA NERA APRILIA</t>
  </si>
  <si>
    <t>IMAN RAMADANI</t>
  </si>
  <si>
    <t>JESSICA CHARISMA AVRILIA SIRAIT</t>
  </si>
  <si>
    <t>KATRINA NUR KAMILA NISA</t>
  </si>
  <si>
    <t>KELVIN RAHMADHANI</t>
  </si>
  <si>
    <t>KHOERUL ZIDNI AL IKHSAN</t>
  </si>
  <si>
    <t>LANI PERMANA</t>
  </si>
  <si>
    <t>MELINDA SHAQILA PUTRI</t>
  </si>
  <si>
    <t>MOCHAMAD FEBRIAN ALFARIDZKI</t>
  </si>
  <si>
    <t>MUHAMAD RIZKY FIRDAUS</t>
  </si>
  <si>
    <t>MUHAMAD YUDA PRATAMA</t>
  </si>
  <si>
    <t>MUHAMMAD HIKAM ALHALIM</t>
  </si>
  <si>
    <t>MUHAMMAD JAHFAL ABDURROUF</t>
  </si>
  <si>
    <t>NADIFFA NUR KAMIL</t>
  </si>
  <si>
    <t>NADRIL SIDIK HIKMATULOH</t>
  </si>
  <si>
    <t>NAUFAL OCTAVIANSYAH</t>
  </si>
  <si>
    <t>POPPY ADELIA FHATARANI</t>
  </si>
  <si>
    <t>PUTRI AULYA</t>
  </si>
  <si>
    <t>RAMA HAFIDZHAN HERLANGGA  IRZA</t>
  </si>
  <si>
    <t>RIZKI PUTRA SARIPULOH</t>
  </si>
  <si>
    <t>SAFNA ZAHIRA ALIANSYAH</t>
  </si>
  <si>
    <t>SALMAN MOCHAMMAD FAISHAL</t>
  </si>
  <si>
    <t>SASCIA WULANDARI</t>
  </si>
  <si>
    <t>SYARIFANADYA</t>
  </si>
  <si>
    <t>VIVIE VIRELLA SANTOSO</t>
  </si>
  <si>
    <t>ADENA ARYADIN PUTRA</t>
  </si>
  <si>
    <t>AIYLA APRILIYA</t>
  </si>
  <si>
    <t>AMEEIRA FAEZIA ZAHWA</t>
  </si>
  <si>
    <t>ASA GHASIYAH</t>
  </si>
  <si>
    <t>AZAZHIRA TAZRIYAH</t>
  </si>
  <si>
    <t>BERYL ALVARO JULIANSYAH</t>
  </si>
  <si>
    <t>CHANTIKA AMALIA FAIRUNISA</t>
  </si>
  <si>
    <t>CLEONISA AZKA WIBAWA</t>
  </si>
  <si>
    <t>DHENAS RAYHAN FAHREZI</t>
  </si>
  <si>
    <t>DIVANA RABBINA PUTRI</t>
  </si>
  <si>
    <t>FADILLAH DWI PRATIWI</t>
  </si>
  <si>
    <t>GALANG SANGKARA</t>
  </si>
  <si>
    <t>GHAUS LUTFI HAKIM</t>
  </si>
  <si>
    <t>HAFIIDH RAMADHAN PUTRA</t>
  </si>
  <si>
    <t>JINAN AZ-ZAHRA</t>
  </si>
  <si>
    <t>JOHAR TAUFIQ</t>
  </si>
  <si>
    <t>KHANIA DEWI</t>
  </si>
  <si>
    <t>KHANSA LAYLA RAMADHAN</t>
  </si>
  <si>
    <t>LULA CAESSARIA AZZAHRA</t>
  </si>
  <si>
    <t>MICHELLE APRIANIE PUTRI SONJAYA</t>
  </si>
  <si>
    <t>MUHAMMAD ANDRA NUGRAHA</t>
  </si>
  <si>
    <t>MUHAMMAD HASBI SAEFULLOH</t>
  </si>
  <si>
    <t>MUHAMMAD KENZIE ARSYAD PILIANG</t>
  </si>
  <si>
    <t>NABILA INGIT SUKMAWATI</t>
  </si>
  <si>
    <t>NEVITA ZAHRA</t>
  </si>
  <si>
    <t>NUR AFNI MAULIDA</t>
  </si>
  <si>
    <t>PUTRI AZKA HANDAYANI</t>
  </si>
  <si>
    <t>RAGIL TRIADI JULIAN</t>
  </si>
  <si>
    <t>RAHMA NISPIA</t>
  </si>
  <si>
    <t>RASYA ADI PUTRA</t>
  </si>
  <si>
    <t>SALAMPESSY FIRMAN CHATERAY</t>
  </si>
  <si>
    <t>SEPIYA AULIA RAHMADANI</t>
  </si>
  <si>
    <t>SHALSA RADHA NOVIANTI</t>
  </si>
  <si>
    <t>SHERYL SHEFIRA PRIATNA PUTRI</t>
  </si>
  <si>
    <t>SYAHRAZ RIZQA MUZTAHIDAH</t>
  </si>
  <si>
    <t>SYIFA APRILIA</t>
  </si>
  <si>
    <t>TUBAGUS SIGIT ARIF WIBOWO</t>
  </si>
  <si>
    <t>ZASKY NUR AZIZAH</t>
  </si>
  <si>
    <t>ALIKA PUTRI</t>
  </si>
  <si>
    <t>ANDRA ADITYA NURBANI</t>
  </si>
  <si>
    <t>ANDRIANT BAYU BASKORO</t>
  </si>
  <si>
    <t>ARKA NAYAKA RABBANI</t>
  </si>
  <si>
    <t>AZKIRA HUMAIRAH SOPIAN</t>
  </si>
  <si>
    <t>DHEA IRFANI</t>
  </si>
  <si>
    <t>DHEANA ZAINA RAISSA</t>
  </si>
  <si>
    <t>FACHTIRA JULIYANSYAH YULISTIAWAN</t>
  </si>
  <si>
    <t>FAHRI RAMADHAN</t>
  </si>
  <si>
    <t>FATHI RIZKY MADANI</t>
  </si>
  <si>
    <t>FIRMAN NURRAYYAN</t>
  </si>
  <si>
    <t>FRISILIA PUTRI</t>
  </si>
  <si>
    <t>GALIH SAPUTRA</t>
  </si>
  <si>
    <t>HASNA NURUL AZKIYA</t>
  </si>
  <si>
    <t>INDAH FITRIA HARUM</t>
  </si>
  <si>
    <t>KEYLA ADITYA PUTRI</t>
  </si>
  <si>
    <t>KIARA ANGELIA CONDOLIZA</t>
  </si>
  <si>
    <t>LANGIT RAJA ATTALLA CANAECCARA</t>
  </si>
  <si>
    <t>MARSYA LUTVI NUR'AENI</t>
  </si>
  <si>
    <t>MOUZZA KHAILA FATIHA GUNAWAN</t>
  </si>
  <si>
    <t>MUHAMAD RIDWAN</t>
  </si>
  <si>
    <t>MUHAMMAD BERI ALBARAK</t>
  </si>
  <si>
    <t>MUHAMMAD RIDZKI SAPUTRA</t>
  </si>
  <si>
    <t>NAIFA LASHIRA RACHMAN</t>
  </si>
  <si>
    <t>PUTRI KHIRANIA AZZAHRA</t>
  </si>
  <si>
    <t>RADEN RORO ARNINDA AURELIA</t>
  </si>
  <si>
    <t>RAHMA RAURA</t>
  </si>
  <si>
    <t>RAYYAN ZAIN AVEROUS</t>
  </si>
  <si>
    <t>RESTY ZAHRA OKTAVYANI</t>
  </si>
  <si>
    <t>SALSYA APRILIA HIKMAH</t>
  </si>
  <si>
    <t>SIFA ALZAHRA</t>
  </si>
  <si>
    <t>SIRRLY SIFANI YASA</t>
  </si>
  <si>
    <t>SITI NURAENI</t>
  </si>
  <si>
    <t>SYEREN AZKIYA VALENCIA</t>
  </si>
  <si>
    <t>TRI ANNISA RAHMAWATI</t>
  </si>
  <si>
    <t>VIERA APRILIA</t>
  </si>
  <si>
    <t>WENING PHALASIFA</t>
  </si>
  <si>
    <t>ALYA SITI CHAIRUNISA</t>
  </si>
  <si>
    <t>ANDRA ZAKARIA FATHAR</t>
  </si>
  <si>
    <t>ANNISA CAHYANI BARAKA</t>
  </si>
  <si>
    <t>BIMA PANGESTU SEJATI</t>
  </si>
  <si>
    <t>CHALISTA PUTRI</t>
  </si>
  <si>
    <t>DAFA YOGA PRATAMA</t>
  </si>
  <si>
    <t>DIMAS NAZRIL ILYAS</t>
  </si>
  <si>
    <t>FAISAL AL FATHIR</t>
  </si>
  <si>
    <t>FAKHIRA KAMAL</t>
  </si>
  <si>
    <t>FIKA ZIANKA PUTRI</t>
  </si>
  <si>
    <t>HILFA NUR ZAKIA</t>
  </si>
  <si>
    <t>HUMAIRA MILANNISA AZZAHRA</t>
  </si>
  <si>
    <t>INDRI RIPANI PUTRI</t>
  </si>
  <si>
    <t>KEYLA ANAYA ARYANTI</t>
  </si>
  <si>
    <t>LOVIOLA AMIRA PRAMESWARI</t>
  </si>
  <si>
    <t>LUTHFIYYAH FAJARINA SHUBHI</t>
  </si>
  <si>
    <t>MEILINA SALSABILA</t>
  </si>
  <si>
    <t>MELANI NOVIYANTI</t>
  </si>
  <si>
    <t>MUHAMAD REZKY MAULIDIN</t>
  </si>
  <si>
    <t>MUHAMMAD ALVIN HARDY NADIRUL NURHAYAN</t>
  </si>
  <si>
    <t>MUHAMMAD FADHILAH</t>
  </si>
  <si>
    <t>MUHAMMAD RAIHAN NAUFAL</t>
  </si>
  <si>
    <t>NAUFAL LATHIF SAVERO</t>
  </si>
  <si>
    <t>NEYSA NUR KAMELIA</t>
  </si>
  <si>
    <t>NIKEN MARSHA ANDREA</t>
  </si>
  <si>
    <t>PAISAL PIRMANSAH</t>
  </si>
  <si>
    <t>RADITHYA RAMADHANI</t>
  </si>
  <si>
    <t>RAHMA MAULIDA AZAHRA</t>
  </si>
  <si>
    <t>RAIDAH FATHIN HAFIDZAH</t>
  </si>
  <si>
    <t>RIDVAN EL ZHAR ARVELADZE</t>
  </si>
  <si>
    <t>SELIA RAHMAYUNISA</t>
  </si>
  <si>
    <t>SHILLA QUENSA KIRANA</t>
  </si>
  <si>
    <t>SITI RAHMA KHOIRUNNISA</t>
  </si>
  <si>
    <t>VIRTA SETIA AULIA IKA</t>
  </si>
  <si>
    <t>YASMINE KAMILA QAISYARA</t>
  </si>
  <si>
    <t>YOGA KURNIA ALGIFARI</t>
  </si>
  <si>
    <t>ZIFARA LETISYA</t>
  </si>
  <si>
    <t>ADITYA RAHMAT AL GHANI</t>
  </si>
  <si>
    <t>AGUS NUGRAHA</t>
  </si>
  <si>
    <t>AL GHAZALI ZIKHRULLAH AZHAR</t>
  </si>
  <si>
    <t>ALVIN MAULANA</t>
  </si>
  <si>
    <t>ARVIN DAIVA FAUZAN</t>
  </si>
  <si>
    <t>AURELIA KIRAN ZAINA</t>
  </si>
  <si>
    <t>BIMA ARYA WIBISONO</t>
  </si>
  <si>
    <t>DAFFA MUHAMMAD KHAIRAN</t>
  </si>
  <si>
    <t>DHIMAZ REKSA SUTARDIPRAJA</t>
  </si>
  <si>
    <t>FATHAN ARIF FATAH</t>
  </si>
  <si>
    <t>FATHIR ARYASATYA</t>
  </si>
  <si>
    <t>GALVIN CHESTA ADABI</t>
  </si>
  <si>
    <t>KEENAN AN NAAFI</t>
  </si>
  <si>
    <t>KEVIN FALLAH FRIANDIKA</t>
  </si>
  <si>
    <t>KHAERUNISHA MUTIARA RAHAYU</t>
  </si>
  <si>
    <t>LUTHFIKA AFWA DHOIFI AZIZA</t>
  </si>
  <si>
    <t>MOCHAMAD FADLAN ANSHARI</t>
  </si>
  <si>
    <t>MUHAMAD ADLAN</t>
  </si>
  <si>
    <t>MUHAMMAD FACHRI PUTRA</t>
  </si>
  <si>
    <t>MUHAMMAD LUTFI RIZKI PRATAMA</t>
  </si>
  <si>
    <t>MUHAMMAD NAUFAL AFKAR IDLANZAAHY</t>
  </si>
  <si>
    <t>MUHAMMAD RESKY AKBAR</t>
  </si>
  <si>
    <t>MUHAMMAD RIZKI JANUAR HENDRAWAN</t>
  </si>
  <si>
    <t>MUHAMMAD RIZKY RAMADHAN</t>
  </si>
  <si>
    <t>MUHAMMAD SHAFWAN ARDHANA ROMPAS</t>
  </si>
  <si>
    <t>NAUFAL AZALI DARAJAT</t>
  </si>
  <si>
    <t>PUTRI AJRINA NURSYIFA</t>
  </si>
  <si>
    <t>RAFI RIZQI MAULANA</t>
  </si>
  <si>
    <t>RAIHANDITYA ANDREW ARISTA</t>
  </si>
  <si>
    <t>RAJHA SUGIARTO</t>
  </si>
  <si>
    <t>REVAN FACHRYZAL HATAMI</t>
  </si>
  <si>
    <t>REZKY TRI HARDIKA</t>
  </si>
  <si>
    <t>RIFA ROBBI RADHIYYA</t>
  </si>
  <si>
    <t>SATRIA MAULANA A'DLY</t>
  </si>
  <si>
    <t>SHAFA ATHALIA PUTRI AZAHRA</t>
  </si>
  <si>
    <t>SYUKUR MEDALI AKBAR</t>
  </si>
  <si>
    <t>TABINA RAISSA</t>
  </si>
  <si>
    <t>VEGA FIRMANSYAH</t>
  </si>
  <si>
    <t>ZAKY ORLANDO IRAWAN</t>
  </si>
  <si>
    <t>ADITHYA SANGKHYLANG</t>
  </si>
  <si>
    <t>AIRA SUCI RAHMADANI</t>
  </si>
  <si>
    <t>ANDINY AZAHRA</t>
  </si>
  <si>
    <t>ANDRE FAZHAR RAMADHAN</t>
  </si>
  <si>
    <t>ARGA MAULANA</t>
  </si>
  <si>
    <t>ARWAN MUHAMMAD ILHAM</t>
  </si>
  <si>
    <t>ARYA MAULANA DIHARDJA</t>
  </si>
  <si>
    <t>ATAYA FAKHRI RISQULLAH</t>
  </si>
  <si>
    <t>AZELIA PIECESA</t>
  </si>
  <si>
    <t>DANNY PRATAMA</t>
  </si>
  <si>
    <t>DIKA CAHYA SAPUTRA</t>
  </si>
  <si>
    <t>EMIR RAFANSYAH WIBOWO</t>
  </si>
  <si>
    <t>FARIZ AKBAR KUSUMAH</t>
  </si>
  <si>
    <t>FIRDAUS ARIZAL HAKIM</t>
  </si>
  <si>
    <t>GEOVAN RIZQI PUTRANANDA SYAEFUDIN</t>
  </si>
  <si>
    <t>KAISA PUTRI</t>
  </si>
  <si>
    <t>LUKI SUBAGJA</t>
  </si>
  <si>
    <t>M. NAZRIL MAULANA SAPUTRA</t>
  </si>
  <si>
    <t>MARSYA AZAHRA</t>
  </si>
  <si>
    <t>MOCH DZAKI PUTRA ADHIYANTO</t>
  </si>
  <si>
    <t>MUHAMAD GIOVANNI PERDANA</t>
  </si>
  <si>
    <t>MUHAMMAD AKMAL LATIEF AZHAR</t>
  </si>
  <si>
    <t>MUHAMMAD RAFA RIZQ RAMADHAN RAKARSI</t>
  </si>
  <si>
    <t>MUHAMMAD RAIFA HERMAWAN</t>
  </si>
  <si>
    <t>RAFA HAFIDZ MUZAKKI</t>
  </si>
  <si>
    <t>RAFI PUTRA KURNIAWAN</t>
  </si>
  <si>
    <t>RANGGA MUKTI FAUZAN</t>
  </si>
  <si>
    <t>RAYI BAGOES PRABOWO WICAKSONO</t>
  </si>
  <si>
    <t>REGINA ZAHRA FADILAH</t>
  </si>
  <si>
    <t>RENDI ATAYA PRATAMA PUTRA</t>
  </si>
  <si>
    <t>REVAN FEBRIANSYAH</t>
  </si>
  <si>
    <t>REZKY PUTRA MAHARDIKA</t>
  </si>
  <si>
    <t>RIJAL MUHAMAD</t>
  </si>
  <si>
    <t>RIVALDO RAFFAEL</t>
  </si>
  <si>
    <t>SATRIA PRATAMA WIBIKSANA</t>
  </si>
  <si>
    <t>SONI SEPTIAN</t>
  </si>
  <si>
    <t>SURYALANA</t>
  </si>
  <si>
    <t>YEFTA SIMAMORA</t>
  </si>
  <si>
    <t>ZAHRA FHATIE MATUNISA</t>
  </si>
  <si>
    <t>ALFAN SA'BAN GIFARI</t>
  </si>
  <si>
    <t>AMALIA DWI LESTARI</t>
  </si>
  <si>
    <t>ANDYANA KUSNADI</t>
  </si>
  <si>
    <t>ARIA GUSTIAN</t>
  </si>
  <si>
    <t>ARUNGGA TOSANAJI BENTZEMA</t>
  </si>
  <si>
    <t>CAHYANDI RIZQI MAULID</t>
  </si>
  <si>
    <t>DINDA RIZKI DZAHABIYYAH</t>
  </si>
  <si>
    <t>EBRAN JIBRIL EARLY</t>
  </si>
  <si>
    <t>FAAIQ FADHLILLAH</t>
  </si>
  <si>
    <t>FARHAN LUTFIANSYAH</t>
  </si>
  <si>
    <t>FAUZAN KUSTIAWAN</t>
  </si>
  <si>
    <t>GALUH RAMADAN</t>
  </si>
  <si>
    <t>HILMI TAUFIQURRAHMAN</t>
  </si>
  <si>
    <t>KELVIN ARKENZY SALMANSYAH</t>
  </si>
  <si>
    <t>KEYLA SELVIA AZAHRA</t>
  </si>
  <si>
    <t>MILAN RAMDHANI</t>
  </si>
  <si>
    <t>MOHAMAD FAHMI RAHADIANSYAH</t>
  </si>
  <si>
    <t>MOHAMAD HAIKAL</t>
  </si>
  <si>
    <t>MOHAMMAD ADITYA ALI PRADANA</t>
  </si>
  <si>
    <t>MUHAMAD ADRIANSAH</t>
  </si>
  <si>
    <t>MUHAMAD NUR HIZAM</t>
  </si>
  <si>
    <t>MUHAMAD RIZAL</t>
  </si>
  <si>
    <t>MUHAMMAD ASSAKHI</t>
  </si>
  <si>
    <t>MUHAMMAD DENIS HERDIANSYAH</t>
  </si>
  <si>
    <t>MUHAMMAD FIKRI HIDAYAT</t>
  </si>
  <si>
    <t>MUHAMMAD NAUFAL GUNAWAN</t>
  </si>
  <si>
    <t>RAFKA RAMLAN ROCHMATULLAH</t>
  </si>
  <si>
    <t>RAFKHA SONAGAR PANCANALAR</t>
  </si>
  <si>
    <t>RAINANRA YUSUF ALFAROQ</t>
  </si>
  <si>
    <t>RASIKH RIZKY PERMANA</t>
  </si>
  <si>
    <t>REZKY ANDRIAN</t>
  </si>
  <si>
    <t>RHAZIQ SANJAYA KUSUMA</t>
  </si>
  <si>
    <t>RIANA DANISA PUTRI INDRAWAN</t>
  </si>
  <si>
    <t>SALMAN UBAIDILLAH</t>
  </si>
  <si>
    <t>SALSA BILA</t>
  </si>
  <si>
    <t>SILPANI RETMA SARI</t>
  </si>
  <si>
    <t>SILVI FADIYALATU HIKMAH</t>
  </si>
  <si>
    <t>STEVEN LOVELY LINGGA</t>
  </si>
  <si>
    <t>ZAKY RASYIK IBRAHIM</t>
  </si>
  <si>
    <t>ZIYAD HELMI</t>
  </si>
  <si>
    <t>Nama</t>
  </si>
  <si>
    <t>LP</t>
  </si>
  <si>
    <t>Awal 2025</t>
  </si>
  <si>
    <t>Akhir 2025</t>
  </si>
  <si>
    <t>TKJ 1</t>
  </si>
  <si>
    <t>Nadia Afriliani, S.Pd</t>
  </si>
  <si>
    <t>Meli Novita, S.Pd</t>
  </si>
  <si>
    <t>Fertika, S.Pd</t>
  </si>
  <si>
    <t>Yeni Meilina, S.Pd</t>
  </si>
  <si>
    <t>Tubagus Saputra, M.Pd</t>
  </si>
  <si>
    <t xml:space="preserve">Desta Mulyanti, S.Sn </t>
  </si>
  <si>
    <t>Samsudin, S.Ag</t>
  </si>
  <si>
    <t xml:space="preserve">Taufik Hidayat, S.Pd, M.M.Pd </t>
  </si>
  <si>
    <t>Ina Marina, S.T</t>
  </si>
  <si>
    <t>Lia Yulianti, M.Pd</t>
  </si>
  <si>
    <t xml:space="preserve">  M. Harry Ismail, S.Tr,Kom, M.M</t>
  </si>
  <si>
    <t>Rita Hartati, S.Pd, M.T</t>
  </si>
  <si>
    <t>Pratiwi, S.Si</t>
  </si>
  <si>
    <t>Sabila Fauziyya, S.Kom</t>
  </si>
  <si>
    <t>Dr. Sudarmi, M.Pd</t>
  </si>
  <si>
    <t>Rukmana, S.Pd.I</t>
  </si>
  <si>
    <t>Neneng Suhartini, S.Si, S.Pd, Gr</t>
  </si>
  <si>
    <t xml:space="preserve">Rini Dwi Wahyuni, S.Pd </t>
  </si>
  <si>
    <t>Atep Aulia Rahman, S.T, M.Kom</t>
  </si>
  <si>
    <t>Priyo Hadisuryo, S.S.T</t>
  </si>
  <si>
    <t>Maspuri Andewi, S.Kom</t>
  </si>
  <si>
    <t xml:space="preserve">Indira Sari Paputungan, M.Ed </t>
  </si>
  <si>
    <t>Ruhya, S.Ag</t>
  </si>
  <si>
    <t xml:space="preserve">Cecep Suryana, S.Pd </t>
  </si>
  <si>
    <t>Popong Wariati, S.Pd</t>
  </si>
  <si>
    <t xml:space="preserve">Syafitri K Arief, S.Pd, M.T </t>
  </si>
  <si>
    <t>3106989660</t>
  </si>
  <si>
    <t>0094413313</t>
  </si>
  <si>
    <t>0101004818</t>
  </si>
  <si>
    <t>0099555110</t>
  </si>
  <si>
    <t>0099117757</t>
  </si>
  <si>
    <t>0106834163</t>
  </si>
  <si>
    <t>0099850277</t>
  </si>
  <si>
    <t>0104157931</t>
  </si>
  <si>
    <t>0095348926</t>
  </si>
  <si>
    <t>0105056370</t>
  </si>
  <si>
    <t>0098323888</t>
  </si>
  <si>
    <t>0101455732</t>
  </si>
  <si>
    <t>0107283385</t>
  </si>
  <si>
    <t>0091534514</t>
  </si>
  <si>
    <t>0093275414</t>
  </si>
  <si>
    <t>0102080145</t>
  </si>
  <si>
    <t>0092436932</t>
  </si>
  <si>
    <t>0099699911</t>
  </si>
  <si>
    <t>0095196716</t>
  </si>
  <si>
    <t>0095491585</t>
  </si>
  <si>
    <t>0096471531</t>
  </si>
  <si>
    <t>0096690592</t>
  </si>
  <si>
    <t>0093683299</t>
  </si>
  <si>
    <t>0092565914</t>
  </si>
  <si>
    <t>0092277023</t>
  </si>
  <si>
    <t>0106815228</t>
  </si>
  <si>
    <t>0099103173</t>
  </si>
  <si>
    <t>3101903581</t>
  </si>
  <si>
    <t>0091434903</t>
  </si>
  <si>
    <t>3107206260</t>
  </si>
  <si>
    <t>0099094879</t>
  </si>
  <si>
    <t>0102675875</t>
  </si>
  <si>
    <t>0095264635</t>
  </si>
  <si>
    <t>0102522354</t>
  </si>
  <si>
    <t>0091940310</t>
  </si>
  <si>
    <t>0096879664</t>
  </si>
  <si>
    <t>0099180280</t>
  </si>
  <si>
    <t>0106765674</t>
  </si>
  <si>
    <t>0095402818</t>
  </si>
  <si>
    <t>0094245722</t>
  </si>
  <si>
    <t>0104185984</t>
  </si>
  <si>
    <t>0101112058</t>
  </si>
  <si>
    <t>3096564585</t>
  </si>
  <si>
    <t>0093214471</t>
  </si>
  <si>
    <t>0093888701</t>
  </si>
  <si>
    <t>0093347836</t>
  </si>
  <si>
    <t>0094277190</t>
  </si>
  <si>
    <t>0094171813</t>
  </si>
  <si>
    <t>0103371172</t>
  </si>
  <si>
    <t>0109837686</t>
  </si>
  <si>
    <t>0107888386</t>
  </si>
  <si>
    <t>0098509677</t>
  </si>
  <si>
    <t>0101334010</t>
  </si>
  <si>
    <t>0096773379</t>
  </si>
  <si>
    <t>0099011455</t>
  </si>
  <si>
    <t>0091241571</t>
  </si>
  <si>
    <t>0107094496</t>
  </si>
  <si>
    <t>0107613744</t>
  </si>
  <si>
    <t>0093347342</t>
  </si>
  <si>
    <t>0093634483</t>
  </si>
  <si>
    <t>0091423127</t>
  </si>
  <si>
    <t>0098960363</t>
  </si>
  <si>
    <t>0091205573</t>
  </si>
  <si>
    <t>0104435384</t>
  </si>
  <si>
    <t>0097789543</t>
  </si>
  <si>
    <t>0091135785</t>
  </si>
  <si>
    <t>0105413853</t>
  </si>
  <si>
    <t>0099437692</t>
  </si>
  <si>
    <t>0091322913</t>
  </si>
  <si>
    <t>0094657337</t>
  </si>
  <si>
    <t>0101880869</t>
  </si>
  <si>
    <t>0093633149</t>
  </si>
  <si>
    <t>0107585237</t>
  </si>
  <si>
    <t>0098965430</t>
  </si>
  <si>
    <t>0088948338</t>
  </si>
  <si>
    <t>0096003284</t>
  </si>
  <si>
    <t>0096824481</t>
  </si>
  <si>
    <t>0105404598</t>
  </si>
  <si>
    <t>0096302436</t>
  </si>
  <si>
    <t>0098884018</t>
  </si>
  <si>
    <t>0108173807</t>
  </si>
  <si>
    <t>0092513749</t>
  </si>
  <si>
    <t>3097236145</t>
  </si>
  <si>
    <t>0108082657</t>
  </si>
  <si>
    <t>0103107288</t>
  </si>
  <si>
    <t>0106234035</t>
  </si>
  <si>
    <t>0108780804</t>
  </si>
  <si>
    <t>0092231355</t>
  </si>
  <si>
    <t>0099753272</t>
  </si>
  <si>
    <t>0103461903</t>
  </si>
  <si>
    <t>0095351588</t>
  </si>
  <si>
    <t>0092251465</t>
  </si>
  <si>
    <t>0099326880</t>
  </si>
  <si>
    <t>0108146969</t>
  </si>
  <si>
    <t>0083553020</t>
  </si>
  <si>
    <t>0091012636</t>
  </si>
  <si>
    <t>0098929004</t>
  </si>
  <si>
    <t>0107863983</t>
  </si>
  <si>
    <t>0104666281</t>
  </si>
  <si>
    <t>3096228230</t>
  </si>
  <si>
    <t>0103099759</t>
  </si>
  <si>
    <t>0096026696</t>
  </si>
  <si>
    <t>0109419111</t>
  </si>
  <si>
    <t>0087684621</t>
  </si>
  <si>
    <t>0107555740</t>
  </si>
  <si>
    <t>0092746027</t>
  </si>
  <si>
    <t>0096880275</t>
  </si>
  <si>
    <t>0093469475</t>
  </si>
  <si>
    <t>0092735910</t>
  </si>
  <si>
    <t>0092132678</t>
  </si>
  <si>
    <t>0102799422</t>
  </si>
  <si>
    <t>3102046267</t>
  </si>
  <si>
    <t>0098798478</t>
  </si>
  <si>
    <t>0091161399</t>
  </si>
  <si>
    <t>0094421048</t>
  </si>
  <si>
    <t>0095417292</t>
  </si>
  <si>
    <t>0092514261</t>
  </si>
  <si>
    <t>0108142704</t>
  </si>
  <si>
    <t>0101365266</t>
  </si>
  <si>
    <t>0094219855</t>
  </si>
  <si>
    <t>0108728560</t>
  </si>
  <si>
    <t>0093707369</t>
  </si>
  <si>
    <t>0101341034</t>
  </si>
  <si>
    <t>0098721132</t>
  </si>
  <si>
    <t>0097216819</t>
  </si>
  <si>
    <t>0092139460</t>
  </si>
  <si>
    <t>0105838745</t>
  </si>
  <si>
    <t>0103541677</t>
  </si>
  <si>
    <t>0098479396</t>
  </si>
  <si>
    <t>0102229715</t>
  </si>
  <si>
    <t>3100350874</t>
  </si>
  <si>
    <t>3107677341</t>
  </si>
  <si>
    <t>3093307456</t>
  </si>
  <si>
    <t>0109926646</t>
  </si>
  <si>
    <t>0098274743</t>
  </si>
  <si>
    <t>0109879796</t>
  </si>
  <si>
    <t>0107457275</t>
  </si>
  <si>
    <t>0097595425</t>
  </si>
  <si>
    <t>0105925226</t>
  </si>
  <si>
    <t>0098380073</t>
  </si>
  <si>
    <t>0098524442</t>
  </si>
  <si>
    <t>0093779191</t>
  </si>
  <si>
    <t>0102736697</t>
  </si>
  <si>
    <t>0096868684</t>
  </si>
  <si>
    <t>0091089769</t>
  </si>
  <si>
    <t>0104648436</t>
  </si>
  <si>
    <t>0096271969</t>
  </si>
  <si>
    <t>0101738447</t>
  </si>
  <si>
    <t>0093276315</t>
  </si>
  <si>
    <t>0102061786</t>
  </si>
  <si>
    <t>0104656986</t>
  </si>
  <si>
    <t>0095290875</t>
  </si>
  <si>
    <t>0095512649</t>
  </si>
  <si>
    <t>0099154065</t>
  </si>
  <si>
    <t>0094145271</t>
  </si>
  <si>
    <t>0108567925</t>
  </si>
  <si>
    <t>0103249974</t>
  </si>
  <si>
    <t>0094762588</t>
  </si>
  <si>
    <t>0102695868</t>
  </si>
  <si>
    <t>0096461480</t>
  </si>
  <si>
    <t>0102879514</t>
  </si>
  <si>
    <t>0098038591</t>
  </si>
  <si>
    <t>0101627775</t>
  </si>
  <si>
    <t>0109966707</t>
  </si>
  <si>
    <t>0108029992</t>
  </si>
  <si>
    <t>0108723938</t>
  </si>
  <si>
    <t>0108067934</t>
  </si>
  <si>
    <t>0101099727</t>
  </si>
  <si>
    <t>0095628548</t>
  </si>
  <si>
    <t>0096810225</t>
  </si>
  <si>
    <t>0105189239</t>
  </si>
  <si>
    <t>0097409707</t>
  </si>
  <si>
    <t>0097359514</t>
  </si>
  <si>
    <t>0091881675</t>
  </si>
  <si>
    <t>0109561455</t>
  </si>
  <si>
    <t>0104176004</t>
  </si>
  <si>
    <t>0091525423</t>
  </si>
  <si>
    <t>0106196090</t>
  </si>
  <si>
    <t>3091113524</t>
  </si>
  <si>
    <t>3102612513</t>
  </si>
  <si>
    <t>0095478274</t>
  </si>
  <si>
    <t>0092178246</t>
  </si>
  <si>
    <t>0092055193</t>
  </si>
  <si>
    <t>0092750378</t>
  </si>
  <si>
    <t>0104900089</t>
  </si>
  <si>
    <t>0101777375</t>
  </si>
  <si>
    <t>0104867282</t>
  </si>
  <si>
    <t>3100617039</t>
  </si>
  <si>
    <t>0103809608</t>
  </si>
  <si>
    <t>0101346434</t>
  </si>
  <si>
    <t>0099622570</t>
  </si>
  <si>
    <t>0093977118</t>
  </si>
  <si>
    <t>0092332697</t>
  </si>
  <si>
    <t>0092190920</t>
  </si>
  <si>
    <t>0095972533</t>
  </si>
  <si>
    <t>0097103145</t>
  </si>
  <si>
    <t>0092481175</t>
  </si>
  <si>
    <t>0092875262</t>
  </si>
  <si>
    <t>0099308328</t>
  </si>
  <si>
    <t>0105646233</t>
  </si>
  <si>
    <t>0095487141</t>
  </si>
  <si>
    <t>0097347700</t>
  </si>
  <si>
    <t>0096342377</t>
  </si>
  <si>
    <t>0105140721</t>
  </si>
  <si>
    <t>0103441274</t>
  </si>
  <si>
    <t>0104797186</t>
  </si>
  <si>
    <t>0097433580</t>
  </si>
  <si>
    <t>0107149425</t>
  </si>
  <si>
    <t>0104088787</t>
  </si>
  <si>
    <t>3106778797</t>
  </si>
  <si>
    <t>0101887176</t>
  </si>
  <si>
    <t>0092347863</t>
  </si>
  <si>
    <t>0102817772</t>
  </si>
  <si>
    <t>0091586526</t>
  </si>
  <si>
    <t>0119719112</t>
  </si>
  <si>
    <t>0095515830</t>
  </si>
  <si>
    <t>0096522338</t>
  </si>
  <si>
    <t>0107139977</t>
  </si>
  <si>
    <t>0091314527</t>
  </si>
  <si>
    <t>0094691132</t>
  </si>
  <si>
    <t>0108960636</t>
  </si>
  <si>
    <t>0105777383</t>
  </si>
  <si>
    <t>0106985307</t>
  </si>
  <si>
    <t>0099707203</t>
  </si>
  <si>
    <t>0098203882</t>
  </si>
  <si>
    <t>0105306344</t>
  </si>
  <si>
    <t>0107784085</t>
  </si>
  <si>
    <t>0095394337</t>
  </si>
  <si>
    <t>0108033991</t>
  </si>
  <si>
    <t>3094533966</t>
  </si>
  <si>
    <t>0095718753</t>
  </si>
  <si>
    <t>0105967822</t>
  </si>
  <si>
    <t>0107918289</t>
  </si>
  <si>
    <t>0105912416</t>
  </si>
  <si>
    <t>0105868223</t>
  </si>
  <si>
    <t>0099365436</t>
  </si>
  <si>
    <t>0105880285</t>
  </si>
  <si>
    <t>0103249022</t>
  </si>
  <si>
    <t>0097867669</t>
  </si>
  <si>
    <t>0099895057</t>
  </si>
  <si>
    <t>0108996067</t>
  </si>
  <si>
    <t>0093962584</t>
  </si>
  <si>
    <t>3096660479</t>
  </si>
  <si>
    <t>3098988404</t>
  </si>
  <si>
    <t>0092442477</t>
  </si>
  <si>
    <t>3097984341</t>
  </si>
  <si>
    <t>0106558001</t>
  </si>
  <si>
    <t>0094672744</t>
  </si>
  <si>
    <t>3109672352</t>
  </si>
  <si>
    <t>0097336698</t>
  </si>
  <si>
    <t>3106287035</t>
  </si>
  <si>
    <t>0091217657</t>
  </si>
  <si>
    <t>0108102736</t>
  </si>
  <si>
    <t>0095421044</t>
  </si>
  <si>
    <t>0106882336</t>
  </si>
  <si>
    <t>0095886829</t>
  </si>
  <si>
    <t>3101261144</t>
  </si>
  <si>
    <t>0091414971</t>
  </si>
  <si>
    <t>0098142420</t>
  </si>
  <si>
    <t>0109448850</t>
  </si>
  <si>
    <t>0095423074</t>
  </si>
  <si>
    <t>0094434107</t>
  </si>
  <si>
    <t>0102481525</t>
  </si>
  <si>
    <t>0107831672</t>
  </si>
  <si>
    <t>0096640879</t>
  </si>
  <si>
    <t>0102890302</t>
  </si>
  <si>
    <t>0106562369</t>
  </si>
  <si>
    <t>0097556617</t>
  </si>
  <si>
    <t>0097167723</t>
  </si>
  <si>
    <t>0102179925</t>
  </si>
  <si>
    <t>0081343730</t>
  </si>
  <si>
    <t>0107931788</t>
  </si>
  <si>
    <t>0103640448</t>
  </si>
  <si>
    <t>0092605880</t>
  </si>
  <si>
    <t>0106032347</t>
  </si>
  <si>
    <t>0092406383</t>
  </si>
  <si>
    <t>0096386627</t>
  </si>
  <si>
    <t>0091587183</t>
  </si>
  <si>
    <t>3086840255</t>
  </si>
  <si>
    <t>0095508447</t>
  </si>
  <si>
    <t>0108603304</t>
  </si>
  <si>
    <t>0103610581</t>
  </si>
  <si>
    <t>0093116113</t>
  </si>
  <si>
    <t>0097920160</t>
  </si>
  <si>
    <t>0096199620</t>
  </si>
  <si>
    <t>0097140854</t>
  </si>
  <si>
    <t>0097401082</t>
  </si>
  <si>
    <t>0094126827</t>
  </si>
  <si>
    <t>0092017600</t>
  </si>
  <si>
    <t>0095634684</t>
  </si>
  <si>
    <t>0096427445</t>
  </si>
  <si>
    <t>0099031300</t>
  </si>
  <si>
    <t>0098277639</t>
  </si>
  <si>
    <t>0092338125</t>
  </si>
  <si>
    <t>0092157814</t>
  </si>
  <si>
    <t>3095931203</t>
  </si>
  <si>
    <t>0091925107</t>
  </si>
  <si>
    <t>3099833368</t>
  </si>
  <si>
    <t>0091685872</t>
  </si>
  <si>
    <t>0089884756</t>
  </si>
  <si>
    <t>0096776530</t>
  </si>
  <si>
    <t>0108065085</t>
  </si>
  <si>
    <t>0106368743</t>
  </si>
  <si>
    <t>0093029487</t>
  </si>
  <si>
    <t>0095163747</t>
  </si>
  <si>
    <t>0107695957</t>
  </si>
  <si>
    <t>0095233073</t>
  </si>
  <si>
    <t>0102625019</t>
  </si>
  <si>
    <t>0094856497</t>
  </si>
  <si>
    <t>0086886058</t>
  </si>
  <si>
    <t>0101803419</t>
  </si>
  <si>
    <t>0097490476</t>
  </si>
  <si>
    <t>0092857850</t>
  </si>
  <si>
    <t>0104416688</t>
  </si>
  <si>
    <t>0109371291</t>
  </si>
  <si>
    <t>0092161967</t>
  </si>
  <si>
    <t>0104644713</t>
  </si>
  <si>
    <t>3096723914</t>
  </si>
  <si>
    <t>0107583833</t>
  </si>
  <si>
    <t>0092710514</t>
  </si>
  <si>
    <t>0106809930</t>
  </si>
  <si>
    <t>0093035901</t>
  </si>
  <si>
    <t>0101670439</t>
  </si>
  <si>
    <t>0092612379</t>
  </si>
  <si>
    <t>0095493830</t>
  </si>
  <si>
    <t>Update 14 Juli 2025</t>
  </si>
  <si>
    <t>DZAKWAAN MUHAMMAD MUFIID</t>
  </si>
  <si>
    <t>0095921074</t>
  </si>
  <si>
    <t>XI TKJ1</t>
  </si>
  <si>
    <t>102519950 /   0095921074</t>
  </si>
  <si>
    <t>PPLG 1</t>
  </si>
  <si>
    <t>PPLG 2</t>
  </si>
  <si>
    <t>TJKT 1</t>
  </si>
  <si>
    <t>TJKT 2</t>
  </si>
  <si>
    <t>TJKT 3</t>
  </si>
  <si>
    <t>X PPLG</t>
  </si>
  <si>
    <t>PPLG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</si>
</sst>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51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 Light"/>
      <family val="2"/>
      <scheme val="maj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4" tint="-0.249977111117893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sz val="11"/>
      <name val="Calibri"/>
      <family val="2"/>
      <charset val="1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7" fillId="0" borderId="0"/>
    <xf numFmtId="0" fontId="38" fillId="0" borderId="0" applyFill="0" applyProtection="0"/>
    <xf numFmtId="0" fontId="39" fillId="0" borderId="0"/>
    <xf numFmtId="43" fontId="17" fillId="0" borderId="0" applyFont="0" applyFill="0" applyBorder="0" applyAlignment="0" applyProtection="0"/>
    <xf numFmtId="0" fontId="7" fillId="0" borderId="0"/>
  </cellStyleXfs>
  <cellXfs count="265">
    <xf numFmtId="0" fontId="0" fillId="0" borderId="0" xfId="0"/>
    <xf numFmtId="0" fontId="8" fillId="0" borderId="0" xfId="0" applyFont="1"/>
    <xf numFmtId="0" fontId="10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vertical="distributed"/>
    </xf>
    <xf numFmtId="0" fontId="14" fillId="0" borderId="0" xfId="0" applyFont="1" applyAlignment="1">
      <alignment horizontal="center" vertical="distributed"/>
    </xf>
    <xf numFmtId="0" fontId="15" fillId="0" borderId="0" xfId="0" applyFont="1"/>
    <xf numFmtId="0" fontId="16" fillId="2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17" fillId="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/>
    <xf numFmtId="0" fontId="18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/>
    <xf numFmtId="0" fontId="22" fillId="0" borderId="1" xfId="0" applyFont="1" applyBorder="1" applyAlignment="1">
      <alignment vertical="center"/>
    </xf>
    <xf numFmtId="0" fontId="29" fillId="3" borderId="1" xfId="0" applyFont="1" applyFill="1" applyBorder="1" applyAlignment="1">
      <alignment vertical="center"/>
    </xf>
    <xf numFmtId="0" fontId="11" fillId="0" borderId="0" xfId="0" applyFont="1"/>
    <xf numFmtId="0" fontId="8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right"/>
    </xf>
    <xf numFmtId="0" fontId="18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 wrapText="1"/>
    </xf>
    <xf numFmtId="0" fontId="31" fillId="0" borderId="1" xfId="0" applyFont="1" applyBorder="1" applyAlignment="1">
      <alignment horizontal="right"/>
    </xf>
    <xf numFmtId="0" fontId="31" fillId="0" borderId="1" xfId="0" applyFont="1" applyBorder="1" applyAlignment="1">
      <alignment horizontal="right" vertical="center" wrapText="1"/>
    </xf>
    <xf numFmtId="0" fontId="32" fillId="0" borderId="1" xfId="0" applyFont="1" applyBorder="1" applyAlignment="1">
      <alignment horizontal="right"/>
    </xf>
    <xf numFmtId="0" fontId="18" fillId="0" borderId="1" xfId="1" applyFont="1" applyBorder="1" applyAlignment="1">
      <alignment horizontal="right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1" fillId="0" borderId="0" xfId="0" applyFont="1" applyAlignment="1">
      <alignment horizontal="left"/>
    </xf>
    <xf numFmtId="0" fontId="32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center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0" xfId="0" applyFont="1" applyAlignment="1">
      <alignment horizontal="left" vertical="center"/>
    </xf>
    <xf numFmtId="0" fontId="34" fillId="0" borderId="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right"/>
    </xf>
    <xf numFmtId="0" fontId="18" fillId="0" borderId="0" xfId="0" applyFont="1"/>
    <xf numFmtId="0" fontId="18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right" vertical="center" wrapText="1"/>
    </xf>
    <xf numFmtId="0" fontId="18" fillId="0" borderId="13" xfId="0" applyFont="1" applyBorder="1"/>
    <xf numFmtId="0" fontId="18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vertical="center" wrapText="1"/>
    </xf>
    <xf numFmtId="0" fontId="11" fillId="0" borderId="1" xfId="0" applyFont="1" applyBorder="1"/>
    <xf numFmtId="164" fontId="32" fillId="0" borderId="1" xfId="0" applyNumberFormat="1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18" fillId="0" borderId="11" xfId="0" applyFont="1" applyBorder="1"/>
    <xf numFmtId="0" fontId="18" fillId="0" borderId="11" xfId="0" applyFont="1" applyBorder="1" applyAlignment="1">
      <alignment vertical="center" wrapText="1"/>
    </xf>
    <xf numFmtId="0" fontId="33" fillId="0" borderId="0" xfId="0" applyFont="1" applyAlignment="1">
      <alignment horizontal="right"/>
    </xf>
    <xf numFmtId="0" fontId="32" fillId="0" borderId="1" xfId="0" applyFont="1" applyBorder="1" applyAlignment="1">
      <alignment wrapText="1"/>
    </xf>
    <xf numFmtId="164" fontId="1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34" fillId="0" borderId="1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left" vertical="top"/>
    </xf>
    <xf numFmtId="0" fontId="11" fillId="5" borderId="0" xfId="0" applyFont="1" applyFill="1"/>
    <xf numFmtId="0" fontId="3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right" vertical="top"/>
    </xf>
    <xf numFmtId="0" fontId="11" fillId="0" borderId="1" xfId="0" applyFont="1" applyBorder="1" applyAlignment="1">
      <alignment horizontal="right" vertical="top" wrapText="1"/>
    </xf>
    <xf numFmtId="0" fontId="11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center" wrapText="1"/>
    </xf>
    <xf numFmtId="0" fontId="32" fillId="0" borderId="1" xfId="0" applyFont="1" applyBorder="1"/>
    <xf numFmtId="0" fontId="3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wrapText="1"/>
    </xf>
    <xf numFmtId="0" fontId="11" fillId="5" borderId="1" xfId="0" applyFont="1" applyFill="1" applyBorder="1" applyAlignment="1">
      <alignment horizontal="right"/>
    </xf>
    <xf numFmtId="0" fontId="18" fillId="5" borderId="1" xfId="1" applyFont="1" applyFill="1" applyBorder="1" applyAlignment="1">
      <alignment horizontal="right"/>
    </xf>
    <xf numFmtId="0" fontId="18" fillId="5" borderId="1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/>
    <xf numFmtId="0" fontId="11" fillId="5" borderId="1" xfId="0" applyFont="1" applyFill="1" applyBorder="1" applyAlignment="1">
      <alignment horizontal="center"/>
    </xf>
    <xf numFmtId="0" fontId="11" fillId="6" borderId="0" xfId="0" applyFont="1" applyFill="1"/>
    <xf numFmtId="0" fontId="0" fillId="0" borderId="1" xfId="0" applyBorder="1"/>
    <xf numFmtId="0" fontId="17" fillId="0" borderId="1" xfId="1" applyBorder="1"/>
    <xf numFmtId="0" fontId="0" fillId="3" borderId="1" xfId="0" applyFill="1" applyBorder="1" applyAlignment="1">
      <alignment horizontal="center"/>
    </xf>
    <xf numFmtId="0" fontId="17" fillId="0" borderId="0" xfId="1"/>
    <xf numFmtId="0" fontId="11" fillId="7" borderId="1" xfId="0" applyFont="1" applyFill="1" applyBorder="1" applyAlignment="1">
      <alignment vertical="center"/>
    </xf>
    <xf numFmtId="0" fontId="0" fillId="8" borderId="0" xfId="0" applyFill="1"/>
    <xf numFmtId="0" fontId="0" fillId="7" borderId="0" xfId="0" applyFill="1"/>
    <xf numFmtId="0" fontId="0" fillId="3" borderId="0" xfId="0" applyFill="1"/>
    <xf numFmtId="0" fontId="0" fillId="9" borderId="1" xfId="0" applyFill="1" applyBorder="1"/>
    <xf numFmtId="0" fontId="37" fillId="4" borderId="1" xfId="0" applyFont="1" applyFill="1" applyBorder="1"/>
    <xf numFmtId="0" fontId="34" fillId="0" borderId="1" xfId="0" applyFont="1" applyBorder="1" applyAlignment="1">
      <alignment horizontal="right"/>
    </xf>
    <xf numFmtId="0" fontId="11" fillId="0" borderId="1" xfId="0" quotePrefix="1" applyFont="1" applyBorder="1" applyAlignment="1">
      <alignment horizontal="right" vertical="top" wrapText="1"/>
    </xf>
    <xf numFmtId="0" fontId="11" fillId="0" borderId="1" xfId="0" quotePrefix="1" applyFont="1" applyBorder="1" applyAlignment="1">
      <alignment horizontal="right"/>
    </xf>
    <xf numFmtId="0" fontId="18" fillId="0" borderId="1" xfId="0" quotePrefix="1" applyFont="1" applyBorder="1" applyAlignment="1">
      <alignment horizontal="right" vertical="center"/>
    </xf>
    <xf numFmtId="0" fontId="32" fillId="0" borderId="1" xfId="0" quotePrefix="1" applyFont="1" applyBorder="1" applyAlignment="1">
      <alignment horizontal="right" vertical="center"/>
    </xf>
    <xf numFmtId="0" fontId="32" fillId="0" borderId="1" xfId="0" quotePrefix="1" applyFont="1" applyBorder="1" applyAlignment="1">
      <alignment horizontal="right"/>
    </xf>
    <xf numFmtId="0" fontId="32" fillId="0" borderId="1" xfId="0" quotePrefix="1" applyFont="1" applyBorder="1" applyAlignment="1">
      <alignment horizontal="right" vertical="center" wrapText="1"/>
    </xf>
    <xf numFmtId="0" fontId="11" fillId="0" borderId="1" xfId="0" quotePrefix="1" applyFont="1" applyBorder="1" applyAlignment="1">
      <alignment horizontal="right" vertical="center"/>
    </xf>
    <xf numFmtId="0" fontId="31" fillId="0" borderId="1" xfId="0" quotePrefix="1" applyFont="1" applyBorder="1" applyAlignment="1">
      <alignment horizontal="right"/>
    </xf>
    <xf numFmtId="0" fontId="11" fillId="0" borderId="1" xfId="0" quotePrefix="1" applyFont="1" applyBorder="1" applyAlignment="1">
      <alignment horizontal="right" vertical="center" wrapText="1"/>
    </xf>
    <xf numFmtId="0" fontId="31" fillId="0" borderId="1" xfId="0" quotePrefix="1" applyFont="1" applyBorder="1" applyAlignment="1">
      <alignment horizontal="right" vertical="center" wrapText="1"/>
    </xf>
    <xf numFmtId="0" fontId="11" fillId="0" borderId="11" xfId="0" quotePrefix="1" applyFont="1" applyBorder="1" applyAlignment="1">
      <alignment horizontal="right"/>
    </xf>
    <xf numFmtId="0" fontId="32" fillId="0" borderId="1" xfId="0" quotePrefix="1" applyFont="1" applyBorder="1" applyAlignment="1">
      <alignment vertical="center"/>
    </xf>
    <xf numFmtId="0" fontId="11" fillId="0" borderId="11" xfId="0" quotePrefix="1" applyFont="1" applyBorder="1" applyAlignment="1">
      <alignment horizontal="right" vertical="center" wrapText="1"/>
    </xf>
    <xf numFmtId="14" fontId="32" fillId="0" borderId="1" xfId="0" quotePrefix="1" applyNumberFormat="1" applyFont="1" applyBorder="1" applyAlignment="1">
      <alignment vertical="center"/>
    </xf>
    <xf numFmtId="0" fontId="24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7" fillId="0" borderId="0" xfId="0" applyFont="1"/>
    <xf numFmtId="0" fontId="41" fillId="0" borderId="1" xfId="0" applyFont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41" fillId="0" borderId="1" xfId="0" applyFont="1" applyBorder="1"/>
    <xf numFmtId="0" fontId="7" fillId="0" borderId="0" xfId="0" applyFont="1" applyAlignment="1">
      <alignment vertical="center"/>
    </xf>
    <xf numFmtId="0" fontId="30" fillId="4" borderId="0" xfId="0" applyFont="1" applyFill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right" vertical="center"/>
    </xf>
    <xf numFmtId="0" fontId="0" fillId="10" borderId="1" xfId="0" applyFill="1" applyBorder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46" fillId="0" borderId="1" xfId="0" applyFont="1" applyBorder="1"/>
    <xf numFmtId="0" fontId="5" fillId="0" borderId="0" xfId="0" applyFont="1"/>
    <xf numFmtId="0" fontId="46" fillId="0" borderId="1" xfId="1" applyFont="1" applyBorder="1"/>
    <xf numFmtId="0" fontId="0" fillId="0" borderId="10" xfId="0" applyBorder="1"/>
    <xf numFmtId="0" fontId="4" fillId="0" borderId="0" xfId="0" applyFont="1"/>
    <xf numFmtId="0" fontId="11" fillId="11" borderId="0" xfId="0" applyFont="1" applyFill="1" applyAlignment="1">
      <alignment horizontal="center"/>
    </xf>
    <xf numFmtId="0" fontId="11" fillId="11" borderId="0" xfId="0" applyFont="1" applyFill="1"/>
    <xf numFmtId="0" fontId="2" fillId="0" borderId="0" xfId="0" applyFont="1"/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0" fontId="11" fillId="0" borderId="15" xfId="0" applyFont="1" applyBorder="1" applyAlignment="1">
      <alignment horizontal="center"/>
    </xf>
    <xf numFmtId="0" fontId="11" fillId="5" borderId="15" xfId="0" applyFont="1" applyFill="1" applyBorder="1" applyAlignment="1">
      <alignment horizontal="center"/>
    </xf>
    <xf numFmtId="0" fontId="35" fillId="0" borderId="15" xfId="0" quotePrefix="1" applyFont="1" applyBorder="1" applyAlignment="1">
      <alignment horizontal="center" vertical="center"/>
    </xf>
    <xf numFmtId="0" fontId="11" fillId="0" borderId="15" xfId="0" applyFont="1" applyBorder="1" applyAlignment="1">
      <alignment horizontal="right" vertical="center"/>
    </xf>
    <xf numFmtId="0" fontId="11" fillId="0" borderId="15" xfId="0" applyFont="1" applyBorder="1" applyAlignment="1">
      <alignment vertical="center"/>
    </xf>
    <xf numFmtId="0" fontId="18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right"/>
    </xf>
    <xf numFmtId="0" fontId="18" fillId="0" borderId="15" xfId="1" applyFont="1" applyBorder="1" applyAlignment="1">
      <alignment horizontal="right"/>
    </xf>
    <xf numFmtId="0" fontId="18" fillId="0" borderId="15" xfId="0" applyFont="1" applyBorder="1" applyAlignment="1">
      <alignment horizontal="right" vertical="center"/>
    </xf>
    <xf numFmtId="0" fontId="18" fillId="0" borderId="15" xfId="0" applyFont="1" applyBorder="1" applyAlignment="1">
      <alignment vertical="center" wrapText="1"/>
    </xf>
    <xf numFmtId="0" fontId="18" fillId="0" borderId="15" xfId="0" applyFont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0" fillId="0" borderId="0" xfId="0" applyFont="1"/>
    <xf numFmtId="0" fontId="50" fillId="0" borderId="0" xfId="0" applyFont="1" applyAlignment="1">
      <alignment vertic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/>
    </xf>
    <xf numFmtId="0" fontId="50" fillId="0" borderId="3" xfId="0" applyFont="1" applyBorder="1"/>
    <xf numFmtId="0" fontId="50" fillId="0" borderId="3" xfId="0" applyFont="1" applyBorder="1" applyAlignment="1">
      <alignment vertical="center"/>
    </xf>
    <xf numFmtId="0" fontId="50" fillId="0" borderId="3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/>
    </xf>
    <xf numFmtId="0" fontId="17" fillId="0" borderId="1" xfId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15" xfId="0" applyFont="1" applyBorder="1" applyAlignment="1">
      <alignment horizontal="left"/>
    </xf>
    <xf numFmtId="0" fontId="11" fillId="11" borderId="15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left"/>
    </xf>
    <xf numFmtId="0" fontId="17" fillId="0" borderId="15" xfId="1" applyBorder="1" applyAlignment="1">
      <alignment horizontal="center" vertical="center"/>
    </xf>
    <xf numFmtId="0" fontId="41" fillId="0" borderId="15" xfId="0" applyFont="1" applyBorder="1" applyAlignment="1">
      <alignment horizontal="center" vertical="center"/>
    </xf>
    <xf numFmtId="0" fontId="0" fillId="0" borderId="15" xfId="0" applyBorder="1"/>
    <xf numFmtId="0" fontId="32" fillId="0" borderId="15" xfId="0" applyFont="1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7" fillId="0" borderId="15" xfId="1" applyBorder="1"/>
    <xf numFmtId="0" fontId="0" fillId="3" borderId="15" xfId="0" applyFill="1" applyBorder="1" applyAlignment="1">
      <alignment horizontal="center" vertical="center"/>
    </xf>
    <xf numFmtId="0" fontId="1" fillId="0" borderId="0" xfId="0" applyFont="1"/>
    <xf numFmtId="0" fontId="0" fillId="3" borderId="15" xfId="0" applyFill="1" applyBorder="1"/>
    <xf numFmtId="0" fontId="17" fillId="0" borderId="15" xfId="1" applyBorder="1" applyAlignment="1">
      <alignment vertical="center"/>
    </xf>
    <xf numFmtId="1" fontId="17" fillId="0" borderId="15" xfId="1" applyNumberFormat="1" applyBorder="1" applyAlignment="1">
      <alignment vertical="center"/>
    </xf>
    <xf numFmtId="0" fontId="36" fillId="0" borderId="15" xfId="0" applyFont="1" applyBorder="1" applyAlignment="1">
      <alignment vertical="center" wrapText="1"/>
    </xf>
    <xf numFmtId="0" fontId="36" fillId="0" borderId="15" xfId="0" applyFont="1" applyBorder="1" applyAlignment="1">
      <alignment horizontal="center" vertical="center" wrapText="1"/>
    </xf>
    <xf numFmtId="0" fontId="0" fillId="3" borderId="15" xfId="0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11" fillId="6" borderId="15" xfId="0" applyFont="1" applyFill="1" applyBorder="1" applyAlignment="1">
      <alignment vertical="center"/>
    </xf>
    <xf numFmtId="0" fontId="27" fillId="0" borderId="15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5" xfId="0" applyBorder="1" applyAlignment="1">
      <alignment horizontal="center"/>
    </xf>
    <xf numFmtId="1" fontId="11" fillId="0" borderId="15" xfId="0" quotePrefix="1" applyNumberFormat="1" applyFont="1" applyBorder="1" applyAlignment="1">
      <alignment horizontal="center" vertical="center"/>
    </xf>
    <xf numFmtId="0" fontId="32" fillId="0" borderId="0" xfId="0" applyFont="1"/>
    <xf numFmtId="0" fontId="35" fillId="0" borderId="7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</cellXfs>
  <cellStyles count="6">
    <cellStyle name="Comma 2" xfId="4" xr:uid="{00000000-0005-0000-0000-000034000000}"/>
    <cellStyle name="Normal" xfId="0" builtinId="0"/>
    <cellStyle name="Normal 2" xfId="2" xr:uid="{00000000-0005-0000-0000-000021000000}"/>
    <cellStyle name="Normal 3" xfId="3" xr:uid="{00000000-0005-0000-0000-000026000000}"/>
    <cellStyle name="Normal 4" xfId="1" xr:uid="{00000000-0005-0000-0000-000016000000}"/>
    <cellStyle name="Normal 5" xfId="5" xr:uid="{B2B36E5E-A224-4C70-A42D-B1FE2AD10E30}"/>
  </cellStyles>
  <dxfs count="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16" fmlaLink="$AL$13" max="40" min="1" page="10" val="23"/>
</file>

<file path=xl/ctrlProps/ctrlProp2.xml><?xml version="1.0" encoding="utf-8"?>
<formControlPr xmlns="http://schemas.microsoft.com/office/spreadsheetml/2009/9/main" objectType="Spin" dx="16" fmlaLink="$AL$13" max="40" min="1" page="10" val="23"/>
</file>

<file path=xl/ctrlProps/ctrlProp3.xml><?xml version="1.0" encoding="utf-8"?>
<formControlPr xmlns="http://schemas.microsoft.com/office/spreadsheetml/2009/9/main" objectType="Spin" dx="16" fmlaLink="$AL$13" max="40" min="1" page="10" val="23"/>
</file>

<file path=xl/ctrlProps/ctrlProp4.xml><?xml version="1.0" encoding="utf-8"?>
<formControlPr xmlns="http://schemas.microsoft.com/office/spreadsheetml/2009/9/main" objectType="Spin" dx="16" fmlaLink="$AL$13" max="40" min="1" page="10" val="23"/>
</file>

<file path=xl/ctrlProps/ctrlProp5.xml><?xml version="1.0" encoding="utf-8"?>
<formControlPr xmlns="http://schemas.microsoft.com/office/spreadsheetml/2009/9/main" objectType="Spin" dx="16" fmlaLink="$Y$13" max="40" min="1" page="10" val="12"/>
</file>

<file path=xl/ctrlProps/ctrlProp6.xml><?xml version="1.0" encoding="utf-8"?>
<formControlPr xmlns="http://schemas.microsoft.com/office/spreadsheetml/2009/9/main" objectType="Spin" dx="16" fmlaLink="$Y$13" max="40" min="1" page="10" val="12"/>
</file>

<file path=xl/ctrlProps/ctrlProp7.xml><?xml version="1.0" encoding="utf-8"?>
<formControlPr xmlns="http://schemas.microsoft.com/office/spreadsheetml/2009/9/main" objectType="Spin" dx="16" fmlaLink="$Y$13" max="40" min="1" page="10" val="12"/>
</file>

<file path=xl/ctrlProps/ctrlProp8.xml><?xml version="1.0" encoding="utf-8"?>
<formControlPr xmlns="http://schemas.microsoft.com/office/spreadsheetml/2009/9/main" objectType="Spin" dx="16" fmlaLink="$Y$13" max="40" min="1" page="10" val="12"/>
</file>

<file path=xl/ctrlProps/ctrlProp9.xml><?xml version="1.0" encoding="utf-8"?>
<formControlPr xmlns="http://schemas.microsoft.com/office/spreadsheetml/2009/9/main" objectType="Spin" dx="16" fmlaLink="$G$13" max="40" min="1" page="10" val="40"/>
</file>

<file path=xl/ctrlProps/ctrlProp10.xml><?xml version="1.0" encoding="utf-8"?>
<formControlPr xmlns="http://schemas.microsoft.com/office/spreadsheetml/2009/9/main" objectType="Spin" dx="16" fmlaLink="$G$13" max="40" min="1" page="10" val="40"/>
</file>

<file path=xl/ctrlProps/ctrlProp11.xml><?xml version="1.0" encoding="utf-8"?>
<formControlPr xmlns="http://schemas.microsoft.com/office/spreadsheetml/2009/9/main" objectType="Spin" dx="16" fmlaLink="$G$13" max="40" min="1" page="10" val="40"/>
</file>

<file path=xl/ctrlProps/ctrlProp12.xml><?xml version="1.0" encoding="utf-8"?>
<formControlPr xmlns="http://schemas.microsoft.com/office/spreadsheetml/2009/9/main" objectType="Spin" dx="16" fmlaLink="$G$13" max="40" min="1" page="10" val="40"/>
</file>

<file path=xl/ctrlProps/ctrlProp13.xml><?xml version="1.0" encoding="utf-8"?>
<formControlPr xmlns="http://schemas.microsoft.com/office/spreadsheetml/2009/9/main" objectType="Spin" dx="16" fmlaLink="$I$13" max="40" min="1" page="10" val="40"/>
</file>

<file path=xl/ctrlProps/ctrlProp14.xml><?xml version="1.0" encoding="utf-8"?>
<formControlPr xmlns="http://schemas.microsoft.com/office/spreadsheetml/2009/9/main" objectType="Spin" dx="16" fmlaLink="$I$13" max="40" min="1" page="10" val="40"/>
</file>

<file path=xl/ctrlProps/ctrlProp15.xml><?xml version="1.0" encoding="utf-8"?>
<formControlPr xmlns="http://schemas.microsoft.com/office/spreadsheetml/2009/9/main" objectType="Spin" dx="16" fmlaLink="$I$13" max="40" min="1" page="10" val="40"/>
</file>

<file path=xl/ctrlProps/ctrlProp16.xml><?xml version="1.0" encoding="utf-8"?>
<formControlPr xmlns="http://schemas.microsoft.com/office/spreadsheetml/2009/9/main" objectType="Spin" dx="16" fmlaLink="$I$13" max="40" min="1" page="10" val="4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853544</xdr:colOff>
      <xdr:row>0</xdr:row>
      <xdr:rowOff>51956</xdr:rowOff>
    </xdr:from>
    <xdr:to>
      <xdr:col>2</xdr:col>
      <xdr:colOff>416719</xdr:colOff>
      <xdr:row>8</xdr:row>
      <xdr:rowOff>167106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0140" y="51435"/>
          <a:ext cx="1334770" cy="163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506015</xdr:colOff>
      <xdr:row>0</xdr:row>
      <xdr:rowOff>0</xdr:rowOff>
    </xdr:from>
    <xdr:to>
      <xdr:col>36</xdr:col>
      <xdr:colOff>14432</xdr:colOff>
      <xdr:row>8</xdr:row>
      <xdr:rowOff>119062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>
        <a:xfrm>
          <a:off x="772160" y="0"/>
          <a:ext cx="9366885" cy="1642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spcBef>
              <a:spcPts val="600"/>
            </a:spcBef>
            <a:spcAft>
              <a:spcPts val="0"/>
            </a:spcAft>
          </a:pPr>
          <a:r>
            <a:rPr lang="id-ID" sz="16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PEMERINTAH  DAERAH PROVINSI  JAWA  BARAT</a:t>
          </a:r>
          <a:endParaRPr lang="id-ID" sz="1600" b="0" u="sng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id-ID" sz="1600" b="1" kern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DINAS PENDIDIKAN </a:t>
          </a:r>
          <a:endParaRPr lang="id-ID" sz="1600" b="1" kern="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id-ID" sz="16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CABANG DINAS PENDIDIKAN WILAYAH VII</a:t>
          </a:r>
        </a:p>
        <a:p>
          <a:pPr algn="ctr">
            <a:spcAft>
              <a:spcPts val="0"/>
            </a:spcAft>
          </a:pPr>
          <a:r>
            <a:rPr lang="id-ID" sz="1600" b="1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SEKOLAH MENENGAH KEJURUAN NEGERI 13</a:t>
          </a:r>
          <a:endParaRPr lang="id-ID" sz="16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es-ES" sz="11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Jalan Soekarno - Hatta Km.10 Telepon (022) 7318960: Ext. 114</a:t>
          </a:r>
          <a:endParaRPr lang="id-ID" sz="1200" b="0" u="sng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es-E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Telepon/Fa</a:t>
          </a:r>
          <a:r>
            <a:rPr lang="id-ID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ksimil: (022) </a:t>
          </a:r>
          <a:r>
            <a:rPr lang="en-U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7332252 – Bandung 40286</a:t>
          </a:r>
          <a:r>
            <a:rPr lang="id-ID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Email:</a:t>
          </a:r>
          <a:r>
            <a:rPr lang="en-U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smk13bdg</a:t>
          </a:r>
          <a:r>
            <a:rPr lang="id-ID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@</a:t>
          </a:r>
          <a:r>
            <a:rPr lang="en-U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gmail.com</a:t>
          </a:r>
          <a:endParaRPr lang="id-ID" sz="1200" b="0" u="sng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es-ES" sz="1100" b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Home page : http://www.smkn13</a:t>
          </a:r>
          <a:r>
            <a:rPr lang="id-ID" sz="1100" b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r>
            <a:rPr lang="es-ES" sz="1100" b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sch.id</a:t>
          </a:r>
          <a:endParaRPr lang="id-ID" sz="1200" b="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485775</xdr:colOff>
          <xdr:row>21</xdr:row>
          <xdr:rowOff>152400</xdr:rowOff>
        </xdr:from>
        <xdr:to>
          <xdr:col>37</xdr:col>
          <xdr:colOff>361950</xdr:colOff>
          <xdr:row>29</xdr:row>
          <xdr:rowOff>57150</xdr:rowOff>
        </xdr:to>
        <xdr:sp macro="" textlink="">
          <xdr:nvSpPr>
            <xdr:cNvPr id="35841" name="Spinner 1" hidden="1">
              <a:extLst>
                <a:ext uri="{63B3BB69-23CF-44E3-9099-C40C66FF867C}">
                  <a14:compatExt spid="_x0000_s35841"/>
                </a:ext>
                <a:ext uri="{FF2B5EF4-FFF2-40B4-BE49-F238E27FC236}">
                  <a16:creationId xmlns:a16="http://schemas.microsoft.com/office/drawing/2014/main" id="{00000000-0008-0000-0400-000001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37</xdr:col>
          <xdr:colOff>57150</xdr:colOff>
          <xdr:row>51</xdr:row>
          <xdr:rowOff>76200</xdr:rowOff>
        </xdr:from>
        <xdr:to>
          <xdr:col>37</xdr:col>
          <xdr:colOff>514350</xdr:colOff>
          <xdr:row>58</xdr:row>
          <xdr:rowOff>47625</xdr:rowOff>
        </xdr:to>
        <xdr:sp macro="" textlink="">
          <xdr:nvSpPr>
            <xdr:cNvPr id="35842" name="Spinner 2" hidden="1">
              <a:extLst>
                <a:ext uri="{63B3BB69-23CF-44E3-9099-C40C66FF867C}">
                  <a14:compatExt spid="_x0000_s35842"/>
                </a:ext>
                <a:ext uri="{FF2B5EF4-FFF2-40B4-BE49-F238E27FC236}">
                  <a16:creationId xmlns:a16="http://schemas.microsoft.com/office/drawing/2014/main" id="{00000000-0008-0000-0400-000002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485775</xdr:colOff>
          <xdr:row>20</xdr:row>
          <xdr:rowOff>152400</xdr:rowOff>
        </xdr:from>
        <xdr:to>
          <xdr:col>37</xdr:col>
          <xdr:colOff>361950</xdr:colOff>
          <xdr:row>28</xdr:row>
          <xdr:rowOff>57150</xdr:rowOff>
        </xdr:to>
        <xdr:sp macro="" textlink="">
          <xdr:nvSpPr>
            <xdr:cNvPr id="35843" name="Spinner 3" hidden="1">
              <a:extLst>
                <a:ext uri="{63B3BB69-23CF-44E3-9099-C40C66FF867C}">
                  <a14:compatExt spid="_x0000_s35843"/>
                </a:ext>
                <a:ext uri="{FF2B5EF4-FFF2-40B4-BE49-F238E27FC236}">
                  <a16:creationId xmlns:a16="http://schemas.microsoft.com/office/drawing/2014/main" id="{00000000-0008-0000-0400-000003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485775</xdr:colOff>
          <xdr:row>20</xdr:row>
          <xdr:rowOff>152400</xdr:rowOff>
        </xdr:from>
        <xdr:to>
          <xdr:col>37</xdr:col>
          <xdr:colOff>361950</xdr:colOff>
          <xdr:row>28</xdr:row>
          <xdr:rowOff>57150</xdr:rowOff>
        </xdr:to>
        <xdr:sp macro="" textlink="">
          <xdr:nvSpPr>
            <xdr:cNvPr id="35844" name="Spinner 4" hidden="1">
              <a:extLst>
                <a:ext uri="{63B3BB69-23CF-44E3-9099-C40C66FF867C}">
                  <a14:compatExt spid="_x0000_s35844"/>
                </a:ext>
                <a:ext uri="{FF2B5EF4-FFF2-40B4-BE49-F238E27FC236}">
                  <a16:creationId xmlns:a16="http://schemas.microsoft.com/office/drawing/2014/main" id="{00000000-0008-0000-0400-000004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243349</xdr:colOff>
      <xdr:row>0</xdr:row>
      <xdr:rowOff>66839</xdr:rowOff>
    </xdr:from>
    <xdr:to>
      <xdr:col>1</xdr:col>
      <xdr:colOff>1577578</xdr:colOff>
      <xdr:row>8</xdr:row>
      <xdr:rowOff>181989</xdr:rowOff>
    </xdr:to>
    <xdr:pic>
      <xdr:nvPicPr>
        <xdr:cNvPr id="6" name="Picture 1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9905" y="66675"/>
          <a:ext cx="1334135" cy="1638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484908</xdr:colOff>
      <xdr:row>0</xdr:row>
      <xdr:rowOff>0</xdr:rowOff>
    </xdr:from>
    <xdr:to>
      <xdr:col>23</xdr:col>
      <xdr:colOff>14432</xdr:colOff>
      <xdr:row>10</xdr:row>
      <xdr:rowOff>28863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Arrowheads="1"/>
        </xdr:cNvSpPr>
      </xdr:nvSpPr>
      <xdr:spPr>
        <a:xfrm>
          <a:off x="754783" y="0"/>
          <a:ext cx="9784774" cy="1790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spcBef>
              <a:spcPts val="600"/>
            </a:spcBef>
            <a:spcAft>
              <a:spcPts val="0"/>
            </a:spcAft>
          </a:pPr>
          <a:r>
            <a:rPr lang="id-ID" sz="16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PEMERINTAH  DAERAH PROVINSI  JAWA  BARAT</a:t>
          </a:r>
          <a:endParaRPr lang="id-ID" sz="1600" b="0" u="sng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id-ID" sz="1600" b="1" kern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DINAS PENDIDIKAN </a:t>
          </a:r>
          <a:endParaRPr lang="id-ID" sz="1600" b="1" kern="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id-ID" sz="16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CABANG DINAS PENDIDIKAN WILAYAH VII</a:t>
          </a:r>
        </a:p>
        <a:p>
          <a:pPr algn="ctr">
            <a:spcAft>
              <a:spcPts val="0"/>
            </a:spcAft>
          </a:pPr>
          <a:r>
            <a:rPr lang="id-ID" sz="1600" b="1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SEKOLAH MENENGAH KEJURUAN NEGERI 13</a:t>
          </a:r>
          <a:endParaRPr lang="id-ID" sz="16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es-ES" sz="11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Jalan Soekarno - Hatta Km.10 Telepon (022) 7318960: Ext. 114</a:t>
          </a:r>
          <a:endParaRPr lang="id-ID" sz="1200" b="0" u="sng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es-E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Telepon/Fa</a:t>
          </a:r>
          <a:r>
            <a:rPr lang="id-ID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ksimil: (022) </a:t>
          </a:r>
          <a:r>
            <a:rPr lang="en-U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7332252 – Bandung 40286</a:t>
          </a:r>
          <a:r>
            <a:rPr lang="id-ID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Email:</a:t>
          </a:r>
          <a:r>
            <a:rPr lang="en-U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smk13bdg</a:t>
          </a:r>
          <a:r>
            <a:rPr lang="id-ID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@</a:t>
          </a:r>
          <a:r>
            <a:rPr lang="en-U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gmail.com</a:t>
          </a:r>
          <a:endParaRPr lang="id-ID" sz="1200" b="0" u="sng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es-ES" sz="1100" b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Home page : http://www.smkn13</a:t>
          </a:r>
          <a:r>
            <a:rPr lang="id-ID" sz="1100" b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r>
            <a:rPr lang="es-ES" sz="1100" b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sch.id</a:t>
          </a:r>
          <a:endParaRPr lang="id-ID" sz="1200" b="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485775</xdr:colOff>
          <xdr:row>21</xdr:row>
          <xdr:rowOff>152400</xdr:rowOff>
        </xdr:from>
        <xdr:to>
          <xdr:col>24</xdr:col>
          <xdr:colOff>361950</xdr:colOff>
          <xdr:row>29</xdr:row>
          <xdr:rowOff>57150</xdr:rowOff>
        </xdr:to>
        <xdr:sp macro="" textlink="">
          <xdr:nvSpPr>
            <xdr:cNvPr id="3075" name="Spinner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57150</xdr:colOff>
          <xdr:row>51</xdr:row>
          <xdr:rowOff>0</xdr:rowOff>
        </xdr:from>
        <xdr:to>
          <xdr:col>24</xdr:col>
          <xdr:colOff>514350</xdr:colOff>
          <xdr:row>62</xdr:row>
          <xdr:rowOff>47625</xdr:rowOff>
        </xdr:to>
        <xdr:sp macro="" textlink="">
          <xdr:nvSpPr>
            <xdr:cNvPr id="3076" name="Spinner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485775</xdr:colOff>
          <xdr:row>20</xdr:row>
          <xdr:rowOff>152400</xdr:rowOff>
        </xdr:from>
        <xdr:to>
          <xdr:col>24</xdr:col>
          <xdr:colOff>361950</xdr:colOff>
          <xdr:row>28</xdr:row>
          <xdr:rowOff>57150</xdr:rowOff>
        </xdr:to>
        <xdr:sp macro="" textlink="">
          <xdr:nvSpPr>
            <xdr:cNvPr id="3079" name="Spinner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485775</xdr:colOff>
          <xdr:row>20</xdr:row>
          <xdr:rowOff>152400</xdr:rowOff>
        </xdr:from>
        <xdr:to>
          <xdr:col>24</xdr:col>
          <xdr:colOff>361950</xdr:colOff>
          <xdr:row>28</xdr:row>
          <xdr:rowOff>57150</xdr:rowOff>
        </xdr:to>
        <xdr:sp macro="" textlink="">
          <xdr:nvSpPr>
            <xdr:cNvPr id="3080" name="Spinner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243349</xdr:colOff>
      <xdr:row>0</xdr:row>
      <xdr:rowOff>66839</xdr:rowOff>
    </xdr:from>
    <xdr:to>
      <xdr:col>1</xdr:col>
      <xdr:colOff>1577578</xdr:colOff>
      <xdr:row>8</xdr:row>
      <xdr:rowOff>181989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049" y="66839"/>
          <a:ext cx="1334229" cy="163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484908</xdr:colOff>
      <xdr:row>0</xdr:row>
      <xdr:rowOff>0</xdr:rowOff>
    </xdr:from>
    <xdr:to>
      <xdr:col>5</xdr:col>
      <xdr:colOff>14432</xdr:colOff>
      <xdr:row>10</xdr:row>
      <xdr:rowOff>28863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>
        <a:xfrm>
          <a:off x="751608" y="0"/>
          <a:ext cx="9626024" cy="1790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spcBef>
              <a:spcPts val="600"/>
            </a:spcBef>
            <a:spcAft>
              <a:spcPts val="0"/>
            </a:spcAft>
          </a:pPr>
          <a:r>
            <a:rPr lang="id-ID" sz="16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PEMERINTAH  DAERAH PROVINSI  JAWA  BARAT</a:t>
          </a:r>
          <a:endParaRPr lang="id-ID" sz="1600" b="0" u="sng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id-ID" sz="1600" b="1" kern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DINAS PENDIDIKAN </a:t>
          </a:r>
          <a:endParaRPr lang="id-ID" sz="1600" b="1" kern="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id-ID" sz="16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CABANG DINAS PENDIDIKAN WILAYAH VII</a:t>
          </a:r>
        </a:p>
        <a:p>
          <a:pPr algn="ctr">
            <a:spcAft>
              <a:spcPts val="0"/>
            </a:spcAft>
          </a:pPr>
          <a:r>
            <a:rPr lang="id-ID" sz="1600" b="1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SEKOLAH MENENGAH KEJURUAN NEGERI 13</a:t>
          </a:r>
          <a:endParaRPr lang="id-ID" sz="16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es-ES" sz="11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Jalan Soekarno - Hatta Km.10 Telepon (022) 7318960: Ext. 114</a:t>
          </a:r>
          <a:endParaRPr lang="id-ID" sz="1200" b="0" u="sng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es-E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Telepon/Fa</a:t>
          </a:r>
          <a:r>
            <a:rPr lang="id-ID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ksimil: (022) </a:t>
          </a:r>
          <a:r>
            <a:rPr lang="en-U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7332252 – Bandung 40286</a:t>
          </a:r>
          <a:r>
            <a:rPr lang="id-ID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Email:</a:t>
          </a:r>
          <a:r>
            <a:rPr lang="en-U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smk13bdg</a:t>
          </a:r>
          <a:r>
            <a:rPr lang="id-ID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@</a:t>
          </a:r>
          <a:r>
            <a:rPr lang="en-U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gmail.com</a:t>
          </a:r>
          <a:endParaRPr lang="id-ID" sz="1200" b="0" u="sng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es-ES" sz="1100" b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Home page : http://www.smkn13</a:t>
          </a:r>
          <a:r>
            <a:rPr lang="id-ID" sz="1100" b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r>
            <a:rPr lang="es-ES" sz="1100" b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sch.id</a:t>
          </a:r>
          <a:endParaRPr lang="id-ID" sz="1200" b="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485775</xdr:colOff>
          <xdr:row>21</xdr:row>
          <xdr:rowOff>152400</xdr:rowOff>
        </xdr:from>
        <xdr:to>
          <xdr:col>6</xdr:col>
          <xdr:colOff>361950</xdr:colOff>
          <xdr:row>29</xdr:row>
          <xdr:rowOff>57150</xdr:rowOff>
        </xdr:to>
        <xdr:sp macro="" textlink="">
          <xdr:nvSpPr>
            <xdr:cNvPr id="37889" name="Spinner 1" hidden="1">
              <a:extLst>
                <a:ext uri="{63B3BB69-23CF-44E3-9099-C40C66FF867C}">
                  <a14:compatExt spid="_x0000_s37889"/>
                </a:ext>
                <a:ext uri="{FF2B5EF4-FFF2-40B4-BE49-F238E27FC236}">
                  <a16:creationId xmlns:a16="http://schemas.microsoft.com/office/drawing/2014/main" id="{00000000-0008-0000-0600-000001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51</xdr:row>
          <xdr:rowOff>76200</xdr:rowOff>
        </xdr:from>
        <xdr:to>
          <xdr:col>6</xdr:col>
          <xdr:colOff>514350</xdr:colOff>
          <xdr:row>58</xdr:row>
          <xdr:rowOff>47625</xdr:rowOff>
        </xdr:to>
        <xdr:sp macro="" textlink="">
          <xdr:nvSpPr>
            <xdr:cNvPr id="37890" name="Spinner 2" hidden="1">
              <a:extLst>
                <a:ext uri="{63B3BB69-23CF-44E3-9099-C40C66FF867C}">
                  <a14:compatExt spid="_x0000_s37890"/>
                </a:ext>
                <a:ext uri="{FF2B5EF4-FFF2-40B4-BE49-F238E27FC236}">
                  <a16:creationId xmlns:a16="http://schemas.microsoft.com/office/drawing/2014/main" id="{00000000-0008-0000-0600-000002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485775</xdr:colOff>
          <xdr:row>20</xdr:row>
          <xdr:rowOff>152400</xdr:rowOff>
        </xdr:from>
        <xdr:to>
          <xdr:col>6</xdr:col>
          <xdr:colOff>361950</xdr:colOff>
          <xdr:row>28</xdr:row>
          <xdr:rowOff>57150</xdr:rowOff>
        </xdr:to>
        <xdr:sp macro="" textlink="">
          <xdr:nvSpPr>
            <xdr:cNvPr id="37891" name="Spinner 3" hidden="1">
              <a:extLst>
                <a:ext uri="{63B3BB69-23CF-44E3-9099-C40C66FF867C}">
                  <a14:compatExt spid="_x0000_s37891"/>
                </a:ext>
                <a:ext uri="{FF2B5EF4-FFF2-40B4-BE49-F238E27FC236}">
                  <a16:creationId xmlns:a16="http://schemas.microsoft.com/office/drawing/2014/main" id="{00000000-0008-0000-0600-000003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485775</xdr:colOff>
          <xdr:row>20</xdr:row>
          <xdr:rowOff>152400</xdr:rowOff>
        </xdr:from>
        <xdr:to>
          <xdr:col>6</xdr:col>
          <xdr:colOff>361950</xdr:colOff>
          <xdr:row>28</xdr:row>
          <xdr:rowOff>57150</xdr:rowOff>
        </xdr:to>
        <xdr:sp macro="" textlink="">
          <xdr:nvSpPr>
            <xdr:cNvPr id="37892" name="Spinner 4" hidden="1">
              <a:extLst>
                <a:ext uri="{63B3BB69-23CF-44E3-9099-C40C66FF867C}">
                  <a14:compatExt spid="_x0000_s37892"/>
                </a:ext>
                <a:ext uri="{FF2B5EF4-FFF2-40B4-BE49-F238E27FC236}">
                  <a16:creationId xmlns:a16="http://schemas.microsoft.com/office/drawing/2014/main" id="{00000000-0008-0000-0600-000004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243349</xdr:colOff>
      <xdr:row>0</xdr:row>
      <xdr:rowOff>66839</xdr:rowOff>
    </xdr:from>
    <xdr:to>
      <xdr:col>1</xdr:col>
      <xdr:colOff>1577578</xdr:colOff>
      <xdr:row>8</xdr:row>
      <xdr:rowOff>181989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049" y="66839"/>
          <a:ext cx="1334229" cy="163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484908</xdr:colOff>
      <xdr:row>0</xdr:row>
      <xdr:rowOff>0</xdr:rowOff>
    </xdr:from>
    <xdr:to>
      <xdr:col>7</xdr:col>
      <xdr:colOff>14432</xdr:colOff>
      <xdr:row>10</xdr:row>
      <xdr:rowOff>28863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>
        <a:xfrm>
          <a:off x="751608" y="0"/>
          <a:ext cx="9626024" cy="1790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spcBef>
              <a:spcPts val="600"/>
            </a:spcBef>
            <a:spcAft>
              <a:spcPts val="0"/>
            </a:spcAft>
          </a:pPr>
          <a:r>
            <a:rPr lang="id-ID" sz="16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PEMERINTAH  DAERAH PROVINSI  JAWA  BARAT</a:t>
          </a:r>
          <a:endParaRPr lang="id-ID" sz="1600" b="0" u="sng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id-ID" sz="1600" b="1" kern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DINAS PENDIDIKAN </a:t>
          </a:r>
          <a:endParaRPr lang="id-ID" sz="1600" b="1" kern="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id-ID" sz="16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CABANG DINAS PENDIDIKAN WILAYAH VII</a:t>
          </a:r>
        </a:p>
        <a:p>
          <a:pPr algn="ctr">
            <a:spcAft>
              <a:spcPts val="0"/>
            </a:spcAft>
          </a:pPr>
          <a:r>
            <a:rPr lang="id-ID" sz="1600" b="1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SEKOLAH MENENGAH KEJURUAN NEGERI 13</a:t>
          </a:r>
          <a:endParaRPr lang="id-ID" sz="16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es-ES" sz="11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Jalan Soekarno - Hatta Km.10 Telepon (022) 7318960: Ext. 114</a:t>
          </a:r>
          <a:endParaRPr lang="id-ID" sz="1200" b="0" u="sng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es-E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Telepon/Fa</a:t>
          </a:r>
          <a:r>
            <a:rPr lang="id-ID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ksimil: (022) </a:t>
          </a:r>
          <a:r>
            <a:rPr lang="en-U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7332252 – Bandung 40286</a:t>
          </a:r>
          <a:r>
            <a:rPr lang="id-ID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Email:</a:t>
          </a:r>
          <a:r>
            <a:rPr lang="en-U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smk13bdg</a:t>
          </a:r>
          <a:r>
            <a:rPr lang="id-ID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@</a:t>
          </a:r>
          <a:r>
            <a:rPr lang="en-US" sz="1000" b="0" u="none" strike="noStrike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gmail.com</a:t>
          </a:r>
          <a:endParaRPr lang="id-ID" sz="1200" b="0" u="sng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>
            <a:spcAft>
              <a:spcPts val="0"/>
            </a:spcAft>
          </a:pPr>
          <a:r>
            <a:rPr lang="es-ES" sz="1100" b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Home page : http://www.smkn13</a:t>
          </a:r>
          <a:r>
            <a:rPr lang="id-ID" sz="1100" b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r>
            <a:rPr lang="es-ES" sz="1100" b="0">
              <a:solidFill>
                <a:srgbClr val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sch.id</a:t>
          </a:r>
          <a:endParaRPr lang="id-ID" sz="1200" b="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485775</xdr:colOff>
          <xdr:row>21</xdr:row>
          <xdr:rowOff>152400</xdr:rowOff>
        </xdr:from>
        <xdr:to>
          <xdr:col>8</xdr:col>
          <xdr:colOff>361950</xdr:colOff>
          <xdr:row>29</xdr:row>
          <xdr:rowOff>57150</xdr:rowOff>
        </xdr:to>
        <xdr:sp macro="" textlink="">
          <xdr:nvSpPr>
            <xdr:cNvPr id="38913" name="Spinner 1" hidden="1">
              <a:extLst>
                <a:ext uri="{63B3BB69-23CF-44E3-9099-C40C66FF867C}">
                  <a14:compatExt spid="_x0000_s38913"/>
                </a:ext>
                <a:ext uri="{FF2B5EF4-FFF2-40B4-BE49-F238E27FC236}">
                  <a16:creationId xmlns:a16="http://schemas.microsoft.com/office/drawing/2014/main" id="{00000000-0008-0000-0700-000001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57150</xdr:colOff>
          <xdr:row>51</xdr:row>
          <xdr:rowOff>0</xdr:rowOff>
        </xdr:from>
        <xdr:to>
          <xdr:col>8</xdr:col>
          <xdr:colOff>514350</xdr:colOff>
          <xdr:row>58</xdr:row>
          <xdr:rowOff>47625</xdr:rowOff>
        </xdr:to>
        <xdr:sp macro="" textlink="">
          <xdr:nvSpPr>
            <xdr:cNvPr id="38914" name="Spinner 2" hidden="1">
              <a:extLst>
                <a:ext uri="{63B3BB69-23CF-44E3-9099-C40C66FF867C}">
                  <a14:compatExt spid="_x0000_s38914"/>
                </a:ext>
                <a:ext uri="{FF2B5EF4-FFF2-40B4-BE49-F238E27FC236}">
                  <a16:creationId xmlns:a16="http://schemas.microsoft.com/office/drawing/2014/main" id="{00000000-0008-0000-0700-000002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485775</xdr:colOff>
          <xdr:row>20</xdr:row>
          <xdr:rowOff>152400</xdr:rowOff>
        </xdr:from>
        <xdr:to>
          <xdr:col>8</xdr:col>
          <xdr:colOff>361950</xdr:colOff>
          <xdr:row>28</xdr:row>
          <xdr:rowOff>57150</xdr:rowOff>
        </xdr:to>
        <xdr:sp macro="" textlink="">
          <xdr:nvSpPr>
            <xdr:cNvPr id="38915" name="Spinner 3" hidden="1">
              <a:extLst>
                <a:ext uri="{63B3BB69-23CF-44E3-9099-C40C66FF867C}">
                  <a14:compatExt spid="_x0000_s38915"/>
                </a:ext>
                <a:ext uri="{FF2B5EF4-FFF2-40B4-BE49-F238E27FC236}">
                  <a16:creationId xmlns:a16="http://schemas.microsoft.com/office/drawing/2014/main" id="{00000000-0008-0000-0700-000003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485775</xdr:colOff>
          <xdr:row>20</xdr:row>
          <xdr:rowOff>152400</xdr:rowOff>
        </xdr:from>
        <xdr:to>
          <xdr:col>8</xdr:col>
          <xdr:colOff>361950</xdr:colOff>
          <xdr:row>28</xdr:row>
          <xdr:rowOff>57150</xdr:rowOff>
        </xdr:to>
        <xdr:sp macro="" textlink="">
          <xdr:nvSpPr>
            <xdr:cNvPr id="38916" name="Spinner 4" hidden="1">
              <a:extLst>
                <a:ext uri="{63B3BB69-23CF-44E3-9099-C40C66FF867C}">
                  <a14:compatExt spid="_x0000_s38916"/>
                </a:ext>
                <a:ext uri="{FF2B5EF4-FFF2-40B4-BE49-F238E27FC236}">
                  <a16:creationId xmlns:a16="http://schemas.microsoft.com/office/drawing/2014/main" id="{00000000-0008-0000-0700-000004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1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27"/>
  <sheetViews>
    <sheetView topLeftCell="A227" workbookViewId="0">
      <selection activeCell="D229" sqref="D229"/>
    </sheetView>
  </sheetViews>
  <sheetFormatPr defaultColWidth="9" defaultRowHeight="15" x14ac:dyDescent="0.25"/>
  <cols>
    <col min="1" max="2" width="13.42578125" customWidth="1"/>
    <col min="3" max="3" width="46" customWidth="1"/>
    <col min="4" max="4" width="4.7109375" customWidth="1"/>
    <col min="5" max="5" width="13.5703125" customWidth="1"/>
    <col min="6" max="6" width="12.28515625" customWidth="1"/>
    <col min="10" max="10" width="16.42578125" customWidth="1"/>
    <col min="11" max="11" width="11.7109375" customWidth="1"/>
    <col min="12" max="12" width="11.28515625" customWidth="1"/>
  </cols>
  <sheetData>
    <row r="1" spans="1:12" x14ac:dyDescent="0.25">
      <c r="A1" s="184" t="s">
        <v>431</v>
      </c>
      <c r="B1" s="184" t="s">
        <v>0</v>
      </c>
      <c r="C1" s="184" t="s">
        <v>6021</v>
      </c>
      <c r="D1" s="184" t="s">
        <v>6022</v>
      </c>
      <c r="E1" s="184" t="s">
        <v>378</v>
      </c>
      <c r="F1" s="184"/>
      <c r="G1" s="184"/>
    </row>
    <row r="2" spans="1:12" x14ac:dyDescent="0.25">
      <c r="A2" s="157">
        <v>102519525</v>
      </c>
      <c r="B2" s="205" t="s">
        <v>6052</v>
      </c>
      <c r="C2" s="118" t="s">
        <v>5677</v>
      </c>
      <c r="D2" s="145" t="s">
        <v>379</v>
      </c>
      <c r="E2" s="72" t="s">
        <v>404</v>
      </c>
      <c r="F2" s="118"/>
      <c r="G2" s="119"/>
      <c r="H2" s="121"/>
      <c r="I2" s="121"/>
      <c r="K2">
        <v>101616368</v>
      </c>
    </row>
    <row r="3" spans="1:12" x14ac:dyDescent="0.25">
      <c r="A3" s="118">
        <v>102519526</v>
      </c>
      <c r="B3" s="205" t="s">
        <v>6053</v>
      </c>
      <c r="C3" s="118" t="s">
        <v>5678</v>
      </c>
      <c r="D3" s="145" t="s">
        <v>381</v>
      </c>
      <c r="E3" s="72" t="s">
        <v>404</v>
      </c>
      <c r="F3" s="118"/>
      <c r="G3" s="119"/>
      <c r="H3" s="121"/>
      <c r="I3" s="121"/>
      <c r="K3" s="122">
        <v>101716761</v>
      </c>
      <c r="L3" t="s">
        <v>405</v>
      </c>
    </row>
    <row r="4" spans="1:12" x14ac:dyDescent="0.25">
      <c r="A4" s="118">
        <v>102519527</v>
      </c>
      <c r="B4" s="205" t="s">
        <v>6054</v>
      </c>
      <c r="C4" s="118" t="s">
        <v>5679</v>
      </c>
      <c r="D4" s="145" t="s">
        <v>381</v>
      </c>
      <c r="E4" s="72" t="s">
        <v>404</v>
      </c>
      <c r="F4" s="118"/>
      <c r="G4" s="119"/>
      <c r="H4" s="121"/>
      <c r="I4" s="121"/>
      <c r="K4">
        <v>101816762</v>
      </c>
    </row>
    <row r="5" spans="1:12" x14ac:dyDescent="0.25">
      <c r="A5" s="118">
        <v>102519528</v>
      </c>
      <c r="B5" s="205" t="s">
        <v>6055</v>
      </c>
      <c r="C5" s="118" t="s">
        <v>5680</v>
      </c>
      <c r="D5" s="145" t="s">
        <v>381</v>
      </c>
      <c r="E5" s="72" t="s">
        <v>404</v>
      </c>
      <c r="F5" s="118"/>
      <c r="G5" s="119"/>
      <c r="H5" s="121"/>
      <c r="I5" s="121"/>
    </row>
    <row r="6" spans="1:12" x14ac:dyDescent="0.25">
      <c r="A6" s="118">
        <v>102519529</v>
      </c>
      <c r="B6" s="205" t="s">
        <v>6056</v>
      </c>
      <c r="C6" s="118" t="s">
        <v>5681</v>
      </c>
      <c r="D6" s="145" t="s">
        <v>381</v>
      </c>
      <c r="E6" s="72" t="s">
        <v>404</v>
      </c>
      <c r="F6" s="118"/>
      <c r="G6" s="119"/>
      <c r="H6" s="121"/>
      <c r="I6" s="121"/>
    </row>
    <row r="7" spans="1:12" x14ac:dyDescent="0.25">
      <c r="A7" s="118">
        <v>102519530</v>
      </c>
      <c r="B7" s="205" t="s">
        <v>6057</v>
      </c>
      <c r="C7" s="118" t="s">
        <v>5682</v>
      </c>
      <c r="D7" s="145" t="s">
        <v>381</v>
      </c>
      <c r="E7" s="72" t="s">
        <v>404</v>
      </c>
      <c r="F7" s="118"/>
      <c r="G7" s="119"/>
      <c r="H7" s="121"/>
      <c r="I7" s="121"/>
      <c r="K7" s="123">
        <v>101817155</v>
      </c>
      <c r="L7" t="s">
        <v>406</v>
      </c>
    </row>
    <row r="8" spans="1:12" x14ac:dyDescent="0.25">
      <c r="A8" s="118">
        <v>102519531</v>
      </c>
      <c r="B8" s="205" t="s">
        <v>6058</v>
      </c>
      <c r="C8" s="118" t="s">
        <v>5683</v>
      </c>
      <c r="D8" s="145" t="s">
        <v>379</v>
      </c>
      <c r="E8" s="72" t="s">
        <v>404</v>
      </c>
      <c r="F8" s="118"/>
      <c r="G8" s="119"/>
      <c r="H8" s="121"/>
      <c r="I8" s="121"/>
      <c r="K8">
        <v>101917156</v>
      </c>
    </row>
    <row r="9" spans="1:12" x14ac:dyDescent="0.25">
      <c r="A9" s="118">
        <v>102519532</v>
      </c>
      <c r="B9" s="205" t="s">
        <v>6059</v>
      </c>
      <c r="C9" s="118" t="s">
        <v>5684</v>
      </c>
      <c r="D9" s="145" t="s">
        <v>381</v>
      </c>
      <c r="E9" s="72" t="s">
        <v>404</v>
      </c>
      <c r="F9" s="118"/>
      <c r="G9" s="119"/>
      <c r="H9" s="121"/>
      <c r="I9" s="121"/>
    </row>
    <row r="10" spans="1:12" x14ac:dyDescent="0.25">
      <c r="A10" s="118">
        <v>102519533</v>
      </c>
      <c r="B10" s="205" t="s">
        <v>6060</v>
      </c>
      <c r="C10" s="118" t="s">
        <v>5685</v>
      </c>
      <c r="D10" s="145" t="s">
        <v>379</v>
      </c>
      <c r="E10" s="72" t="s">
        <v>404</v>
      </c>
      <c r="F10" s="118"/>
      <c r="G10" s="119"/>
      <c r="H10" s="121"/>
      <c r="I10" s="121"/>
    </row>
    <row r="11" spans="1:12" x14ac:dyDescent="0.25">
      <c r="A11" s="118">
        <v>102519534</v>
      </c>
      <c r="B11" s="205" t="s">
        <v>6061</v>
      </c>
      <c r="C11" s="118" t="s">
        <v>5686</v>
      </c>
      <c r="D11" s="145" t="s">
        <v>379</v>
      </c>
      <c r="E11" s="72" t="s">
        <v>404</v>
      </c>
      <c r="F11" s="118"/>
      <c r="G11" s="119"/>
      <c r="H11" s="121"/>
      <c r="I11" s="121"/>
      <c r="K11" s="124">
        <v>101917549</v>
      </c>
      <c r="L11" t="s">
        <v>407</v>
      </c>
    </row>
    <row r="12" spans="1:12" x14ac:dyDescent="0.25">
      <c r="A12" s="118">
        <v>102519535</v>
      </c>
      <c r="B12" s="205" t="s">
        <v>6062</v>
      </c>
      <c r="C12" s="118" t="s">
        <v>5687</v>
      </c>
      <c r="D12" s="145" t="s">
        <v>381</v>
      </c>
      <c r="E12" s="72" t="s">
        <v>404</v>
      </c>
      <c r="F12" s="118"/>
      <c r="G12" s="119"/>
      <c r="H12" s="121"/>
      <c r="I12" s="121"/>
      <c r="K12">
        <v>102017550</v>
      </c>
    </row>
    <row r="13" spans="1:12" x14ac:dyDescent="0.25">
      <c r="A13" s="118">
        <v>102519536</v>
      </c>
      <c r="B13" s="205" t="s">
        <v>6063</v>
      </c>
      <c r="C13" s="118" t="s">
        <v>5688</v>
      </c>
      <c r="D13" s="145" t="s">
        <v>379</v>
      </c>
      <c r="E13" s="72" t="s">
        <v>404</v>
      </c>
      <c r="F13" s="118"/>
      <c r="G13" s="119"/>
      <c r="H13" s="121"/>
      <c r="I13" s="121"/>
      <c r="K13" s="124"/>
    </row>
    <row r="14" spans="1:12" x14ac:dyDescent="0.25">
      <c r="A14" s="118">
        <v>102519537</v>
      </c>
      <c r="B14" s="205" t="s">
        <v>6064</v>
      </c>
      <c r="C14" s="118" t="s">
        <v>5689</v>
      </c>
      <c r="D14" s="145" t="s">
        <v>379</v>
      </c>
      <c r="E14" s="72" t="s">
        <v>404</v>
      </c>
      <c r="F14" s="118"/>
      <c r="G14" s="119"/>
      <c r="H14" s="121"/>
      <c r="I14" s="121"/>
      <c r="K14" s="125"/>
    </row>
    <row r="15" spans="1:12" x14ac:dyDescent="0.25">
      <c r="A15" s="118">
        <v>102519538</v>
      </c>
      <c r="B15" s="205" t="s">
        <v>6065</v>
      </c>
      <c r="C15" s="118" t="s">
        <v>5690</v>
      </c>
      <c r="D15" s="145" t="s">
        <v>381</v>
      </c>
      <c r="E15" s="72" t="s">
        <v>404</v>
      </c>
      <c r="F15" s="118"/>
      <c r="G15" s="119"/>
      <c r="H15" s="121"/>
      <c r="I15" s="121"/>
    </row>
    <row r="16" spans="1:12" x14ac:dyDescent="0.25">
      <c r="A16" s="118">
        <v>102519539</v>
      </c>
      <c r="B16" s="205" t="s">
        <v>6066</v>
      </c>
      <c r="C16" s="118" t="s">
        <v>5691</v>
      </c>
      <c r="D16" s="145" t="s">
        <v>381</v>
      </c>
      <c r="E16" s="72" t="s">
        <v>404</v>
      </c>
      <c r="F16" s="118"/>
      <c r="G16" s="119"/>
      <c r="H16" s="121"/>
      <c r="I16" s="121"/>
      <c r="K16" s="126">
        <v>102017945</v>
      </c>
      <c r="L16" t="s">
        <v>408</v>
      </c>
    </row>
    <row r="17" spans="1:13" x14ac:dyDescent="0.25">
      <c r="A17" s="118">
        <v>102519540</v>
      </c>
      <c r="B17" s="205" t="s">
        <v>6067</v>
      </c>
      <c r="C17" s="118" t="s">
        <v>5692</v>
      </c>
      <c r="D17" s="145" t="s">
        <v>379</v>
      </c>
      <c r="E17" s="72" t="s">
        <v>404</v>
      </c>
      <c r="F17" s="118"/>
      <c r="G17" s="119"/>
      <c r="H17" s="121"/>
      <c r="I17" s="121"/>
      <c r="K17">
        <v>102017947</v>
      </c>
      <c r="L17" t="s">
        <v>408</v>
      </c>
    </row>
    <row r="18" spans="1:13" x14ac:dyDescent="0.25">
      <c r="A18" s="118">
        <v>102519541</v>
      </c>
      <c r="B18" s="205" t="s">
        <v>6068</v>
      </c>
      <c r="C18" s="118" t="s">
        <v>5693</v>
      </c>
      <c r="D18" s="145" t="s">
        <v>381</v>
      </c>
      <c r="E18" s="72" t="s">
        <v>404</v>
      </c>
      <c r="F18" s="118"/>
      <c r="G18" s="119"/>
      <c r="H18" s="121"/>
      <c r="I18" s="121"/>
      <c r="K18">
        <v>102017948</v>
      </c>
      <c r="L18" t="s">
        <v>408</v>
      </c>
      <c r="M18" t="s">
        <v>409</v>
      </c>
    </row>
    <row r="19" spans="1:13" x14ac:dyDescent="0.25">
      <c r="A19" s="118">
        <v>102519542</v>
      </c>
      <c r="B19" s="205"/>
      <c r="C19" s="118" t="s">
        <v>5694</v>
      </c>
      <c r="D19" s="145" t="s">
        <v>381</v>
      </c>
      <c r="E19" s="72" t="s">
        <v>404</v>
      </c>
      <c r="F19" s="118"/>
      <c r="G19" s="119"/>
      <c r="H19" s="121"/>
      <c r="I19" s="121"/>
    </row>
    <row r="20" spans="1:13" x14ac:dyDescent="0.25">
      <c r="A20" s="118">
        <v>102519543</v>
      </c>
      <c r="B20" s="205" t="s">
        <v>6069</v>
      </c>
      <c r="C20" s="118" t="s">
        <v>5695</v>
      </c>
      <c r="D20" s="145" t="s">
        <v>381</v>
      </c>
      <c r="E20" s="72" t="s">
        <v>404</v>
      </c>
      <c r="F20" s="118"/>
      <c r="G20" s="119"/>
      <c r="H20" s="121"/>
      <c r="I20" s="121"/>
      <c r="K20">
        <v>102117949</v>
      </c>
      <c r="L20" t="s">
        <v>410</v>
      </c>
    </row>
    <row r="21" spans="1:13" x14ac:dyDescent="0.25">
      <c r="A21" s="118">
        <v>102519544</v>
      </c>
      <c r="B21" s="205" t="s">
        <v>6070</v>
      </c>
      <c r="C21" s="118" t="s">
        <v>5696</v>
      </c>
      <c r="D21" s="145" t="s">
        <v>381</v>
      </c>
      <c r="E21" s="72" t="s">
        <v>404</v>
      </c>
      <c r="F21" s="118"/>
      <c r="G21" s="119"/>
      <c r="H21" s="121"/>
      <c r="I21" s="121"/>
      <c r="K21">
        <v>102118340</v>
      </c>
      <c r="L21" t="s">
        <v>411</v>
      </c>
    </row>
    <row r="22" spans="1:13" x14ac:dyDescent="0.25">
      <c r="A22" s="118">
        <v>102519545</v>
      </c>
      <c r="B22" s="205" t="s">
        <v>6071</v>
      </c>
      <c r="C22" s="118" t="s">
        <v>5697</v>
      </c>
      <c r="D22" s="145" t="s">
        <v>379</v>
      </c>
      <c r="E22" s="72" t="s">
        <v>404</v>
      </c>
      <c r="F22" s="118"/>
      <c r="G22" s="119"/>
      <c r="H22" s="121"/>
      <c r="I22" s="121"/>
      <c r="J22" t="s">
        <v>412</v>
      </c>
      <c r="K22">
        <v>102118342</v>
      </c>
      <c r="L22" t="s">
        <v>411</v>
      </c>
    </row>
    <row r="23" spans="1:13" x14ac:dyDescent="0.25">
      <c r="A23" s="118">
        <v>102519546</v>
      </c>
      <c r="B23" s="205" t="s">
        <v>6072</v>
      </c>
      <c r="C23" s="118" t="s">
        <v>5698</v>
      </c>
      <c r="D23" s="145" t="s">
        <v>379</v>
      </c>
      <c r="E23" s="72" t="s">
        <v>404</v>
      </c>
      <c r="F23" s="118"/>
      <c r="G23" s="119"/>
      <c r="H23" s="121"/>
      <c r="I23" s="121"/>
    </row>
    <row r="24" spans="1:13" x14ac:dyDescent="0.25">
      <c r="A24" s="118">
        <v>102519547</v>
      </c>
      <c r="B24" s="205" t="s">
        <v>6073</v>
      </c>
      <c r="C24" s="118" t="s">
        <v>5699</v>
      </c>
      <c r="D24" s="145" t="s">
        <v>379</v>
      </c>
      <c r="E24" s="72" t="s">
        <v>404</v>
      </c>
      <c r="F24" s="118"/>
      <c r="G24" s="119"/>
      <c r="H24" s="121"/>
      <c r="I24" s="121"/>
      <c r="K24">
        <v>102218343</v>
      </c>
      <c r="L24" t="s">
        <v>413</v>
      </c>
    </row>
    <row r="25" spans="1:13" x14ac:dyDescent="0.25">
      <c r="A25" s="118">
        <v>102519548</v>
      </c>
      <c r="B25" s="205" t="s">
        <v>6074</v>
      </c>
      <c r="C25" s="118" t="s">
        <v>5700</v>
      </c>
      <c r="D25" s="145" t="s">
        <v>379</v>
      </c>
      <c r="E25" s="72" t="s">
        <v>404</v>
      </c>
      <c r="F25" s="118"/>
      <c r="G25" s="119"/>
      <c r="H25" s="121"/>
      <c r="I25" s="121"/>
      <c r="K25" s="118">
        <v>102218736</v>
      </c>
      <c r="L25" t="s">
        <v>414</v>
      </c>
    </row>
    <row r="26" spans="1:13" x14ac:dyDescent="0.25">
      <c r="A26" s="118">
        <v>102519549</v>
      </c>
      <c r="B26" s="205" t="s">
        <v>6075</v>
      </c>
      <c r="C26" s="118" t="s">
        <v>5701</v>
      </c>
      <c r="D26" s="145" t="s">
        <v>381</v>
      </c>
      <c r="E26" s="72" t="s">
        <v>404</v>
      </c>
      <c r="F26" s="118"/>
      <c r="G26" s="119"/>
      <c r="H26" s="121"/>
      <c r="I26" s="121"/>
      <c r="J26" t="s">
        <v>415</v>
      </c>
      <c r="K26" s="127">
        <v>102218737</v>
      </c>
      <c r="L26" t="s">
        <v>414</v>
      </c>
    </row>
    <row r="27" spans="1:13" x14ac:dyDescent="0.25">
      <c r="A27" s="118">
        <v>102519550</v>
      </c>
      <c r="B27" s="205" t="s">
        <v>6076</v>
      </c>
      <c r="C27" s="118" t="s">
        <v>5702</v>
      </c>
      <c r="D27" s="145" t="s">
        <v>381</v>
      </c>
      <c r="E27" s="72" t="s">
        <v>404</v>
      </c>
      <c r="F27" s="118"/>
      <c r="G27" s="119"/>
      <c r="H27" s="121"/>
      <c r="I27" s="121"/>
    </row>
    <row r="28" spans="1:13" x14ac:dyDescent="0.25">
      <c r="A28" s="118">
        <v>102519551</v>
      </c>
      <c r="B28" s="205" t="s">
        <v>6077</v>
      </c>
      <c r="C28" s="118" t="s">
        <v>5703</v>
      </c>
      <c r="D28" s="145" t="s">
        <v>381</v>
      </c>
      <c r="E28" s="72" t="s">
        <v>404</v>
      </c>
      <c r="F28" s="118"/>
      <c r="G28" s="119"/>
      <c r="H28" s="121"/>
      <c r="I28" s="121"/>
      <c r="K28" s="118">
        <v>102318738</v>
      </c>
      <c r="L28" s="147" t="s">
        <v>3820</v>
      </c>
    </row>
    <row r="29" spans="1:13" x14ac:dyDescent="0.25">
      <c r="A29" s="118">
        <v>102519552</v>
      </c>
      <c r="B29" s="205" t="s">
        <v>6078</v>
      </c>
      <c r="C29" s="118" t="s">
        <v>5704</v>
      </c>
      <c r="D29" s="145" t="s">
        <v>381</v>
      </c>
      <c r="E29" s="72" t="s">
        <v>404</v>
      </c>
      <c r="F29" s="118"/>
      <c r="G29" s="119"/>
      <c r="H29" s="121"/>
      <c r="I29" s="121"/>
      <c r="K29" s="118">
        <v>102319133</v>
      </c>
      <c r="L29" s="147" t="s">
        <v>3821</v>
      </c>
    </row>
    <row r="30" spans="1:13" x14ac:dyDescent="0.25">
      <c r="A30" s="118">
        <v>102519553</v>
      </c>
      <c r="B30" s="205" t="s">
        <v>6079</v>
      </c>
      <c r="C30" s="118" t="s">
        <v>5705</v>
      </c>
      <c r="D30" s="145" t="s">
        <v>379</v>
      </c>
      <c r="E30" s="72" t="s">
        <v>404</v>
      </c>
      <c r="F30" s="118"/>
      <c r="G30" s="119"/>
      <c r="H30" s="121"/>
      <c r="I30" s="121"/>
      <c r="K30" s="157">
        <v>102319134</v>
      </c>
      <c r="L30" s="158" t="s">
        <v>3853</v>
      </c>
    </row>
    <row r="31" spans="1:13" x14ac:dyDescent="0.25">
      <c r="A31" s="118">
        <v>102519554</v>
      </c>
      <c r="B31" s="205" t="s">
        <v>6080</v>
      </c>
      <c r="C31" s="118" t="s">
        <v>5706</v>
      </c>
      <c r="D31" s="145" t="s">
        <v>381</v>
      </c>
      <c r="E31" s="72" t="s">
        <v>404</v>
      </c>
      <c r="F31" s="118"/>
      <c r="G31" s="119"/>
      <c r="H31" s="121"/>
      <c r="I31" s="121"/>
    </row>
    <row r="32" spans="1:13" x14ac:dyDescent="0.25">
      <c r="A32" s="118">
        <v>102519555</v>
      </c>
      <c r="B32" s="205" t="s">
        <v>6081</v>
      </c>
      <c r="C32" s="118" t="s">
        <v>5707</v>
      </c>
      <c r="D32" s="145" t="s">
        <v>381</v>
      </c>
      <c r="E32" s="72" t="s">
        <v>404</v>
      </c>
      <c r="F32" s="118"/>
      <c r="G32" s="119"/>
      <c r="H32" s="121"/>
      <c r="I32" s="121"/>
      <c r="K32" s="157">
        <v>102419135</v>
      </c>
      <c r="L32" s="161" t="s">
        <v>4251</v>
      </c>
    </row>
    <row r="33" spans="1:12" x14ac:dyDescent="0.25">
      <c r="A33" s="118">
        <v>102519556</v>
      </c>
      <c r="B33" s="205" t="s">
        <v>6082</v>
      </c>
      <c r="C33" s="118" t="s">
        <v>5708</v>
      </c>
      <c r="D33" s="145" t="s">
        <v>379</v>
      </c>
      <c r="E33" s="72" t="s">
        <v>404</v>
      </c>
      <c r="F33" s="118"/>
      <c r="G33" s="119"/>
      <c r="H33" s="121"/>
      <c r="I33" s="121"/>
      <c r="K33" s="118">
        <v>102419523</v>
      </c>
      <c r="L33" s="167" t="s">
        <v>4668</v>
      </c>
    </row>
    <row r="34" spans="1:12" x14ac:dyDescent="0.25">
      <c r="A34" s="118">
        <v>102519557</v>
      </c>
      <c r="B34" s="205" t="s">
        <v>6083</v>
      </c>
      <c r="C34" s="118" t="s">
        <v>5709</v>
      </c>
      <c r="D34" s="145" t="s">
        <v>381</v>
      </c>
      <c r="E34" s="72" t="s">
        <v>404</v>
      </c>
      <c r="F34" s="118"/>
      <c r="G34" s="119"/>
      <c r="H34" s="121"/>
      <c r="I34" s="121"/>
      <c r="K34" s="118">
        <v>102419524</v>
      </c>
      <c r="L34" s="167" t="s">
        <v>4669</v>
      </c>
    </row>
    <row r="35" spans="1:12" x14ac:dyDescent="0.25">
      <c r="A35" s="118">
        <v>102519558</v>
      </c>
      <c r="B35" s="205" t="s">
        <v>6084</v>
      </c>
      <c r="C35" s="118" t="s">
        <v>5710</v>
      </c>
      <c r="D35" s="145" t="s">
        <v>381</v>
      </c>
      <c r="E35" s="72" t="s">
        <v>404</v>
      </c>
      <c r="F35" s="118"/>
      <c r="G35" s="119"/>
      <c r="H35" s="121"/>
      <c r="I35" s="121"/>
    </row>
    <row r="36" spans="1:12" x14ac:dyDescent="0.25">
      <c r="A36" s="118">
        <v>102519559</v>
      </c>
      <c r="B36" s="205" t="s">
        <v>6085</v>
      </c>
      <c r="C36" s="118" t="s">
        <v>5711</v>
      </c>
      <c r="D36" s="145" t="s">
        <v>381</v>
      </c>
      <c r="E36" s="72" t="s">
        <v>404</v>
      </c>
      <c r="F36" s="118"/>
      <c r="G36" s="119"/>
      <c r="H36" s="121"/>
      <c r="I36" s="121"/>
      <c r="K36" s="118">
        <v>102519525</v>
      </c>
      <c r="L36" s="213" t="s">
        <v>6023</v>
      </c>
    </row>
    <row r="37" spans="1:12" x14ac:dyDescent="0.25">
      <c r="A37" s="118">
        <v>102519560</v>
      </c>
      <c r="B37" s="205" t="s">
        <v>6086</v>
      </c>
      <c r="C37" s="118" t="s">
        <v>5712</v>
      </c>
      <c r="D37" s="145" t="s">
        <v>381</v>
      </c>
      <c r="E37" s="72" t="s">
        <v>404</v>
      </c>
      <c r="F37" s="118"/>
      <c r="G37" s="119"/>
      <c r="H37" s="121"/>
      <c r="I37" s="121"/>
      <c r="K37" s="157">
        <v>102519950</v>
      </c>
      <c r="L37" s="213" t="s">
        <v>6024</v>
      </c>
    </row>
    <row r="38" spans="1:12" x14ac:dyDescent="0.25">
      <c r="A38" s="118">
        <v>102519561</v>
      </c>
      <c r="B38" s="205"/>
      <c r="C38" s="118" t="s">
        <v>5713</v>
      </c>
      <c r="D38" s="145" t="s">
        <v>379</v>
      </c>
      <c r="E38" s="72" t="s">
        <v>404</v>
      </c>
      <c r="F38" s="118"/>
      <c r="G38" s="119"/>
    </row>
    <row r="39" spans="1:12" x14ac:dyDescent="0.25">
      <c r="A39" s="118">
        <v>102519562</v>
      </c>
      <c r="B39" s="205" t="s">
        <v>6087</v>
      </c>
      <c r="C39" s="118" t="s">
        <v>5714</v>
      </c>
      <c r="D39" s="145" t="s">
        <v>381</v>
      </c>
      <c r="E39" s="72" t="s">
        <v>404</v>
      </c>
      <c r="F39" s="118"/>
      <c r="G39" s="119"/>
    </row>
    <row r="40" spans="1:12" x14ac:dyDescent="0.25">
      <c r="A40" s="118">
        <v>102519563</v>
      </c>
      <c r="B40" s="205" t="s">
        <v>6088</v>
      </c>
      <c r="C40" s="118" t="s">
        <v>5715</v>
      </c>
      <c r="D40" s="145" t="s">
        <v>381</v>
      </c>
      <c r="E40" s="72" t="s">
        <v>416</v>
      </c>
      <c r="F40" s="118"/>
      <c r="G40" s="119"/>
    </row>
    <row r="41" spans="1:12" x14ac:dyDescent="0.25">
      <c r="A41" s="118">
        <v>102519564</v>
      </c>
      <c r="B41" s="205" t="s">
        <v>6089</v>
      </c>
      <c r="C41" s="118" t="s">
        <v>5716</v>
      </c>
      <c r="D41" s="145" t="s">
        <v>381</v>
      </c>
      <c r="E41" s="72" t="s">
        <v>416</v>
      </c>
      <c r="F41" s="118"/>
      <c r="G41" s="119"/>
    </row>
    <row r="42" spans="1:12" x14ac:dyDescent="0.25">
      <c r="A42" s="118">
        <v>102519565</v>
      </c>
      <c r="B42" s="205" t="s">
        <v>6090</v>
      </c>
      <c r="C42" s="118" t="s">
        <v>5717</v>
      </c>
      <c r="D42" s="145" t="s">
        <v>381</v>
      </c>
      <c r="E42" s="72" t="s">
        <v>416</v>
      </c>
      <c r="F42" s="118"/>
      <c r="G42" s="119"/>
      <c r="H42" s="121"/>
      <c r="I42" s="121"/>
    </row>
    <row r="43" spans="1:12" x14ac:dyDescent="0.25">
      <c r="A43" s="118">
        <v>102519566</v>
      </c>
      <c r="B43" s="205" t="s">
        <v>6091</v>
      </c>
      <c r="C43" s="118" t="s">
        <v>5718</v>
      </c>
      <c r="D43" s="145" t="s">
        <v>379</v>
      </c>
      <c r="E43" s="72" t="s">
        <v>416</v>
      </c>
      <c r="F43" s="118"/>
      <c r="G43" s="119"/>
      <c r="H43" s="121"/>
      <c r="I43" s="121"/>
    </row>
    <row r="44" spans="1:12" x14ac:dyDescent="0.25">
      <c r="A44" s="118">
        <v>102519567</v>
      </c>
      <c r="B44" s="205" t="s">
        <v>6092</v>
      </c>
      <c r="C44" s="118" t="s">
        <v>5719</v>
      </c>
      <c r="D44" s="145" t="s">
        <v>381</v>
      </c>
      <c r="E44" s="72" t="s">
        <v>416</v>
      </c>
      <c r="F44" s="118"/>
      <c r="G44" s="119"/>
      <c r="H44" s="121"/>
      <c r="I44" s="121"/>
    </row>
    <row r="45" spans="1:12" x14ac:dyDescent="0.25">
      <c r="A45" s="118">
        <v>102519568</v>
      </c>
      <c r="B45" s="205" t="s">
        <v>6093</v>
      </c>
      <c r="C45" s="118" t="s">
        <v>5720</v>
      </c>
      <c r="D45" s="145" t="s">
        <v>381</v>
      </c>
      <c r="E45" s="72" t="s">
        <v>416</v>
      </c>
      <c r="F45" s="118"/>
      <c r="G45" s="119"/>
      <c r="H45" s="121"/>
      <c r="I45" s="121"/>
    </row>
    <row r="46" spans="1:12" x14ac:dyDescent="0.25">
      <c r="A46" s="118">
        <v>102519569</v>
      </c>
      <c r="B46" s="205" t="s">
        <v>6094</v>
      </c>
      <c r="C46" s="118" t="s">
        <v>5721</v>
      </c>
      <c r="D46" s="145" t="s">
        <v>381</v>
      </c>
      <c r="E46" s="72" t="s">
        <v>416</v>
      </c>
      <c r="F46" s="118"/>
      <c r="G46" s="119"/>
      <c r="H46" s="121"/>
      <c r="I46" s="121"/>
    </row>
    <row r="47" spans="1:12" x14ac:dyDescent="0.25">
      <c r="A47" s="118">
        <v>102519570</v>
      </c>
      <c r="B47" s="205" t="s">
        <v>6095</v>
      </c>
      <c r="C47" s="118" t="s">
        <v>5722</v>
      </c>
      <c r="D47" s="145" t="s">
        <v>381</v>
      </c>
      <c r="E47" s="72" t="s">
        <v>416</v>
      </c>
      <c r="F47" s="118"/>
      <c r="G47" s="119"/>
      <c r="H47" s="121"/>
      <c r="I47" s="121"/>
    </row>
    <row r="48" spans="1:12" x14ac:dyDescent="0.25">
      <c r="A48" s="118">
        <v>102519571</v>
      </c>
      <c r="B48" s="205" t="s">
        <v>6096</v>
      </c>
      <c r="C48" s="118" t="s">
        <v>5723</v>
      </c>
      <c r="D48" s="145" t="s">
        <v>381</v>
      </c>
      <c r="E48" s="72" t="s">
        <v>416</v>
      </c>
      <c r="F48" s="118"/>
      <c r="G48" s="119"/>
      <c r="H48" s="121"/>
      <c r="I48" s="121"/>
    </row>
    <row r="49" spans="1:9" x14ac:dyDescent="0.25">
      <c r="A49" s="118">
        <v>102519572</v>
      </c>
      <c r="B49" s="205" t="s">
        <v>6097</v>
      </c>
      <c r="C49" s="118" t="s">
        <v>5724</v>
      </c>
      <c r="D49" s="145" t="s">
        <v>381</v>
      </c>
      <c r="E49" s="72" t="s">
        <v>416</v>
      </c>
      <c r="F49" s="118"/>
      <c r="G49" s="119"/>
      <c r="H49" s="121"/>
      <c r="I49" s="121"/>
    </row>
    <row r="50" spans="1:9" x14ac:dyDescent="0.25">
      <c r="A50" s="118">
        <v>102519573</v>
      </c>
      <c r="B50" s="205" t="s">
        <v>6098</v>
      </c>
      <c r="C50" s="118" t="s">
        <v>5725</v>
      </c>
      <c r="D50" s="145" t="s">
        <v>379</v>
      </c>
      <c r="E50" s="72" t="s">
        <v>416</v>
      </c>
      <c r="F50" s="118"/>
      <c r="G50" s="119"/>
      <c r="H50" s="121"/>
      <c r="I50" s="121"/>
    </row>
    <row r="51" spans="1:9" x14ac:dyDescent="0.25">
      <c r="A51" s="118">
        <v>102519574</v>
      </c>
      <c r="B51" s="205" t="s">
        <v>6099</v>
      </c>
      <c r="C51" s="118" t="s">
        <v>5726</v>
      </c>
      <c r="D51" s="145" t="s">
        <v>381</v>
      </c>
      <c r="E51" s="72" t="s">
        <v>416</v>
      </c>
      <c r="F51" s="118"/>
      <c r="G51" s="119"/>
      <c r="H51" s="121"/>
      <c r="I51" s="121"/>
    </row>
    <row r="52" spans="1:9" x14ac:dyDescent="0.25">
      <c r="A52" s="118">
        <v>102519575</v>
      </c>
      <c r="B52" s="205" t="s">
        <v>6100</v>
      </c>
      <c r="C52" s="118" t="s">
        <v>5727</v>
      </c>
      <c r="D52" s="145" t="s">
        <v>381</v>
      </c>
      <c r="E52" s="72" t="s">
        <v>416</v>
      </c>
      <c r="F52" s="118"/>
      <c r="G52" s="119"/>
      <c r="H52" s="121"/>
      <c r="I52" s="121"/>
    </row>
    <row r="53" spans="1:9" x14ac:dyDescent="0.25">
      <c r="A53" s="118">
        <v>102519576</v>
      </c>
      <c r="B53" s="205" t="s">
        <v>6101</v>
      </c>
      <c r="C53" s="118" t="s">
        <v>5728</v>
      </c>
      <c r="D53" s="145" t="s">
        <v>379</v>
      </c>
      <c r="E53" s="72" t="s">
        <v>416</v>
      </c>
      <c r="F53" s="118"/>
      <c r="G53" s="119"/>
      <c r="H53" s="121"/>
      <c r="I53" s="121"/>
    </row>
    <row r="54" spans="1:9" x14ac:dyDescent="0.25">
      <c r="A54" s="118">
        <v>102519577</v>
      </c>
      <c r="B54" s="205" t="s">
        <v>6102</v>
      </c>
      <c r="C54" s="118" t="s">
        <v>5729</v>
      </c>
      <c r="D54" s="145" t="s">
        <v>381</v>
      </c>
      <c r="E54" s="72" t="s">
        <v>416</v>
      </c>
      <c r="F54" s="118"/>
      <c r="G54" s="119"/>
      <c r="H54" s="121"/>
      <c r="I54" s="121"/>
    </row>
    <row r="55" spans="1:9" x14ac:dyDescent="0.25">
      <c r="A55" s="118">
        <v>102519578</v>
      </c>
      <c r="B55" s="205" t="s">
        <v>6103</v>
      </c>
      <c r="C55" s="118" t="s">
        <v>5730</v>
      </c>
      <c r="D55" s="145" t="s">
        <v>381</v>
      </c>
      <c r="E55" s="72" t="s">
        <v>416</v>
      </c>
      <c r="F55" s="118"/>
      <c r="G55" s="119"/>
      <c r="H55" s="121"/>
      <c r="I55" s="121"/>
    </row>
    <row r="56" spans="1:9" x14ac:dyDescent="0.25">
      <c r="A56" s="118">
        <v>102519579</v>
      </c>
      <c r="B56" s="205" t="s">
        <v>6104</v>
      </c>
      <c r="C56" s="118" t="s">
        <v>5731</v>
      </c>
      <c r="D56" s="145" t="s">
        <v>381</v>
      </c>
      <c r="E56" s="72" t="s">
        <v>416</v>
      </c>
      <c r="F56" s="118"/>
      <c r="G56" s="119"/>
      <c r="H56" s="121"/>
      <c r="I56" s="121"/>
    </row>
    <row r="57" spans="1:9" x14ac:dyDescent="0.25">
      <c r="A57" s="118">
        <v>102519580</v>
      </c>
      <c r="B57" s="205" t="s">
        <v>6105</v>
      </c>
      <c r="C57" s="118" t="s">
        <v>5732</v>
      </c>
      <c r="D57" s="145" t="s">
        <v>381</v>
      </c>
      <c r="E57" s="72" t="s">
        <v>416</v>
      </c>
      <c r="F57" s="118"/>
      <c r="G57" s="119"/>
      <c r="H57" s="121"/>
      <c r="I57" s="121"/>
    </row>
    <row r="58" spans="1:9" x14ac:dyDescent="0.25">
      <c r="A58" s="118">
        <v>102519581</v>
      </c>
      <c r="B58" s="205" t="s">
        <v>6106</v>
      </c>
      <c r="C58" s="118" t="s">
        <v>5733</v>
      </c>
      <c r="D58" s="145" t="s">
        <v>381</v>
      </c>
      <c r="E58" s="72" t="s">
        <v>416</v>
      </c>
      <c r="F58" s="118"/>
      <c r="G58" s="119"/>
      <c r="H58" s="121"/>
      <c r="I58" s="121"/>
    </row>
    <row r="59" spans="1:9" x14ac:dyDescent="0.25">
      <c r="A59" s="118">
        <v>102519582</v>
      </c>
      <c r="B59" s="205" t="s">
        <v>6107</v>
      </c>
      <c r="C59" s="118" t="s">
        <v>5734</v>
      </c>
      <c r="D59" s="145" t="s">
        <v>381</v>
      </c>
      <c r="E59" s="72" t="s">
        <v>416</v>
      </c>
      <c r="F59" s="118"/>
      <c r="G59" s="119"/>
      <c r="H59" s="121"/>
      <c r="I59" s="121"/>
    </row>
    <row r="60" spans="1:9" x14ac:dyDescent="0.25">
      <c r="A60" s="118">
        <v>102519583</v>
      </c>
      <c r="B60" s="205" t="s">
        <v>6108</v>
      </c>
      <c r="C60" s="118" t="s">
        <v>5735</v>
      </c>
      <c r="D60" s="145" t="s">
        <v>381</v>
      </c>
      <c r="E60" s="72" t="s">
        <v>416</v>
      </c>
      <c r="F60" s="118"/>
      <c r="G60" s="119"/>
      <c r="H60" s="121"/>
      <c r="I60" s="121"/>
    </row>
    <row r="61" spans="1:9" x14ac:dyDescent="0.25">
      <c r="A61" s="118">
        <v>102519584</v>
      </c>
      <c r="B61" s="205" t="s">
        <v>6109</v>
      </c>
      <c r="C61" s="118" t="s">
        <v>5736</v>
      </c>
      <c r="D61" s="145" t="s">
        <v>379</v>
      </c>
      <c r="E61" s="72" t="s">
        <v>416</v>
      </c>
      <c r="F61" s="118"/>
      <c r="G61" s="119"/>
      <c r="H61" s="121"/>
      <c r="I61" s="121"/>
    </row>
    <row r="62" spans="1:9" x14ac:dyDescent="0.25">
      <c r="A62" s="118">
        <v>102519585</v>
      </c>
      <c r="B62" s="205" t="s">
        <v>6110</v>
      </c>
      <c r="C62" s="118" t="s">
        <v>5737</v>
      </c>
      <c r="D62" s="145" t="s">
        <v>379</v>
      </c>
      <c r="E62" s="72" t="s">
        <v>416</v>
      </c>
      <c r="F62" s="118"/>
      <c r="G62" s="119"/>
      <c r="H62" s="121"/>
      <c r="I62" s="121"/>
    </row>
    <row r="63" spans="1:9" x14ac:dyDescent="0.25">
      <c r="A63" s="118">
        <v>102519586</v>
      </c>
      <c r="B63" s="205" t="s">
        <v>6111</v>
      </c>
      <c r="C63" s="118" t="s">
        <v>5738</v>
      </c>
      <c r="D63" s="145" t="s">
        <v>379</v>
      </c>
      <c r="E63" s="72" t="s">
        <v>416</v>
      </c>
      <c r="F63" s="118"/>
      <c r="G63" s="119"/>
      <c r="H63" s="121"/>
      <c r="I63" s="121"/>
    </row>
    <row r="64" spans="1:9" x14ac:dyDescent="0.25">
      <c r="A64" s="118">
        <v>102519587</v>
      </c>
      <c r="B64" s="205" t="s">
        <v>6112</v>
      </c>
      <c r="C64" s="118" t="s">
        <v>5739</v>
      </c>
      <c r="D64" s="145" t="s">
        <v>379</v>
      </c>
      <c r="E64" s="72" t="s">
        <v>416</v>
      </c>
      <c r="F64" s="118"/>
      <c r="G64" s="119"/>
      <c r="H64" s="121"/>
      <c r="I64" s="121"/>
    </row>
    <row r="65" spans="1:9" x14ac:dyDescent="0.25">
      <c r="A65" s="118">
        <v>102519588</v>
      </c>
      <c r="B65" s="205"/>
      <c r="C65" s="118" t="s">
        <v>5740</v>
      </c>
      <c r="D65" s="145" t="s">
        <v>379</v>
      </c>
      <c r="E65" s="72" t="s">
        <v>416</v>
      </c>
      <c r="F65" s="118"/>
      <c r="G65" s="119"/>
      <c r="H65" s="121"/>
      <c r="I65" s="121"/>
    </row>
    <row r="66" spans="1:9" x14ac:dyDescent="0.25">
      <c r="A66" s="118">
        <v>102519589</v>
      </c>
      <c r="B66" s="205" t="s">
        <v>6113</v>
      </c>
      <c r="C66" s="118" t="s">
        <v>5741</v>
      </c>
      <c r="D66" s="145" t="s">
        <v>379</v>
      </c>
      <c r="E66" s="72" t="s">
        <v>416</v>
      </c>
      <c r="F66" s="118"/>
      <c r="G66" s="119"/>
      <c r="H66" s="121"/>
      <c r="I66" s="121"/>
    </row>
    <row r="67" spans="1:9" x14ac:dyDescent="0.25">
      <c r="A67" s="118">
        <v>102519590</v>
      </c>
      <c r="B67" s="205" t="s">
        <v>6114</v>
      </c>
      <c r="C67" s="118" t="s">
        <v>5742</v>
      </c>
      <c r="D67" s="145" t="s">
        <v>379</v>
      </c>
      <c r="E67" s="72" t="s">
        <v>416</v>
      </c>
      <c r="F67" s="118"/>
      <c r="G67" s="119"/>
      <c r="H67" s="121"/>
      <c r="I67" s="121"/>
    </row>
    <row r="68" spans="1:9" x14ac:dyDescent="0.25">
      <c r="A68" s="118">
        <v>102519591</v>
      </c>
      <c r="B68" s="205" t="s">
        <v>6115</v>
      </c>
      <c r="C68" s="118" t="s">
        <v>5743</v>
      </c>
      <c r="D68" s="145" t="s">
        <v>381</v>
      </c>
      <c r="E68" s="72" t="s">
        <v>416</v>
      </c>
      <c r="F68" s="118"/>
      <c r="G68" s="119"/>
      <c r="H68" s="121"/>
      <c r="I68" s="121"/>
    </row>
    <row r="69" spans="1:9" x14ac:dyDescent="0.25">
      <c r="A69" s="118">
        <v>102519592</v>
      </c>
      <c r="B69" s="205" t="s">
        <v>6116</v>
      </c>
      <c r="C69" s="118" t="s">
        <v>5744</v>
      </c>
      <c r="D69" s="145" t="s">
        <v>381</v>
      </c>
      <c r="E69" s="72" t="s">
        <v>416</v>
      </c>
      <c r="F69" s="118"/>
      <c r="G69" s="119"/>
      <c r="H69" s="121"/>
      <c r="I69" s="121"/>
    </row>
    <row r="70" spans="1:9" x14ac:dyDescent="0.25">
      <c r="A70" s="118">
        <v>102519593</v>
      </c>
      <c r="B70" s="205" t="s">
        <v>6117</v>
      </c>
      <c r="C70" s="118" t="s">
        <v>5745</v>
      </c>
      <c r="D70" s="145" t="s">
        <v>379</v>
      </c>
      <c r="E70" s="72" t="s">
        <v>416</v>
      </c>
      <c r="F70" s="118"/>
      <c r="G70" s="119"/>
      <c r="H70" s="121"/>
      <c r="I70" s="121"/>
    </row>
    <row r="71" spans="1:9" x14ac:dyDescent="0.25">
      <c r="A71" s="118">
        <v>102519594</v>
      </c>
      <c r="B71" s="205" t="s">
        <v>6118</v>
      </c>
      <c r="C71" s="118" t="s">
        <v>5746</v>
      </c>
      <c r="D71" s="145" t="s">
        <v>379</v>
      </c>
      <c r="E71" s="72" t="s">
        <v>416</v>
      </c>
      <c r="F71" s="118"/>
      <c r="G71" s="119"/>
      <c r="H71" s="121"/>
      <c r="I71" s="121"/>
    </row>
    <row r="72" spans="1:9" x14ac:dyDescent="0.25">
      <c r="A72" s="118">
        <v>102519595</v>
      </c>
      <c r="B72" s="205" t="s">
        <v>6119</v>
      </c>
      <c r="C72" s="118" t="s">
        <v>5747</v>
      </c>
      <c r="D72" s="145" t="s">
        <v>379</v>
      </c>
      <c r="E72" s="72" t="s">
        <v>416</v>
      </c>
      <c r="F72" s="118"/>
      <c r="G72" s="119"/>
      <c r="H72" s="121"/>
      <c r="I72" s="121"/>
    </row>
    <row r="73" spans="1:9" x14ac:dyDescent="0.25">
      <c r="A73" s="118">
        <v>102519596</v>
      </c>
      <c r="B73" s="205" t="s">
        <v>6120</v>
      </c>
      <c r="C73" s="118" t="s">
        <v>5748</v>
      </c>
      <c r="D73" s="145" t="s">
        <v>379</v>
      </c>
      <c r="E73" s="72" t="s">
        <v>416</v>
      </c>
      <c r="F73" s="118"/>
      <c r="G73" s="119"/>
      <c r="H73" s="121"/>
      <c r="I73" s="121"/>
    </row>
    <row r="74" spans="1:9" x14ac:dyDescent="0.25">
      <c r="A74" s="118">
        <v>102519597</v>
      </c>
      <c r="B74" s="205" t="s">
        <v>6121</v>
      </c>
      <c r="C74" s="118" t="s">
        <v>5749</v>
      </c>
      <c r="D74" s="145" t="s">
        <v>381</v>
      </c>
      <c r="E74" s="72" t="s">
        <v>416</v>
      </c>
      <c r="F74" s="118"/>
      <c r="G74" s="119"/>
      <c r="H74" s="121"/>
      <c r="I74" s="121"/>
    </row>
    <row r="75" spans="1:9" x14ac:dyDescent="0.25">
      <c r="A75" s="118">
        <v>102519598</v>
      </c>
      <c r="B75" s="205" t="s">
        <v>6122</v>
      </c>
      <c r="C75" s="118" t="s">
        <v>5750</v>
      </c>
      <c r="D75" s="145" t="s">
        <v>381</v>
      </c>
      <c r="E75" s="72" t="s">
        <v>416</v>
      </c>
      <c r="F75" s="118"/>
      <c r="G75" s="119"/>
      <c r="H75" s="121"/>
      <c r="I75" s="121"/>
    </row>
    <row r="76" spans="1:9" x14ac:dyDescent="0.25">
      <c r="A76" s="118">
        <v>102519599</v>
      </c>
      <c r="B76" s="205" t="s">
        <v>6123</v>
      </c>
      <c r="C76" s="118" t="s">
        <v>5751</v>
      </c>
      <c r="D76" s="145" t="s">
        <v>381</v>
      </c>
      <c r="E76" s="72" t="s">
        <v>416</v>
      </c>
      <c r="F76" s="118"/>
      <c r="G76" s="119"/>
      <c r="H76" s="121"/>
      <c r="I76" s="121"/>
    </row>
    <row r="77" spans="1:9" x14ac:dyDescent="0.25">
      <c r="A77" s="118">
        <v>102519600</v>
      </c>
      <c r="B77" s="205" t="s">
        <v>6124</v>
      </c>
      <c r="C77" s="118" t="s">
        <v>5752</v>
      </c>
      <c r="D77" s="145" t="s">
        <v>381</v>
      </c>
      <c r="E77" s="72" t="s">
        <v>416</v>
      </c>
      <c r="F77" s="118"/>
      <c r="G77" s="119"/>
      <c r="H77" s="121"/>
      <c r="I77" s="121"/>
    </row>
    <row r="78" spans="1:9" x14ac:dyDescent="0.25">
      <c r="A78" s="118">
        <v>102519601</v>
      </c>
      <c r="B78" s="205" t="s">
        <v>6125</v>
      </c>
      <c r="C78" s="118" t="s">
        <v>5753</v>
      </c>
      <c r="D78" s="145" t="s">
        <v>381</v>
      </c>
      <c r="E78" s="72" t="s">
        <v>417</v>
      </c>
      <c r="F78" s="118"/>
      <c r="G78" s="119"/>
      <c r="H78" s="121"/>
      <c r="I78" s="121"/>
    </row>
    <row r="79" spans="1:9" x14ac:dyDescent="0.25">
      <c r="A79" s="118">
        <v>102519602</v>
      </c>
      <c r="B79" s="205" t="s">
        <v>6126</v>
      </c>
      <c r="C79" s="118" t="s">
        <v>5754</v>
      </c>
      <c r="D79" s="145" t="s">
        <v>379</v>
      </c>
      <c r="E79" s="72" t="s">
        <v>417</v>
      </c>
      <c r="F79" s="118"/>
      <c r="G79" s="119"/>
      <c r="H79" s="121"/>
      <c r="I79" s="121"/>
    </row>
    <row r="80" spans="1:9" x14ac:dyDescent="0.25">
      <c r="A80" s="118">
        <v>102519603</v>
      </c>
      <c r="B80" s="205" t="s">
        <v>6127</v>
      </c>
      <c r="C80" s="118" t="s">
        <v>5755</v>
      </c>
      <c r="D80" s="145" t="s">
        <v>381</v>
      </c>
      <c r="E80" s="72" t="s">
        <v>417</v>
      </c>
      <c r="F80" s="118"/>
      <c r="G80" s="119"/>
      <c r="H80" s="121"/>
      <c r="I80" s="121"/>
    </row>
    <row r="81" spans="1:9" x14ac:dyDescent="0.25">
      <c r="A81" s="118">
        <v>102519604</v>
      </c>
      <c r="B81" s="205" t="s">
        <v>6128</v>
      </c>
      <c r="C81" s="118" t="s">
        <v>5756</v>
      </c>
      <c r="D81" s="145" t="s">
        <v>381</v>
      </c>
      <c r="E81" s="72" t="s">
        <v>417</v>
      </c>
      <c r="F81" s="118"/>
      <c r="G81" s="119"/>
      <c r="H81" s="121"/>
      <c r="I81" s="121"/>
    </row>
    <row r="82" spans="1:9" x14ac:dyDescent="0.25">
      <c r="A82" s="118">
        <v>102519605</v>
      </c>
      <c r="B82" s="205" t="s">
        <v>6129</v>
      </c>
      <c r="C82" s="118" t="s">
        <v>5757</v>
      </c>
      <c r="D82" s="145" t="s">
        <v>381</v>
      </c>
      <c r="E82" s="72" t="s">
        <v>417</v>
      </c>
      <c r="F82" s="118"/>
      <c r="G82" s="119"/>
      <c r="H82" s="121"/>
      <c r="I82" s="121"/>
    </row>
    <row r="83" spans="1:9" x14ac:dyDescent="0.25">
      <c r="A83" s="118">
        <v>102519606</v>
      </c>
      <c r="B83" s="205" t="s">
        <v>6130</v>
      </c>
      <c r="C83" s="118" t="s">
        <v>5758</v>
      </c>
      <c r="D83" s="145" t="s">
        <v>381</v>
      </c>
      <c r="E83" s="72" t="s">
        <v>417</v>
      </c>
      <c r="F83" s="118"/>
      <c r="G83" s="119"/>
      <c r="H83" s="121"/>
      <c r="I83" s="121"/>
    </row>
    <row r="84" spans="1:9" x14ac:dyDescent="0.25">
      <c r="A84" s="118">
        <v>102519607</v>
      </c>
      <c r="B84" s="205" t="s">
        <v>6131</v>
      </c>
      <c r="C84" s="118" t="s">
        <v>5759</v>
      </c>
      <c r="D84" s="145" t="s">
        <v>381</v>
      </c>
      <c r="E84" s="72" t="s">
        <v>417</v>
      </c>
      <c r="F84" s="118"/>
      <c r="G84" s="119"/>
      <c r="H84" s="121"/>
      <c r="I84" s="121"/>
    </row>
    <row r="85" spans="1:9" x14ac:dyDescent="0.25">
      <c r="A85" s="118">
        <v>102519608</v>
      </c>
      <c r="B85" s="205" t="s">
        <v>6132</v>
      </c>
      <c r="C85" s="118" t="s">
        <v>5760</v>
      </c>
      <c r="D85" s="145" t="s">
        <v>381</v>
      </c>
      <c r="E85" s="72" t="s">
        <v>417</v>
      </c>
      <c r="F85" s="118"/>
      <c r="G85" s="119"/>
      <c r="H85" s="121"/>
      <c r="I85" s="121"/>
    </row>
    <row r="86" spans="1:9" x14ac:dyDescent="0.25">
      <c r="A86" s="118">
        <v>102519609</v>
      </c>
      <c r="B86" s="205"/>
      <c r="C86" s="118" t="s">
        <v>5761</v>
      </c>
      <c r="D86" s="145" t="s">
        <v>381</v>
      </c>
      <c r="E86" s="72" t="s">
        <v>417</v>
      </c>
      <c r="F86" s="118"/>
      <c r="G86" s="119"/>
      <c r="H86" s="121"/>
      <c r="I86" s="121"/>
    </row>
    <row r="87" spans="1:9" x14ac:dyDescent="0.25">
      <c r="A87" s="118">
        <v>102519610</v>
      </c>
      <c r="B87" s="205" t="s">
        <v>6133</v>
      </c>
      <c r="C87" s="118" t="s">
        <v>5762</v>
      </c>
      <c r="D87" s="145" t="s">
        <v>381</v>
      </c>
      <c r="E87" s="72" t="s">
        <v>417</v>
      </c>
      <c r="F87" s="118"/>
      <c r="G87" s="119"/>
      <c r="H87" s="121"/>
      <c r="I87" s="121"/>
    </row>
    <row r="88" spans="1:9" x14ac:dyDescent="0.25">
      <c r="A88" s="118">
        <v>102519611</v>
      </c>
      <c r="B88" s="205" t="s">
        <v>6134</v>
      </c>
      <c r="C88" s="118" t="s">
        <v>5763</v>
      </c>
      <c r="D88" s="145" t="s">
        <v>381</v>
      </c>
      <c r="E88" s="72" t="s">
        <v>417</v>
      </c>
      <c r="F88" s="118"/>
      <c r="G88" s="119"/>
      <c r="H88" s="121"/>
      <c r="I88" s="121"/>
    </row>
    <row r="89" spans="1:9" x14ac:dyDescent="0.25">
      <c r="A89" s="118">
        <v>102519612</v>
      </c>
      <c r="B89" s="205" t="s">
        <v>6135</v>
      </c>
      <c r="C89" s="118" t="s">
        <v>5764</v>
      </c>
      <c r="D89" s="145" t="s">
        <v>381</v>
      </c>
      <c r="E89" s="72" t="s">
        <v>417</v>
      </c>
      <c r="F89" s="118"/>
      <c r="G89" s="119"/>
      <c r="H89" s="121"/>
      <c r="I89" s="121"/>
    </row>
    <row r="90" spans="1:9" x14ac:dyDescent="0.25">
      <c r="A90" s="118">
        <v>102519613</v>
      </c>
      <c r="B90" s="205" t="s">
        <v>6136</v>
      </c>
      <c r="C90" s="118" t="s">
        <v>5765</v>
      </c>
      <c r="D90" s="145" t="s">
        <v>381</v>
      </c>
      <c r="E90" s="72" t="s">
        <v>417</v>
      </c>
      <c r="F90" s="118"/>
      <c r="G90" s="119"/>
      <c r="H90" s="121"/>
      <c r="I90" s="121"/>
    </row>
    <row r="91" spans="1:9" x14ac:dyDescent="0.25">
      <c r="A91" s="118">
        <v>102519614</v>
      </c>
      <c r="B91" s="205" t="s">
        <v>6137</v>
      </c>
      <c r="C91" s="118" t="s">
        <v>5766</v>
      </c>
      <c r="D91" s="145" t="s">
        <v>381</v>
      </c>
      <c r="E91" s="72" t="s">
        <v>417</v>
      </c>
      <c r="F91" s="118"/>
      <c r="G91" s="119"/>
      <c r="H91" s="121"/>
      <c r="I91" s="121"/>
    </row>
    <row r="92" spans="1:9" x14ac:dyDescent="0.25">
      <c r="A92" s="118">
        <v>102519615</v>
      </c>
      <c r="B92" s="205"/>
      <c r="C92" s="118" t="s">
        <v>5767</v>
      </c>
      <c r="D92" s="145" t="s">
        <v>379</v>
      </c>
      <c r="E92" s="72" t="s">
        <v>417</v>
      </c>
      <c r="F92" s="118"/>
      <c r="G92" s="119"/>
      <c r="H92" s="121"/>
      <c r="I92" s="121"/>
    </row>
    <row r="93" spans="1:9" x14ac:dyDescent="0.25">
      <c r="A93" s="118">
        <v>102519616</v>
      </c>
      <c r="B93" s="205" t="s">
        <v>6138</v>
      </c>
      <c r="C93" s="118" t="s">
        <v>5768</v>
      </c>
      <c r="D93" s="145" t="s">
        <v>381</v>
      </c>
      <c r="E93" s="72" t="s">
        <v>417</v>
      </c>
      <c r="F93" s="118"/>
      <c r="G93" s="119"/>
      <c r="H93" s="121"/>
      <c r="I93" s="121"/>
    </row>
    <row r="94" spans="1:9" x14ac:dyDescent="0.25">
      <c r="A94" s="118">
        <v>102519617</v>
      </c>
      <c r="B94" s="205" t="s">
        <v>6139</v>
      </c>
      <c r="C94" s="118" t="s">
        <v>5769</v>
      </c>
      <c r="D94" s="145" t="s">
        <v>381</v>
      </c>
      <c r="E94" s="72" t="s">
        <v>417</v>
      </c>
      <c r="F94" s="118"/>
      <c r="G94" s="119"/>
      <c r="H94" s="121"/>
      <c r="I94" s="121"/>
    </row>
    <row r="95" spans="1:9" x14ac:dyDescent="0.25">
      <c r="A95" s="118">
        <v>102519618</v>
      </c>
      <c r="B95" s="205" t="s">
        <v>6140</v>
      </c>
      <c r="C95" s="118" t="s">
        <v>5770</v>
      </c>
      <c r="D95" s="145" t="s">
        <v>379</v>
      </c>
      <c r="E95" s="72" t="s">
        <v>417</v>
      </c>
      <c r="F95" s="118"/>
      <c r="G95" s="119"/>
      <c r="H95" s="121"/>
      <c r="I95" s="121"/>
    </row>
    <row r="96" spans="1:9" x14ac:dyDescent="0.25">
      <c r="A96" s="118">
        <v>102519619</v>
      </c>
      <c r="B96" s="205" t="s">
        <v>6141</v>
      </c>
      <c r="C96" s="118" t="s">
        <v>5771</v>
      </c>
      <c r="D96" s="145" t="s">
        <v>379</v>
      </c>
      <c r="E96" s="72" t="s">
        <v>417</v>
      </c>
      <c r="F96" s="118"/>
      <c r="G96" s="119"/>
      <c r="H96" s="121"/>
      <c r="I96" s="121"/>
    </row>
    <row r="97" spans="1:9" x14ac:dyDescent="0.25">
      <c r="A97" s="118">
        <v>102519620</v>
      </c>
      <c r="B97" s="205" t="s">
        <v>6142</v>
      </c>
      <c r="C97" s="118" t="s">
        <v>5772</v>
      </c>
      <c r="D97" s="145" t="s">
        <v>381</v>
      </c>
      <c r="E97" s="72" t="s">
        <v>417</v>
      </c>
      <c r="F97" s="118"/>
      <c r="G97" s="119"/>
      <c r="H97" s="121"/>
      <c r="I97" s="121"/>
    </row>
    <row r="98" spans="1:9" x14ac:dyDescent="0.25">
      <c r="A98" s="118">
        <v>102519621</v>
      </c>
      <c r="B98" s="205" t="s">
        <v>6143</v>
      </c>
      <c r="C98" s="118" t="s">
        <v>5773</v>
      </c>
      <c r="D98" s="145" t="s">
        <v>381</v>
      </c>
      <c r="E98" s="72" t="s">
        <v>417</v>
      </c>
      <c r="F98" s="118"/>
      <c r="G98" s="119"/>
      <c r="H98" s="121"/>
      <c r="I98" s="121"/>
    </row>
    <row r="99" spans="1:9" x14ac:dyDescent="0.25">
      <c r="A99" s="118">
        <v>102519622</v>
      </c>
      <c r="B99" s="205" t="s">
        <v>6144</v>
      </c>
      <c r="C99" s="118" t="s">
        <v>5774</v>
      </c>
      <c r="D99" s="145" t="s">
        <v>379</v>
      </c>
      <c r="E99" s="72" t="s">
        <v>417</v>
      </c>
      <c r="F99" s="118"/>
      <c r="G99" s="119"/>
      <c r="H99" s="121"/>
      <c r="I99" s="121"/>
    </row>
    <row r="100" spans="1:9" x14ac:dyDescent="0.25">
      <c r="A100" s="118">
        <v>102519623</v>
      </c>
      <c r="B100" s="205" t="s">
        <v>6145</v>
      </c>
      <c r="C100" s="118" t="s">
        <v>5775</v>
      </c>
      <c r="D100" s="145" t="s">
        <v>379</v>
      </c>
      <c r="E100" s="72" t="s">
        <v>417</v>
      </c>
      <c r="F100" s="118"/>
      <c r="G100" s="119"/>
      <c r="H100" s="121"/>
      <c r="I100" s="121"/>
    </row>
    <row r="101" spans="1:9" x14ac:dyDescent="0.25">
      <c r="A101" s="118">
        <v>102519624</v>
      </c>
      <c r="B101" s="205" t="s">
        <v>6146</v>
      </c>
      <c r="C101" s="118" t="s">
        <v>5776</v>
      </c>
      <c r="D101" s="145" t="s">
        <v>379</v>
      </c>
      <c r="E101" s="72" t="s">
        <v>417</v>
      </c>
      <c r="F101" s="118"/>
      <c r="G101" s="119"/>
      <c r="H101" s="121"/>
      <c r="I101" s="121"/>
    </row>
    <row r="102" spans="1:9" x14ac:dyDescent="0.25">
      <c r="A102" s="118">
        <v>102519625</v>
      </c>
      <c r="B102" s="205" t="s">
        <v>6147</v>
      </c>
      <c r="C102" s="118" t="s">
        <v>5777</v>
      </c>
      <c r="D102" s="145" t="s">
        <v>379</v>
      </c>
      <c r="E102" s="72" t="s">
        <v>417</v>
      </c>
      <c r="F102" s="118"/>
      <c r="G102" s="119"/>
      <c r="H102" s="121"/>
      <c r="I102" s="121"/>
    </row>
    <row r="103" spans="1:9" x14ac:dyDescent="0.25">
      <c r="A103" s="118">
        <v>102519626</v>
      </c>
      <c r="B103" s="205" t="s">
        <v>6148</v>
      </c>
      <c r="C103" s="118" t="s">
        <v>5778</v>
      </c>
      <c r="D103" s="145" t="s">
        <v>379</v>
      </c>
      <c r="E103" s="72" t="s">
        <v>417</v>
      </c>
      <c r="F103" s="118"/>
      <c r="G103" s="119"/>
      <c r="H103" s="121"/>
      <c r="I103" s="121"/>
    </row>
    <row r="104" spans="1:9" x14ac:dyDescent="0.25">
      <c r="A104" s="118">
        <v>102519627</v>
      </c>
      <c r="B104" s="205" t="s">
        <v>6149</v>
      </c>
      <c r="C104" s="118" t="s">
        <v>5779</v>
      </c>
      <c r="D104" s="145" t="s">
        <v>381</v>
      </c>
      <c r="E104" s="72" t="s">
        <v>417</v>
      </c>
      <c r="F104" s="118"/>
      <c r="G104" s="119"/>
      <c r="H104" s="121"/>
      <c r="I104" s="121"/>
    </row>
    <row r="105" spans="1:9" x14ac:dyDescent="0.25">
      <c r="A105" s="118">
        <v>102519628</v>
      </c>
      <c r="B105" s="205" t="s">
        <v>6150</v>
      </c>
      <c r="C105" s="118" t="s">
        <v>5780</v>
      </c>
      <c r="D105" s="145" t="s">
        <v>379</v>
      </c>
      <c r="E105" s="72" t="s">
        <v>417</v>
      </c>
      <c r="F105" s="118"/>
      <c r="G105" s="119"/>
      <c r="H105" s="121"/>
      <c r="I105" s="121"/>
    </row>
    <row r="106" spans="1:9" x14ac:dyDescent="0.25">
      <c r="A106" s="118">
        <v>102519629</v>
      </c>
      <c r="B106" s="205" t="s">
        <v>6151</v>
      </c>
      <c r="C106" s="118" t="s">
        <v>5781</v>
      </c>
      <c r="D106" s="145" t="s">
        <v>379</v>
      </c>
      <c r="E106" s="72" t="s">
        <v>417</v>
      </c>
      <c r="F106" s="118"/>
      <c r="G106" s="119"/>
      <c r="H106" s="121"/>
      <c r="I106" s="121"/>
    </row>
    <row r="107" spans="1:9" x14ac:dyDescent="0.25">
      <c r="A107" s="118">
        <v>102519630</v>
      </c>
      <c r="B107" s="205" t="s">
        <v>6152</v>
      </c>
      <c r="C107" s="118" t="s">
        <v>5782</v>
      </c>
      <c r="D107" s="145" t="s">
        <v>381</v>
      </c>
      <c r="E107" s="72" t="s">
        <v>417</v>
      </c>
      <c r="F107" s="118"/>
      <c r="G107" s="119"/>
      <c r="H107" s="121"/>
      <c r="I107" s="121"/>
    </row>
    <row r="108" spans="1:9" x14ac:dyDescent="0.25">
      <c r="A108" s="118">
        <v>102519631</v>
      </c>
      <c r="B108" s="205" t="s">
        <v>6153</v>
      </c>
      <c r="C108" s="118" t="s">
        <v>5783</v>
      </c>
      <c r="D108" s="145" t="s">
        <v>381</v>
      </c>
      <c r="E108" s="72" t="s">
        <v>417</v>
      </c>
      <c r="F108" s="118"/>
      <c r="G108" s="119"/>
      <c r="H108" s="121"/>
      <c r="I108" s="121"/>
    </row>
    <row r="109" spans="1:9" x14ac:dyDescent="0.25">
      <c r="A109" s="118">
        <v>102519632</v>
      </c>
      <c r="B109" s="205" t="s">
        <v>6154</v>
      </c>
      <c r="C109" s="163" t="s">
        <v>5784</v>
      </c>
      <c r="D109" s="145" t="s">
        <v>379</v>
      </c>
      <c r="E109" s="72" t="s">
        <v>417</v>
      </c>
      <c r="F109" s="118"/>
      <c r="G109" s="119"/>
      <c r="H109" s="121"/>
      <c r="I109" s="121"/>
    </row>
    <row r="110" spans="1:9" x14ac:dyDescent="0.25">
      <c r="A110" s="118">
        <v>102519633</v>
      </c>
      <c r="B110" s="205" t="s">
        <v>6155</v>
      </c>
      <c r="C110" s="118" t="s">
        <v>5785</v>
      </c>
      <c r="D110" s="144" t="s">
        <v>379</v>
      </c>
      <c r="E110" s="72" t="s">
        <v>417</v>
      </c>
      <c r="F110" s="118"/>
      <c r="G110" s="119"/>
      <c r="H110" s="121"/>
      <c r="I110" s="121"/>
    </row>
    <row r="111" spans="1:9" x14ac:dyDescent="0.25">
      <c r="A111" s="118">
        <v>102519634</v>
      </c>
      <c r="B111" s="205" t="s">
        <v>6156</v>
      </c>
      <c r="C111" s="118" t="s">
        <v>5786</v>
      </c>
      <c r="D111" s="144" t="s">
        <v>381</v>
      </c>
      <c r="E111" s="72" t="s">
        <v>417</v>
      </c>
      <c r="F111" s="118"/>
      <c r="G111" s="119"/>
      <c r="H111" s="121"/>
      <c r="I111" s="121"/>
    </row>
    <row r="112" spans="1:9" x14ac:dyDescent="0.25">
      <c r="A112" s="118">
        <v>102519635</v>
      </c>
      <c r="B112" s="205" t="s">
        <v>6157</v>
      </c>
      <c r="C112" s="118" t="s">
        <v>5787</v>
      </c>
      <c r="D112" s="144" t="s">
        <v>379</v>
      </c>
      <c r="E112" s="72" t="s">
        <v>417</v>
      </c>
      <c r="F112" s="118"/>
      <c r="G112" s="119"/>
      <c r="H112" s="121"/>
      <c r="I112" s="121"/>
    </row>
    <row r="113" spans="1:9" x14ac:dyDescent="0.25">
      <c r="A113" s="118">
        <v>102519636</v>
      </c>
      <c r="B113" s="205" t="s">
        <v>6158</v>
      </c>
      <c r="C113" s="118" t="s">
        <v>5788</v>
      </c>
      <c r="D113" s="144" t="s">
        <v>381</v>
      </c>
      <c r="E113" s="72" t="s">
        <v>417</v>
      </c>
      <c r="F113" s="118"/>
      <c r="G113" s="119"/>
      <c r="H113" s="121"/>
      <c r="I113" s="121"/>
    </row>
    <row r="114" spans="1:9" x14ac:dyDescent="0.25">
      <c r="A114" s="118">
        <v>102519637</v>
      </c>
      <c r="B114" s="205" t="s">
        <v>6159</v>
      </c>
      <c r="C114" s="118" t="s">
        <v>5789</v>
      </c>
      <c r="D114" s="144" t="s">
        <v>381</v>
      </c>
      <c r="E114" s="72" t="s">
        <v>417</v>
      </c>
      <c r="F114" s="118"/>
      <c r="G114" s="119"/>
      <c r="H114" s="121"/>
      <c r="I114" s="121"/>
    </row>
    <row r="115" spans="1:9" x14ac:dyDescent="0.25">
      <c r="A115" s="118">
        <v>102519638</v>
      </c>
      <c r="B115" s="205" t="s">
        <v>6160</v>
      </c>
      <c r="C115" s="118" t="s">
        <v>5790</v>
      </c>
      <c r="D115" s="144" t="s">
        <v>381</v>
      </c>
      <c r="E115" s="72" t="s">
        <v>417</v>
      </c>
      <c r="F115" s="118"/>
      <c r="G115" s="119"/>
      <c r="H115" s="121"/>
      <c r="I115" s="121"/>
    </row>
    <row r="116" spans="1:9" x14ac:dyDescent="0.25">
      <c r="A116" s="118">
        <v>102519639</v>
      </c>
      <c r="B116" s="205" t="s">
        <v>6161</v>
      </c>
      <c r="C116" s="118" t="s">
        <v>5791</v>
      </c>
      <c r="D116" s="144" t="s">
        <v>379</v>
      </c>
      <c r="E116" s="72" t="s">
        <v>419</v>
      </c>
      <c r="F116" s="118"/>
      <c r="G116" s="119"/>
      <c r="H116" s="121"/>
      <c r="I116" s="121"/>
    </row>
    <row r="117" spans="1:9" x14ac:dyDescent="0.25">
      <c r="A117" s="118">
        <v>102519640</v>
      </c>
      <c r="B117" s="205" t="s">
        <v>6162</v>
      </c>
      <c r="C117" s="118" t="s">
        <v>5792</v>
      </c>
      <c r="D117" s="144" t="s">
        <v>381</v>
      </c>
      <c r="E117" s="72" t="s">
        <v>419</v>
      </c>
      <c r="F117" s="118"/>
      <c r="G117" s="119"/>
      <c r="H117" s="121"/>
      <c r="I117" s="121"/>
    </row>
    <row r="118" spans="1:9" x14ac:dyDescent="0.25">
      <c r="A118" s="118">
        <v>102519641</v>
      </c>
      <c r="B118" s="205" t="s">
        <v>6163</v>
      </c>
      <c r="C118" s="118" t="s">
        <v>5793</v>
      </c>
      <c r="D118" s="144" t="s">
        <v>381</v>
      </c>
      <c r="E118" s="72" t="s">
        <v>419</v>
      </c>
      <c r="F118" s="118"/>
      <c r="G118" s="119"/>
      <c r="H118" s="121"/>
      <c r="I118" s="121"/>
    </row>
    <row r="119" spans="1:9" x14ac:dyDescent="0.25">
      <c r="A119" s="118">
        <v>102519642</v>
      </c>
      <c r="B119" s="205"/>
      <c r="C119" s="118" t="s">
        <v>5794</v>
      </c>
      <c r="D119" s="144" t="s">
        <v>381</v>
      </c>
      <c r="E119" s="72" t="s">
        <v>419</v>
      </c>
      <c r="F119" s="118"/>
      <c r="G119" s="119"/>
      <c r="H119" s="121"/>
      <c r="I119" s="121"/>
    </row>
    <row r="120" spans="1:9" x14ac:dyDescent="0.25">
      <c r="A120" s="118">
        <v>102519643</v>
      </c>
      <c r="B120" s="205" t="s">
        <v>6164</v>
      </c>
      <c r="C120" s="118" t="s">
        <v>5795</v>
      </c>
      <c r="D120" s="159" t="s">
        <v>381</v>
      </c>
      <c r="E120" s="72" t="s">
        <v>419</v>
      </c>
      <c r="F120" s="118"/>
      <c r="G120" s="119"/>
      <c r="H120" s="121"/>
      <c r="I120" s="121"/>
    </row>
    <row r="121" spans="1:9" x14ac:dyDescent="0.25">
      <c r="A121" s="118">
        <v>102519644</v>
      </c>
      <c r="B121" s="205" t="s">
        <v>6165</v>
      </c>
      <c r="C121" s="118" t="s">
        <v>5796</v>
      </c>
      <c r="D121" s="144" t="s">
        <v>379</v>
      </c>
      <c r="E121" s="72" t="s">
        <v>419</v>
      </c>
      <c r="F121" s="118"/>
      <c r="G121" s="119"/>
      <c r="H121" s="121"/>
      <c r="I121" s="121"/>
    </row>
    <row r="122" spans="1:9" x14ac:dyDescent="0.25">
      <c r="A122" s="118">
        <v>102519645</v>
      </c>
      <c r="B122" s="205" t="s">
        <v>6166</v>
      </c>
      <c r="C122" s="118" t="s">
        <v>5797</v>
      </c>
      <c r="D122" s="144" t="s">
        <v>381</v>
      </c>
      <c r="E122" s="72" t="s">
        <v>419</v>
      </c>
      <c r="F122" s="118"/>
      <c r="G122" s="119"/>
      <c r="H122" s="121"/>
      <c r="I122" s="121"/>
    </row>
    <row r="123" spans="1:9" x14ac:dyDescent="0.25">
      <c r="A123" s="118">
        <v>102519646</v>
      </c>
      <c r="B123" s="205" t="s">
        <v>6167</v>
      </c>
      <c r="C123" s="118" t="s">
        <v>5798</v>
      </c>
      <c r="D123" s="144" t="s">
        <v>381</v>
      </c>
      <c r="E123" s="72" t="s">
        <v>419</v>
      </c>
      <c r="F123" s="118"/>
      <c r="G123" s="119"/>
      <c r="H123" s="121"/>
      <c r="I123" s="121"/>
    </row>
    <row r="124" spans="1:9" x14ac:dyDescent="0.25">
      <c r="A124" s="118">
        <v>102519647</v>
      </c>
      <c r="B124" s="205" t="s">
        <v>6168</v>
      </c>
      <c r="C124" s="118" t="s">
        <v>5799</v>
      </c>
      <c r="D124" s="144" t="s">
        <v>379</v>
      </c>
      <c r="E124" s="72" t="s">
        <v>419</v>
      </c>
      <c r="F124" s="118"/>
      <c r="G124" s="119"/>
      <c r="H124" s="121"/>
      <c r="I124" s="121"/>
    </row>
    <row r="125" spans="1:9" x14ac:dyDescent="0.25">
      <c r="A125" s="118">
        <v>102519648</v>
      </c>
      <c r="B125" s="205" t="s">
        <v>6169</v>
      </c>
      <c r="C125" s="118" t="s">
        <v>5800</v>
      </c>
      <c r="D125" s="144" t="s">
        <v>381</v>
      </c>
      <c r="E125" s="72" t="s">
        <v>419</v>
      </c>
      <c r="F125" s="118"/>
      <c r="G125" s="119"/>
      <c r="H125" s="121"/>
      <c r="I125" s="121"/>
    </row>
    <row r="126" spans="1:9" x14ac:dyDescent="0.25">
      <c r="A126" s="118">
        <v>102519649</v>
      </c>
      <c r="B126" s="205" t="s">
        <v>6170</v>
      </c>
      <c r="C126" s="118" t="s">
        <v>5801</v>
      </c>
      <c r="D126" s="144" t="s">
        <v>381</v>
      </c>
      <c r="E126" s="72" t="s">
        <v>419</v>
      </c>
      <c r="F126" s="118"/>
      <c r="G126" s="119"/>
      <c r="H126" s="121"/>
      <c r="I126" s="121"/>
    </row>
    <row r="127" spans="1:9" x14ac:dyDescent="0.25">
      <c r="A127" s="118">
        <v>102519650</v>
      </c>
      <c r="B127" s="205" t="s">
        <v>6171</v>
      </c>
      <c r="C127" s="118" t="s">
        <v>5802</v>
      </c>
      <c r="D127" s="144" t="s">
        <v>379</v>
      </c>
      <c r="E127" s="72" t="s">
        <v>419</v>
      </c>
      <c r="F127" s="118"/>
      <c r="G127" s="119"/>
      <c r="H127" s="121"/>
      <c r="I127" s="121"/>
    </row>
    <row r="128" spans="1:9" x14ac:dyDescent="0.25">
      <c r="A128" s="118">
        <v>102519651</v>
      </c>
      <c r="B128" s="205" t="s">
        <v>6172</v>
      </c>
      <c r="C128" s="118" t="s">
        <v>5803</v>
      </c>
      <c r="D128" s="144" t="s">
        <v>379</v>
      </c>
      <c r="E128" s="72" t="s">
        <v>419</v>
      </c>
      <c r="F128" s="118"/>
      <c r="G128" s="119"/>
      <c r="H128" s="121"/>
      <c r="I128" s="121"/>
    </row>
    <row r="129" spans="1:9" x14ac:dyDescent="0.25">
      <c r="A129" s="118">
        <v>102519652</v>
      </c>
      <c r="B129" s="205" t="s">
        <v>6173</v>
      </c>
      <c r="C129" s="118" t="s">
        <v>5804</v>
      </c>
      <c r="D129" s="144" t="s">
        <v>379</v>
      </c>
      <c r="E129" s="72" t="s">
        <v>419</v>
      </c>
      <c r="F129" s="118"/>
      <c r="G129" s="119"/>
      <c r="H129" s="121"/>
      <c r="I129" s="121"/>
    </row>
    <row r="130" spans="1:9" x14ac:dyDescent="0.25">
      <c r="A130" s="118">
        <v>102519653</v>
      </c>
      <c r="B130" s="205" t="s">
        <v>6174</v>
      </c>
      <c r="C130" s="118" t="s">
        <v>5805</v>
      </c>
      <c r="D130" s="144" t="s">
        <v>381</v>
      </c>
      <c r="E130" s="72" t="s">
        <v>419</v>
      </c>
      <c r="F130" s="118"/>
      <c r="G130" s="119"/>
      <c r="H130" s="121"/>
      <c r="I130" s="121"/>
    </row>
    <row r="131" spans="1:9" x14ac:dyDescent="0.25">
      <c r="A131" s="118">
        <v>102519654</v>
      </c>
      <c r="B131" s="205" t="s">
        <v>6175</v>
      </c>
      <c r="C131" s="118" t="s">
        <v>5806</v>
      </c>
      <c r="D131" s="144" t="s">
        <v>379</v>
      </c>
      <c r="E131" s="72" t="s">
        <v>419</v>
      </c>
      <c r="F131" s="118"/>
      <c r="G131" s="119"/>
      <c r="H131" s="121"/>
      <c r="I131" s="121"/>
    </row>
    <row r="132" spans="1:9" x14ac:dyDescent="0.25">
      <c r="A132" s="118">
        <v>102519655</v>
      </c>
      <c r="B132" s="205" t="s">
        <v>6176</v>
      </c>
      <c r="C132" s="118" t="s">
        <v>5807</v>
      </c>
      <c r="D132" s="144" t="s">
        <v>381</v>
      </c>
      <c r="E132" s="72" t="s">
        <v>419</v>
      </c>
      <c r="F132" s="118"/>
      <c r="G132" s="119"/>
      <c r="H132" s="121"/>
      <c r="I132" s="121"/>
    </row>
    <row r="133" spans="1:9" x14ac:dyDescent="0.25">
      <c r="A133" s="118">
        <v>102519656</v>
      </c>
      <c r="B133" s="205" t="s">
        <v>6177</v>
      </c>
      <c r="C133" s="118" t="s">
        <v>5808</v>
      </c>
      <c r="D133" s="144" t="s">
        <v>381</v>
      </c>
      <c r="E133" s="72" t="s">
        <v>419</v>
      </c>
      <c r="F133" s="118"/>
      <c r="G133" s="119"/>
      <c r="H133" s="121"/>
      <c r="I133" s="121"/>
    </row>
    <row r="134" spans="1:9" x14ac:dyDescent="0.25">
      <c r="A134" s="118">
        <v>102519657</v>
      </c>
      <c r="B134" s="205" t="s">
        <v>6178</v>
      </c>
      <c r="C134" s="118" t="s">
        <v>5809</v>
      </c>
      <c r="D134" s="144" t="s">
        <v>381</v>
      </c>
      <c r="E134" s="72" t="s">
        <v>419</v>
      </c>
      <c r="F134" s="118"/>
      <c r="G134" s="119"/>
      <c r="H134" s="121"/>
      <c r="I134" s="121"/>
    </row>
    <row r="135" spans="1:9" x14ac:dyDescent="0.25">
      <c r="A135" s="118">
        <v>102519658</v>
      </c>
      <c r="B135" s="205" t="s">
        <v>6179</v>
      </c>
      <c r="C135" s="118" t="s">
        <v>5810</v>
      </c>
      <c r="D135" s="144" t="s">
        <v>381</v>
      </c>
      <c r="E135" s="72" t="s">
        <v>419</v>
      </c>
      <c r="F135" s="118"/>
      <c r="G135" s="119"/>
      <c r="H135" s="121"/>
      <c r="I135" s="121"/>
    </row>
    <row r="136" spans="1:9" x14ac:dyDescent="0.25">
      <c r="A136" s="118">
        <v>102519659</v>
      </c>
      <c r="B136" s="205" t="s">
        <v>6180</v>
      </c>
      <c r="C136" s="118" t="s">
        <v>5811</v>
      </c>
      <c r="D136" s="144" t="s">
        <v>379</v>
      </c>
      <c r="E136" s="72" t="s">
        <v>419</v>
      </c>
      <c r="F136" s="118"/>
      <c r="G136" s="119"/>
      <c r="H136" s="121"/>
      <c r="I136" s="121"/>
    </row>
    <row r="137" spans="1:9" x14ac:dyDescent="0.25">
      <c r="A137" s="118">
        <v>102519660</v>
      </c>
      <c r="B137" s="205" t="s">
        <v>6181</v>
      </c>
      <c r="C137" s="118" t="s">
        <v>5812</v>
      </c>
      <c r="D137" s="144" t="s">
        <v>379</v>
      </c>
      <c r="E137" s="72" t="s">
        <v>419</v>
      </c>
      <c r="F137" s="118"/>
      <c r="G137" s="119"/>
      <c r="H137" s="121"/>
      <c r="I137" s="121"/>
    </row>
    <row r="138" spans="1:9" x14ac:dyDescent="0.25">
      <c r="A138" s="118">
        <v>102519661</v>
      </c>
      <c r="B138" s="205" t="s">
        <v>6182</v>
      </c>
      <c r="C138" s="118" t="s">
        <v>5813</v>
      </c>
      <c r="D138" s="144" t="s">
        <v>379</v>
      </c>
      <c r="E138" s="72" t="s">
        <v>419</v>
      </c>
      <c r="F138" s="118"/>
      <c r="G138" s="119"/>
      <c r="H138" s="121"/>
      <c r="I138" s="121"/>
    </row>
    <row r="139" spans="1:9" x14ac:dyDescent="0.25">
      <c r="A139" s="118">
        <v>102519662</v>
      </c>
      <c r="B139" s="205" t="s">
        <v>6183</v>
      </c>
      <c r="C139" s="118" t="s">
        <v>5814</v>
      </c>
      <c r="D139" s="144" t="s">
        <v>381</v>
      </c>
      <c r="E139" s="72" t="s">
        <v>419</v>
      </c>
      <c r="F139" s="118"/>
      <c r="G139" s="119"/>
      <c r="H139" s="121"/>
      <c r="I139" s="121"/>
    </row>
    <row r="140" spans="1:9" x14ac:dyDescent="0.25">
      <c r="A140" s="118">
        <v>102519663</v>
      </c>
      <c r="B140" s="205" t="s">
        <v>6184</v>
      </c>
      <c r="C140" s="118" t="s">
        <v>5815</v>
      </c>
      <c r="D140" s="144" t="s">
        <v>381</v>
      </c>
      <c r="E140" s="72" t="s">
        <v>419</v>
      </c>
      <c r="F140" s="118"/>
      <c r="G140" s="119"/>
      <c r="H140" s="121"/>
      <c r="I140" s="121"/>
    </row>
    <row r="141" spans="1:9" x14ac:dyDescent="0.25">
      <c r="A141" s="118">
        <v>102519664</v>
      </c>
      <c r="B141" s="205" t="s">
        <v>6185</v>
      </c>
      <c r="C141" s="118" t="s">
        <v>5816</v>
      </c>
      <c r="D141" s="144" t="s">
        <v>381</v>
      </c>
      <c r="E141" s="72" t="s">
        <v>419</v>
      </c>
      <c r="F141" s="118"/>
      <c r="G141" s="119"/>
      <c r="H141" s="121"/>
      <c r="I141" s="121"/>
    </row>
    <row r="142" spans="1:9" x14ac:dyDescent="0.25">
      <c r="A142" s="118">
        <v>102519665</v>
      </c>
      <c r="B142" s="205" t="s">
        <v>6186</v>
      </c>
      <c r="C142" s="118" t="s">
        <v>5817</v>
      </c>
      <c r="D142" s="144" t="s">
        <v>381</v>
      </c>
      <c r="E142" s="72" t="s">
        <v>419</v>
      </c>
      <c r="F142" s="118"/>
      <c r="G142" s="119"/>
      <c r="H142" s="121"/>
      <c r="I142" s="121"/>
    </row>
    <row r="143" spans="1:9" x14ac:dyDescent="0.25">
      <c r="A143" s="118">
        <v>102519666</v>
      </c>
      <c r="B143" s="205" t="s">
        <v>6187</v>
      </c>
      <c r="C143" s="118" t="s">
        <v>5818</v>
      </c>
      <c r="D143" s="144" t="s">
        <v>379</v>
      </c>
      <c r="E143" s="72" t="s">
        <v>419</v>
      </c>
      <c r="F143" s="118"/>
      <c r="G143" s="119"/>
      <c r="H143" s="121"/>
      <c r="I143" s="121"/>
    </row>
    <row r="144" spans="1:9" x14ac:dyDescent="0.25">
      <c r="A144" s="118">
        <v>102519667</v>
      </c>
      <c r="B144" s="205" t="s">
        <v>6188</v>
      </c>
      <c r="C144" s="118" t="s">
        <v>5819</v>
      </c>
      <c r="D144" s="144" t="s">
        <v>381</v>
      </c>
      <c r="E144" s="72" t="s">
        <v>419</v>
      </c>
      <c r="F144" s="118"/>
      <c r="G144" s="119"/>
      <c r="H144" s="121"/>
      <c r="I144" s="121"/>
    </row>
    <row r="145" spans="1:9" x14ac:dyDescent="0.25">
      <c r="A145" s="118">
        <v>102519668</v>
      </c>
      <c r="B145" s="205" t="s">
        <v>6189</v>
      </c>
      <c r="C145" s="118" t="s">
        <v>5820</v>
      </c>
      <c r="D145" s="144" t="s">
        <v>379</v>
      </c>
      <c r="E145" s="72" t="s">
        <v>419</v>
      </c>
      <c r="F145" s="118"/>
      <c r="G145" s="119"/>
      <c r="H145" s="121"/>
      <c r="I145" s="121"/>
    </row>
    <row r="146" spans="1:9" x14ac:dyDescent="0.25">
      <c r="A146" s="118">
        <v>102519669</v>
      </c>
      <c r="B146" s="205" t="s">
        <v>6190</v>
      </c>
      <c r="C146" s="118" t="s">
        <v>5821</v>
      </c>
      <c r="D146" s="144" t="s">
        <v>379</v>
      </c>
      <c r="E146" s="72" t="s">
        <v>419</v>
      </c>
      <c r="F146" s="118"/>
      <c r="G146" s="119"/>
      <c r="H146" s="121"/>
      <c r="I146" s="121"/>
    </row>
    <row r="147" spans="1:9" x14ac:dyDescent="0.25">
      <c r="A147" s="118">
        <v>102519670</v>
      </c>
      <c r="B147" s="205" t="s">
        <v>6191</v>
      </c>
      <c r="C147" s="118" t="s">
        <v>5822</v>
      </c>
      <c r="D147" s="144" t="s">
        <v>381</v>
      </c>
      <c r="E147" s="72" t="s">
        <v>419</v>
      </c>
      <c r="F147" s="118"/>
      <c r="G147" s="119"/>
      <c r="H147" s="121"/>
      <c r="I147" s="121"/>
    </row>
    <row r="148" spans="1:9" x14ac:dyDescent="0.25">
      <c r="A148" s="118">
        <v>102519671</v>
      </c>
      <c r="B148" s="205" t="s">
        <v>6192</v>
      </c>
      <c r="C148" s="118" t="s">
        <v>5823</v>
      </c>
      <c r="D148" s="144" t="s">
        <v>381</v>
      </c>
      <c r="E148" s="72" t="s">
        <v>419</v>
      </c>
      <c r="F148" s="118"/>
      <c r="G148" s="119"/>
      <c r="H148" s="121"/>
      <c r="I148" s="121"/>
    </row>
    <row r="149" spans="1:9" x14ac:dyDescent="0.25">
      <c r="A149" s="118">
        <v>102519672</v>
      </c>
      <c r="B149" s="205" t="s">
        <v>6193</v>
      </c>
      <c r="C149" s="118" t="s">
        <v>5824</v>
      </c>
      <c r="D149" s="144" t="s">
        <v>381</v>
      </c>
      <c r="E149" s="72" t="s">
        <v>419</v>
      </c>
      <c r="F149" s="118"/>
      <c r="G149" s="119"/>
      <c r="H149" s="121"/>
      <c r="I149" s="121"/>
    </row>
    <row r="150" spans="1:9" x14ac:dyDescent="0.25">
      <c r="A150" s="118">
        <v>102519673</v>
      </c>
      <c r="B150" s="205" t="s">
        <v>6194</v>
      </c>
      <c r="C150" s="118" t="s">
        <v>5825</v>
      </c>
      <c r="D150" s="144" t="s">
        <v>381</v>
      </c>
      <c r="E150" s="72" t="s">
        <v>419</v>
      </c>
      <c r="F150" s="118"/>
      <c r="G150" s="119"/>
      <c r="H150" s="121"/>
      <c r="I150" s="121"/>
    </row>
    <row r="151" spans="1:9" x14ac:dyDescent="0.25">
      <c r="A151" s="118">
        <v>102519674</v>
      </c>
      <c r="B151" s="205" t="s">
        <v>6195</v>
      </c>
      <c r="C151" s="118" t="s">
        <v>5826</v>
      </c>
      <c r="D151" s="144" t="s">
        <v>381</v>
      </c>
      <c r="E151" s="72" t="s">
        <v>419</v>
      </c>
      <c r="F151" s="118"/>
      <c r="G151" s="119"/>
      <c r="H151" s="121"/>
      <c r="I151" s="121"/>
    </row>
    <row r="152" spans="1:9" x14ac:dyDescent="0.25">
      <c r="A152" s="118">
        <v>102519675</v>
      </c>
      <c r="B152" s="205" t="s">
        <v>6196</v>
      </c>
      <c r="C152" s="118" t="s">
        <v>5827</v>
      </c>
      <c r="D152" s="144" t="s">
        <v>379</v>
      </c>
      <c r="E152" s="72" t="s">
        <v>419</v>
      </c>
      <c r="F152" s="118"/>
      <c r="G152" s="119"/>
      <c r="H152" s="121"/>
      <c r="I152" s="121"/>
    </row>
    <row r="153" spans="1:9" x14ac:dyDescent="0.25">
      <c r="A153" s="118">
        <v>102519676</v>
      </c>
      <c r="B153" s="205" t="s">
        <v>6197</v>
      </c>
      <c r="C153" s="118" t="s">
        <v>5828</v>
      </c>
      <c r="D153" s="144" t="s">
        <v>381</v>
      </c>
      <c r="E153" s="72" t="s">
        <v>419</v>
      </c>
      <c r="F153" s="118"/>
      <c r="G153" s="119"/>
      <c r="H153" s="121"/>
      <c r="I153" s="121"/>
    </row>
    <row r="154" spans="1:9" x14ac:dyDescent="0.25">
      <c r="A154" s="118">
        <v>102519677</v>
      </c>
      <c r="B154" s="205" t="s">
        <v>6198</v>
      </c>
      <c r="C154" s="118" t="s">
        <v>5829</v>
      </c>
      <c r="D154" s="144" t="s">
        <v>381</v>
      </c>
      <c r="E154" s="72" t="s">
        <v>420</v>
      </c>
      <c r="F154" s="118"/>
      <c r="G154" s="119"/>
      <c r="H154" s="121"/>
      <c r="I154" s="121"/>
    </row>
    <row r="155" spans="1:9" x14ac:dyDescent="0.25">
      <c r="A155" s="118">
        <v>102519678</v>
      </c>
      <c r="B155" s="205" t="s">
        <v>6199</v>
      </c>
      <c r="C155" s="118" t="s">
        <v>5830</v>
      </c>
      <c r="D155" s="144" t="s">
        <v>379</v>
      </c>
      <c r="E155" s="72" t="s">
        <v>420</v>
      </c>
      <c r="F155" s="118"/>
      <c r="G155" s="119"/>
      <c r="H155" s="121"/>
      <c r="I155" s="121"/>
    </row>
    <row r="156" spans="1:9" x14ac:dyDescent="0.25">
      <c r="A156" s="118">
        <v>102519679</v>
      </c>
      <c r="B156" s="205" t="s">
        <v>6200</v>
      </c>
      <c r="C156" s="118" t="s">
        <v>5831</v>
      </c>
      <c r="D156" s="144" t="s">
        <v>379</v>
      </c>
      <c r="E156" s="72" t="s">
        <v>420</v>
      </c>
      <c r="F156" s="118"/>
      <c r="G156" s="119"/>
      <c r="H156" s="121"/>
      <c r="I156" s="121"/>
    </row>
    <row r="157" spans="1:9" x14ac:dyDescent="0.25">
      <c r="A157" s="118">
        <v>102519680</v>
      </c>
      <c r="B157" s="205" t="s">
        <v>6201</v>
      </c>
      <c r="C157" s="118" t="s">
        <v>5832</v>
      </c>
      <c r="D157" s="144" t="s">
        <v>379</v>
      </c>
      <c r="E157" s="72" t="s">
        <v>420</v>
      </c>
      <c r="F157" s="118"/>
      <c r="G157" s="119"/>
      <c r="H157" s="121"/>
      <c r="I157" s="121"/>
    </row>
    <row r="158" spans="1:9" x14ac:dyDescent="0.25">
      <c r="A158" s="118">
        <v>102519681</v>
      </c>
      <c r="B158" s="205" t="s">
        <v>6202</v>
      </c>
      <c r="C158" s="118" t="s">
        <v>5833</v>
      </c>
      <c r="D158" s="144" t="s">
        <v>381</v>
      </c>
      <c r="E158" s="72" t="s">
        <v>420</v>
      </c>
      <c r="F158" s="118"/>
      <c r="G158" s="119"/>
      <c r="H158" s="121"/>
      <c r="I158" s="121"/>
    </row>
    <row r="159" spans="1:9" x14ac:dyDescent="0.25">
      <c r="A159" s="118">
        <v>102519682</v>
      </c>
      <c r="B159" s="205" t="s">
        <v>6203</v>
      </c>
      <c r="C159" s="118" t="s">
        <v>5834</v>
      </c>
      <c r="D159" s="144" t="s">
        <v>381</v>
      </c>
      <c r="E159" s="72" t="s">
        <v>420</v>
      </c>
      <c r="F159" s="118"/>
      <c r="G159" s="119"/>
      <c r="H159" s="121"/>
      <c r="I159" s="121"/>
    </row>
    <row r="160" spans="1:9" x14ac:dyDescent="0.25">
      <c r="A160" s="118">
        <v>102519683</v>
      </c>
      <c r="B160" s="205"/>
      <c r="C160" s="118" t="s">
        <v>5835</v>
      </c>
      <c r="D160" s="144" t="s">
        <v>381</v>
      </c>
      <c r="E160" s="72" t="s">
        <v>420</v>
      </c>
      <c r="F160" s="118"/>
      <c r="G160" s="119"/>
      <c r="H160" s="121"/>
      <c r="I160" s="121"/>
    </row>
    <row r="161" spans="1:9" x14ac:dyDescent="0.25">
      <c r="A161" s="118">
        <v>102519684</v>
      </c>
      <c r="B161" s="205" t="s">
        <v>6204</v>
      </c>
      <c r="C161" s="118" t="s">
        <v>5836</v>
      </c>
      <c r="D161" s="144" t="s">
        <v>379</v>
      </c>
      <c r="E161" s="72" t="s">
        <v>420</v>
      </c>
      <c r="F161" s="118"/>
      <c r="G161" s="119"/>
      <c r="H161" s="121"/>
      <c r="I161" s="121"/>
    </row>
    <row r="162" spans="1:9" x14ac:dyDescent="0.25">
      <c r="A162" s="118">
        <v>102519685</v>
      </c>
      <c r="B162" s="205" t="s">
        <v>6205</v>
      </c>
      <c r="C162" s="118" t="s">
        <v>5837</v>
      </c>
      <c r="D162" s="144" t="s">
        <v>379</v>
      </c>
      <c r="E162" s="72" t="s">
        <v>420</v>
      </c>
      <c r="F162" s="118"/>
      <c r="G162" s="119"/>
      <c r="H162" s="121"/>
      <c r="I162" s="121"/>
    </row>
    <row r="163" spans="1:9" x14ac:dyDescent="0.25">
      <c r="A163" s="118">
        <v>102519686</v>
      </c>
      <c r="B163" s="205" t="s">
        <v>6206</v>
      </c>
      <c r="C163" s="118" t="s">
        <v>5838</v>
      </c>
      <c r="D163" s="144" t="s">
        <v>379</v>
      </c>
      <c r="E163" s="72" t="s">
        <v>420</v>
      </c>
      <c r="F163" s="118"/>
      <c r="G163" s="119"/>
      <c r="H163" s="121"/>
      <c r="I163" s="121"/>
    </row>
    <row r="164" spans="1:9" x14ac:dyDescent="0.25">
      <c r="A164" s="118">
        <v>102519687</v>
      </c>
      <c r="B164" s="205" t="s">
        <v>6207</v>
      </c>
      <c r="C164" s="118" t="s">
        <v>5839</v>
      </c>
      <c r="D164" s="144" t="s">
        <v>379</v>
      </c>
      <c r="E164" s="72" t="s">
        <v>420</v>
      </c>
      <c r="F164" s="118"/>
      <c r="G164" s="119"/>
      <c r="H164" s="121"/>
      <c r="I164" s="121"/>
    </row>
    <row r="165" spans="1:9" x14ac:dyDescent="0.25">
      <c r="A165" s="118">
        <v>102519688</v>
      </c>
      <c r="B165" s="205" t="s">
        <v>6208</v>
      </c>
      <c r="C165" s="118" t="s">
        <v>5840</v>
      </c>
      <c r="D165" s="120" t="s">
        <v>381</v>
      </c>
      <c r="E165" s="72" t="s">
        <v>420</v>
      </c>
      <c r="F165" s="118"/>
      <c r="G165" s="119"/>
      <c r="H165" s="121"/>
      <c r="I165" s="121"/>
    </row>
    <row r="166" spans="1:9" x14ac:dyDescent="0.25">
      <c r="A166" s="118">
        <v>102519689</v>
      </c>
      <c r="B166" s="205" t="s">
        <v>6209</v>
      </c>
      <c r="C166" s="118" t="s">
        <v>5841</v>
      </c>
      <c r="D166" s="144" t="s">
        <v>379</v>
      </c>
      <c r="E166" s="72" t="s">
        <v>420</v>
      </c>
      <c r="F166" s="118"/>
      <c r="G166" s="119"/>
      <c r="H166" s="121"/>
      <c r="I166" s="121"/>
    </row>
    <row r="167" spans="1:9" x14ac:dyDescent="0.25">
      <c r="A167" s="118">
        <v>102519690</v>
      </c>
      <c r="B167" s="205" t="s">
        <v>6210</v>
      </c>
      <c r="C167" s="118" t="s">
        <v>5842</v>
      </c>
      <c r="D167" s="144" t="s">
        <v>381</v>
      </c>
      <c r="E167" s="72" t="s">
        <v>420</v>
      </c>
      <c r="F167" s="118"/>
      <c r="G167" s="119"/>
      <c r="H167" s="121"/>
      <c r="I167" s="121"/>
    </row>
    <row r="168" spans="1:9" x14ac:dyDescent="0.25">
      <c r="A168" s="118">
        <v>102519691</v>
      </c>
      <c r="B168" s="205" t="s">
        <v>6211</v>
      </c>
      <c r="C168" s="118" t="s">
        <v>5843</v>
      </c>
      <c r="D168" s="144" t="s">
        <v>381</v>
      </c>
      <c r="E168" s="72" t="s">
        <v>420</v>
      </c>
      <c r="F168" s="118"/>
      <c r="G168" s="119"/>
      <c r="H168" s="121"/>
      <c r="I168" s="121"/>
    </row>
    <row r="169" spans="1:9" x14ac:dyDescent="0.25">
      <c r="A169" s="118">
        <v>102519692</v>
      </c>
      <c r="B169" s="205" t="s">
        <v>6212</v>
      </c>
      <c r="C169" s="118" t="s">
        <v>5844</v>
      </c>
      <c r="D169" s="144" t="s">
        <v>381</v>
      </c>
      <c r="E169" s="72" t="s">
        <v>420</v>
      </c>
      <c r="F169" s="118"/>
      <c r="G169" s="119"/>
      <c r="H169" s="121"/>
      <c r="I169" s="121"/>
    </row>
    <row r="170" spans="1:9" x14ac:dyDescent="0.25">
      <c r="A170" s="118">
        <v>102519693</v>
      </c>
      <c r="B170" s="205" t="s">
        <v>6213</v>
      </c>
      <c r="C170" s="118" t="s">
        <v>5845</v>
      </c>
      <c r="D170" s="144" t="s">
        <v>381</v>
      </c>
      <c r="E170" s="72" t="s">
        <v>420</v>
      </c>
      <c r="F170" s="118"/>
      <c r="G170" s="119"/>
      <c r="H170" s="121"/>
      <c r="I170" s="121"/>
    </row>
    <row r="171" spans="1:9" x14ac:dyDescent="0.25">
      <c r="A171" s="118">
        <v>102519694</v>
      </c>
      <c r="B171" s="205" t="s">
        <v>6214</v>
      </c>
      <c r="C171" s="118" t="s">
        <v>5846</v>
      </c>
      <c r="D171" s="144" t="s">
        <v>379</v>
      </c>
      <c r="E171" s="72" t="s">
        <v>420</v>
      </c>
      <c r="F171" s="118"/>
      <c r="G171" s="119"/>
      <c r="H171" s="121"/>
      <c r="I171" s="121"/>
    </row>
    <row r="172" spans="1:9" x14ac:dyDescent="0.25">
      <c r="A172" s="118">
        <v>102519695</v>
      </c>
      <c r="B172" s="205" t="s">
        <v>6215</v>
      </c>
      <c r="C172" s="118" t="s">
        <v>5847</v>
      </c>
      <c r="D172" s="144" t="s">
        <v>381</v>
      </c>
      <c r="E172" s="72" t="s">
        <v>420</v>
      </c>
      <c r="F172" s="118"/>
      <c r="G172" s="119"/>
      <c r="H172" s="121"/>
      <c r="I172" s="121"/>
    </row>
    <row r="173" spans="1:9" x14ac:dyDescent="0.25">
      <c r="A173" s="118">
        <v>102519696</v>
      </c>
      <c r="B173" s="205" t="s">
        <v>6216</v>
      </c>
      <c r="C173" s="118" t="s">
        <v>5848</v>
      </c>
      <c r="D173" s="144" t="s">
        <v>381</v>
      </c>
      <c r="E173" s="72" t="s">
        <v>420</v>
      </c>
      <c r="F173" s="118"/>
      <c r="G173" s="119"/>
      <c r="H173" s="121"/>
      <c r="I173" s="121"/>
    </row>
    <row r="174" spans="1:9" x14ac:dyDescent="0.25">
      <c r="A174" s="118">
        <v>102519697</v>
      </c>
      <c r="B174" s="205" t="s">
        <v>6058</v>
      </c>
      <c r="C174" s="118" t="s">
        <v>5849</v>
      </c>
      <c r="D174" s="144" t="s">
        <v>379</v>
      </c>
      <c r="E174" s="72" t="s">
        <v>420</v>
      </c>
      <c r="F174" s="118"/>
      <c r="G174" s="119"/>
      <c r="H174" s="121"/>
      <c r="I174" s="121"/>
    </row>
    <row r="175" spans="1:9" x14ac:dyDescent="0.25">
      <c r="A175" s="118">
        <v>102519698</v>
      </c>
      <c r="B175" s="205" t="s">
        <v>6217</v>
      </c>
      <c r="C175" s="118" t="s">
        <v>5850</v>
      </c>
      <c r="D175" s="144" t="s">
        <v>379</v>
      </c>
      <c r="E175" s="72" t="s">
        <v>420</v>
      </c>
      <c r="F175" s="118"/>
      <c r="G175" s="119"/>
      <c r="H175" s="121"/>
      <c r="I175" s="121"/>
    </row>
    <row r="176" spans="1:9" x14ac:dyDescent="0.25">
      <c r="A176" s="118">
        <v>102519699</v>
      </c>
      <c r="B176" s="205" t="s">
        <v>6218</v>
      </c>
      <c r="C176" s="118" t="s">
        <v>5851</v>
      </c>
      <c r="D176" s="144" t="s">
        <v>379</v>
      </c>
      <c r="E176" s="72" t="s">
        <v>420</v>
      </c>
      <c r="F176" s="118"/>
      <c r="G176" s="119"/>
      <c r="H176" s="121"/>
      <c r="I176" s="121"/>
    </row>
    <row r="177" spans="1:9" x14ac:dyDescent="0.25">
      <c r="A177" s="118">
        <v>102519700</v>
      </c>
      <c r="B177" s="205" t="s">
        <v>6219</v>
      </c>
      <c r="C177" s="118" t="s">
        <v>5852</v>
      </c>
      <c r="D177" s="144" t="s">
        <v>381</v>
      </c>
      <c r="E177" s="72" t="s">
        <v>420</v>
      </c>
      <c r="F177" s="118"/>
      <c r="G177" s="119"/>
      <c r="H177" s="121"/>
      <c r="I177" s="121"/>
    </row>
    <row r="178" spans="1:9" x14ac:dyDescent="0.25">
      <c r="A178" s="118">
        <v>102519701</v>
      </c>
      <c r="B178" s="205" t="s">
        <v>6220</v>
      </c>
      <c r="C178" s="118" t="s">
        <v>5853</v>
      </c>
      <c r="D178" s="144" t="s">
        <v>381</v>
      </c>
      <c r="E178" s="72" t="s">
        <v>420</v>
      </c>
      <c r="F178" s="118"/>
      <c r="G178" s="119"/>
      <c r="H178" s="121"/>
      <c r="I178" s="121"/>
    </row>
    <row r="179" spans="1:9" x14ac:dyDescent="0.25">
      <c r="A179" s="118">
        <v>102519702</v>
      </c>
      <c r="B179" s="205" t="s">
        <v>6221</v>
      </c>
      <c r="C179" s="118" t="s">
        <v>5854</v>
      </c>
      <c r="D179" s="144" t="s">
        <v>381</v>
      </c>
      <c r="E179" s="72" t="s">
        <v>420</v>
      </c>
      <c r="F179" s="118"/>
      <c r="G179" s="119"/>
      <c r="H179" s="121"/>
      <c r="I179" s="121"/>
    </row>
    <row r="180" spans="1:9" x14ac:dyDescent="0.25">
      <c r="A180" s="118">
        <v>102519703</v>
      </c>
      <c r="B180" s="205" t="s">
        <v>6222</v>
      </c>
      <c r="C180" s="118" t="s">
        <v>5855</v>
      </c>
      <c r="D180" s="144" t="s">
        <v>381</v>
      </c>
      <c r="E180" s="72" t="s">
        <v>420</v>
      </c>
      <c r="F180" s="118"/>
      <c r="G180" s="119"/>
      <c r="H180" s="121"/>
      <c r="I180" s="121"/>
    </row>
    <row r="181" spans="1:9" x14ac:dyDescent="0.25">
      <c r="A181" s="118">
        <v>102519704</v>
      </c>
      <c r="B181" s="205" t="s">
        <v>6223</v>
      </c>
      <c r="C181" s="118" t="s">
        <v>5856</v>
      </c>
      <c r="D181" s="144" t="s">
        <v>379</v>
      </c>
      <c r="E181" s="72" t="s">
        <v>420</v>
      </c>
      <c r="F181" s="118"/>
      <c r="G181" s="119"/>
      <c r="H181" s="121"/>
      <c r="I181" s="121"/>
    </row>
    <row r="182" spans="1:9" x14ac:dyDescent="0.25">
      <c r="A182" s="118">
        <v>102519705</v>
      </c>
      <c r="B182" s="205" t="s">
        <v>6224</v>
      </c>
      <c r="C182" s="118" t="s">
        <v>5857</v>
      </c>
      <c r="D182" s="144" t="s">
        <v>381</v>
      </c>
      <c r="E182" s="72" t="s">
        <v>420</v>
      </c>
      <c r="F182" s="118"/>
      <c r="G182" s="119"/>
      <c r="H182" s="121"/>
      <c r="I182" s="121"/>
    </row>
    <row r="183" spans="1:9" x14ac:dyDescent="0.25">
      <c r="A183" s="118">
        <v>102519706</v>
      </c>
      <c r="B183" s="205" t="s">
        <v>6225</v>
      </c>
      <c r="C183" s="118" t="s">
        <v>5858</v>
      </c>
      <c r="D183" s="144" t="s">
        <v>381</v>
      </c>
      <c r="E183" s="72" t="s">
        <v>420</v>
      </c>
      <c r="F183" s="118"/>
      <c r="G183" s="119"/>
      <c r="H183" s="121"/>
      <c r="I183" s="121"/>
    </row>
    <row r="184" spans="1:9" x14ac:dyDescent="0.25">
      <c r="A184" s="118">
        <v>102519707</v>
      </c>
      <c r="B184" s="205" t="s">
        <v>6226</v>
      </c>
      <c r="C184" s="118" t="s">
        <v>5859</v>
      </c>
      <c r="D184" s="144" t="s">
        <v>381</v>
      </c>
      <c r="E184" s="72" t="s">
        <v>420</v>
      </c>
      <c r="F184" s="118"/>
      <c r="G184" s="119"/>
      <c r="H184" s="121"/>
      <c r="I184" s="121"/>
    </row>
    <row r="185" spans="1:9" x14ac:dyDescent="0.25">
      <c r="A185" s="118">
        <v>102519708</v>
      </c>
      <c r="B185" s="205" t="s">
        <v>6227</v>
      </c>
      <c r="C185" s="118" t="s">
        <v>5860</v>
      </c>
      <c r="D185" s="144" t="s">
        <v>381</v>
      </c>
      <c r="E185" s="72" t="s">
        <v>420</v>
      </c>
      <c r="F185" s="118"/>
      <c r="G185" s="119"/>
      <c r="H185" s="121"/>
      <c r="I185" s="121"/>
    </row>
    <row r="186" spans="1:9" x14ac:dyDescent="0.25">
      <c r="A186" s="118">
        <v>102519709</v>
      </c>
      <c r="B186" s="205" t="s">
        <v>6228</v>
      </c>
      <c r="C186" s="118" t="s">
        <v>5861</v>
      </c>
      <c r="D186" s="144" t="s">
        <v>381</v>
      </c>
      <c r="E186" s="72" t="s">
        <v>420</v>
      </c>
      <c r="F186" s="118"/>
      <c r="G186" s="119"/>
      <c r="H186" s="121"/>
      <c r="I186" s="121"/>
    </row>
    <row r="187" spans="1:9" x14ac:dyDescent="0.25">
      <c r="A187" s="118">
        <v>102519710</v>
      </c>
      <c r="B187" s="205" t="s">
        <v>6229</v>
      </c>
      <c r="C187" s="118" t="s">
        <v>5862</v>
      </c>
      <c r="D187" s="144" t="s">
        <v>381</v>
      </c>
      <c r="E187" s="72" t="s">
        <v>420</v>
      </c>
      <c r="F187" s="118"/>
      <c r="G187" s="119"/>
      <c r="H187" s="121"/>
      <c r="I187" s="121"/>
    </row>
    <row r="188" spans="1:9" x14ac:dyDescent="0.25">
      <c r="A188" s="118">
        <v>102519711</v>
      </c>
      <c r="B188" s="205" t="s">
        <v>6230</v>
      </c>
      <c r="C188" s="118" t="s">
        <v>5863</v>
      </c>
      <c r="D188" s="144" t="s">
        <v>381</v>
      </c>
      <c r="E188" s="72" t="s">
        <v>420</v>
      </c>
      <c r="F188" s="118"/>
      <c r="G188" s="119"/>
      <c r="H188" s="121"/>
      <c r="I188" s="121"/>
    </row>
    <row r="189" spans="1:9" x14ac:dyDescent="0.25">
      <c r="A189" s="118">
        <v>102519712</v>
      </c>
      <c r="B189" s="205" t="s">
        <v>6231</v>
      </c>
      <c r="C189" s="118" t="s">
        <v>5864</v>
      </c>
      <c r="D189" s="144" t="s">
        <v>381</v>
      </c>
      <c r="E189" s="72" t="s">
        <v>420</v>
      </c>
      <c r="F189" s="118"/>
      <c r="G189" s="119"/>
      <c r="H189" s="121"/>
      <c r="I189" s="121"/>
    </row>
    <row r="190" spans="1:9" x14ac:dyDescent="0.25">
      <c r="A190" s="118">
        <v>102519713</v>
      </c>
      <c r="B190" s="205" t="s">
        <v>6232</v>
      </c>
      <c r="C190" s="118" t="s">
        <v>5865</v>
      </c>
      <c r="D190" s="144" t="s">
        <v>381</v>
      </c>
      <c r="E190" s="72" t="s">
        <v>420</v>
      </c>
      <c r="F190" s="118"/>
      <c r="G190" s="119"/>
      <c r="H190" s="121"/>
      <c r="I190" s="121"/>
    </row>
    <row r="191" spans="1:9" x14ac:dyDescent="0.25">
      <c r="A191" s="118">
        <v>102519714</v>
      </c>
      <c r="B191" s="205" t="s">
        <v>6233</v>
      </c>
      <c r="C191" s="118" t="s">
        <v>5866</v>
      </c>
      <c r="D191" s="144" t="s">
        <v>381</v>
      </c>
      <c r="E191" s="72" t="s">
        <v>421</v>
      </c>
      <c r="F191" s="118"/>
      <c r="G191" s="119"/>
      <c r="H191" s="121"/>
      <c r="I191" s="121"/>
    </row>
    <row r="192" spans="1:9" x14ac:dyDescent="0.25">
      <c r="A192" s="118">
        <v>102519715</v>
      </c>
      <c r="B192" s="205" t="s">
        <v>6234</v>
      </c>
      <c r="C192" s="118" t="s">
        <v>5867</v>
      </c>
      <c r="D192" s="144" t="s">
        <v>379</v>
      </c>
      <c r="E192" s="72" t="s">
        <v>421</v>
      </c>
      <c r="F192" s="118"/>
      <c r="G192" s="119"/>
      <c r="H192" s="121"/>
      <c r="I192" s="121"/>
    </row>
    <row r="193" spans="1:11" x14ac:dyDescent="0.25">
      <c r="A193" s="118">
        <v>102519716</v>
      </c>
      <c r="B193" s="205" t="s">
        <v>6235</v>
      </c>
      <c r="C193" s="118" t="s">
        <v>5868</v>
      </c>
      <c r="D193" s="144" t="s">
        <v>381</v>
      </c>
      <c r="E193" s="72" t="s">
        <v>421</v>
      </c>
      <c r="F193" s="118"/>
      <c r="G193" s="119"/>
      <c r="H193" s="121"/>
      <c r="I193" s="121"/>
    </row>
    <row r="194" spans="1:11" x14ac:dyDescent="0.25">
      <c r="A194" s="118">
        <v>102519717</v>
      </c>
      <c r="B194" s="205" t="s">
        <v>6236</v>
      </c>
      <c r="C194" s="118" t="s">
        <v>5869</v>
      </c>
      <c r="D194" s="144" t="s">
        <v>379</v>
      </c>
      <c r="E194" s="72" t="s">
        <v>421</v>
      </c>
      <c r="F194" s="118"/>
      <c r="G194" s="119"/>
      <c r="H194" s="121"/>
    </row>
    <row r="195" spans="1:11" x14ac:dyDescent="0.25">
      <c r="A195" s="118">
        <v>102519718</v>
      </c>
      <c r="B195" s="205" t="s">
        <v>6237</v>
      </c>
      <c r="C195" s="118" t="s">
        <v>5870</v>
      </c>
      <c r="D195" s="144" t="s">
        <v>381</v>
      </c>
      <c r="E195" s="72" t="s">
        <v>421</v>
      </c>
      <c r="F195" s="118"/>
      <c r="G195" s="119"/>
      <c r="H195" s="121"/>
    </row>
    <row r="196" spans="1:11" x14ac:dyDescent="0.25">
      <c r="A196" s="118">
        <v>102519719</v>
      </c>
      <c r="B196" s="205" t="s">
        <v>6238</v>
      </c>
      <c r="C196" s="118" t="s">
        <v>5871</v>
      </c>
      <c r="D196" s="144" t="s">
        <v>379</v>
      </c>
      <c r="E196" s="72" t="s">
        <v>421</v>
      </c>
      <c r="F196" s="118"/>
      <c r="G196" s="119"/>
      <c r="H196" s="121"/>
    </row>
    <row r="197" spans="1:11" x14ac:dyDescent="0.25">
      <c r="A197" s="118">
        <v>102519720</v>
      </c>
      <c r="B197" s="205" t="s">
        <v>6239</v>
      </c>
      <c r="C197" s="118" t="s">
        <v>5872</v>
      </c>
      <c r="D197" s="144" t="s">
        <v>379</v>
      </c>
      <c r="E197" s="72" t="s">
        <v>421</v>
      </c>
      <c r="F197" s="118"/>
      <c r="G197" s="119"/>
      <c r="H197" s="121"/>
      <c r="I197" s="163"/>
      <c r="J197" s="144"/>
      <c r="K197" s="72"/>
    </row>
    <row r="198" spans="1:11" x14ac:dyDescent="0.25">
      <c r="A198" s="118">
        <v>102519721</v>
      </c>
      <c r="B198" s="205" t="s">
        <v>6240</v>
      </c>
      <c r="C198" s="118" t="s">
        <v>5873</v>
      </c>
      <c r="D198" s="144" t="s">
        <v>379</v>
      </c>
      <c r="E198" s="72" t="s">
        <v>421</v>
      </c>
      <c r="F198" s="118"/>
      <c r="G198" s="119"/>
      <c r="H198" s="121"/>
    </row>
    <row r="199" spans="1:11" x14ac:dyDescent="0.25">
      <c r="A199" s="118">
        <v>102519722</v>
      </c>
      <c r="B199" s="205" t="s">
        <v>6241</v>
      </c>
      <c r="C199" s="118" t="s">
        <v>5874</v>
      </c>
      <c r="D199" s="144" t="s">
        <v>381</v>
      </c>
      <c r="E199" s="72" t="s">
        <v>421</v>
      </c>
      <c r="F199" s="118"/>
      <c r="G199" s="119"/>
      <c r="H199" s="121"/>
      <c r="I199" s="121"/>
    </row>
    <row r="200" spans="1:11" x14ac:dyDescent="0.25">
      <c r="A200" s="118">
        <v>102519723</v>
      </c>
      <c r="B200" s="205" t="s">
        <v>6242</v>
      </c>
      <c r="C200" s="118" t="s">
        <v>5875</v>
      </c>
      <c r="D200" s="144" t="s">
        <v>381</v>
      </c>
      <c r="E200" s="72" t="s">
        <v>421</v>
      </c>
      <c r="F200" s="118"/>
      <c r="G200" s="119"/>
      <c r="H200" s="121"/>
      <c r="I200" s="121"/>
    </row>
    <row r="201" spans="1:11" x14ac:dyDescent="0.25">
      <c r="A201" s="118">
        <v>102519724</v>
      </c>
      <c r="B201" s="205" t="s">
        <v>6243</v>
      </c>
      <c r="C201" s="118" t="s">
        <v>5876</v>
      </c>
      <c r="D201" s="144" t="s">
        <v>381</v>
      </c>
      <c r="E201" s="72" t="s">
        <v>421</v>
      </c>
      <c r="F201" s="118"/>
      <c r="G201" s="119"/>
      <c r="H201" s="121"/>
      <c r="I201" s="121"/>
    </row>
    <row r="202" spans="1:11" x14ac:dyDescent="0.25">
      <c r="A202" s="118">
        <v>102519725</v>
      </c>
      <c r="B202" s="205" t="s">
        <v>6244</v>
      </c>
      <c r="C202" s="118" t="s">
        <v>5877</v>
      </c>
      <c r="D202" s="144" t="s">
        <v>381</v>
      </c>
      <c r="E202" s="72" t="s">
        <v>421</v>
      </c>
      <c r="F202" s="118"/>
      <c r="G202" s="119"/>
      <c r="H202" s="121"/>
      <c r="I202" s="121"/>
    </row>
    <row r="203" spans="1:11" x14ac:dyDescent="0.25">
      <c r="A203" s="118">
        <v>102519726</v>
      </c>
      <c r="B203" s="205" t="s">
        <v>6245</v>
      </c>
      <c r="C203" s="118" t="s">
        <v>5878</v>
      </c>
      <c r="D203" s="144" t="s">
        <v>381</v>
      </c>
      <c r="E203" s="72" t="s">
        <v>421</v>
      </c>
      <c r="F203" s="118"/>
      <c r="G203" s="119"/>
      <c r="H203" s="121"/>
      <c r="I203" s="121"/>
    </row>
    <row r="204" spans="1:11" x14ac:dyDescent="0.25">
      <c r="A204" s="118">
        <v>102519727</v>
      </c>
      <c r="B204" s="205" t="s">
        <v>6246</v>
      </c>
      <c r="C204" s="118" t="s">
        <v>5879</v>
      </c>
      <c r="D204" s="144" t="s">
        <v>381</v>
      </c>
      <c r="E204" s="72" t="s">
        <v>421</v>
      </c>
      <c r="F204" s="118"/>
      <c r="G204" s="119"/>
      <c r="H204" s="121"/>
      <c r="I204" s="121"/>
    </row>
    <row r="205" spans="1:11" x14ac:dyDescent="0.25">
      <c r="A205" s="118">
        <v>102519728</v>
      </c>
      <c r="B205" s="205" t="s">
        <v>6247</v>
      </c>
      <c r="C205" s="118" t="s">
        <v>5880</v>
      </c>
      <c r="D205" s="144" t="s">
        <v>381</v>
      </c>
      <c r="E205" s="72" t="s">
        <v>421</v>
      </c>
      <c r="F205" s="118"/>
      <c r="G205" s="119"/>
      <c r="H205" s="121"/>
      <c r="I205" s="121"/>
    </row>
    <row r="206" spans="1:11" x14ac:dyDescent="0.25">
      <c r="A206" s="118">
        <v>102519729</v>
      </c>
      <c r="B206" s="205" t="s">
        <v>6248</v>
      </c>
      <c r="C206" s="118" t="s">
        <v>5881</v>
      </c>
      <c r="D206" s="144" t="s">
        <v>381</v>
      </c>
      <c r="E206" s="72" t="s">
        <v>421</v>
      </c>
      <c r="F206" s="118"/>
      <c r="G206" s="119"/>
      <c r="H206" s="121"/>
      <c r="I206" s="121"/>
    </row>
    <row r="207" spans="1:11" x14ac:dyDescent="0.25">
      <c r="A207" s="118">
        <v>102519730</v>
      </c>
      <c r="B207" s="205" t="s">
        <v>6249</v>
      </c>
      <c r="C207" s="118" t="s">
        <v>5882</v>
      </c>
      <c r="D207" s="144" t="s">
        <v>381</v>
      </c>
      <c r="E207" s="72" t="s">
        <v>421</v>
      </c>
      <c r="F207" s="118"/>
      <c r="G207" s="119"/>
      <c r="H207" s="121"/>
      <c r="I207" s="121"/>
    </row>
    <row r="208" spans="1:11" x14ac:dyDescent="0.25">
      <c r="A208" s="118">
        <v>102519731</v>
      </c>
      <c r="B208" s="205" t="s">
        <v>6250</v>
      </c>
      <c r="C208" s="118" t="s">
        <v>5883</v>
      </c>
      <c r="D208" s="144" t="s">
        <v>381</v>
      </c>
      <c r="E208" s="72" t="s">
        <v>421</v>
      </c>
      <c r="F208" s="118"/>
      <c r="G208" s="119"/>
      <c r="H208" s="121"/>
      <c r="I208" s="121"/>
    </row>
    <row r="209" spans="1:9" x14ac:dyDescent="0.25">
      <c r="A209" s="118">
        <v>102519732</v>
      </c>
      <c r="B209" s="205" t="s">
        <v>6251</v>
      </c>
      <c r="C209" s="118" t="s">
        <v>5884</v>
      </c>
      <c r="D209" s="144" t="s">
        <v>379</v>
      </c>
      <c r="E209" s="72" t="s">
        <v>421</v>
      </c>
      <c r="F209" s="118"/>
      <c r="G209" s="119"/>
      <c r="H209" s="121"/>
      <c r="I209" s="121"/>
    </row>
    <row r="210" spans="1:9" x14ac:dyDescent="0.25">
      <c r="A210" s="118">
        <v>102519733</v>
      </c>
      <c r="B210" s="205" t="s">
        <v>6252</v>
      </c>
      <c r="C210" s="163" t="s">
        <v>5885</v>
      </c>
      <c r="D210" s="144" t="s">
        <v>379</v>
      </c>
      <c r="E210" s="72" t="s">
        <v>421</v>
      </c>
      <c r="F210" s="118"/>
      <c r="G210" s="119"/>
      <c r="H210" s="121"/>
      <c r="I210" s="121"/>
    </row>
    <row r="211" spans="1:9" x14ac:dyDescent="0.25">
      <c r="A211" s="118">
        <v>102519734</v>
      </c>
      <c r="B211" s="205" t="s">
        <v>6253</v>
      </c>
      <c r="C211" s="118" t="s">
        <v>5886</v>
      </c>
      <c r="D211" s="144" t="s">
        <v>379</v>
      </c>
      <c r="E211" s="72" t="s">
        <v>421</v>
      </c>
      <c r="F211" s="118"/>
      <c r="G211" s="119"/>
      <c r="H211" s="121"/>
      <c r="I211" s="121"/>
    </row>
    <row r="212" spans="1:9" x14ac:dyDescent="0.25">
      <c r="A212" s="118">
        <v>102519735</v>
      </c>
      <c r="B212" s="205" t="s">
        <v>6254</v>
      </c>
      <c r="C212" s="118" t="s">
        <v>5887</v>
      </c>
      <c r="D212" s="144" t="s">
        <v>379</v>
      </c>
      <c r="E212" s="72" t="s">
        <v>421</v>
      </c>
      <c r="F212" s="118"/>
      <c r="G212" s="119"/>
      <c r="H212" s="121"/>
      <c r="I212" s="121"/>
    </row>
    <row r="213" spans="1:9" x14ac:dyDescent="0.25">
      <c r="A213" s="118">
        <v>102519736</v>
      </c>
      <c r="B213" s="205" t="s">
        <v>6255</v>
      </c>
      <c r="C213" s="118" t="s">
        <v>5888</v>
      </c>
      <c r="D213" s="144" t="s">
        <v>379</v>
      </c>
      <c r="E213" s="72" t="s">
        <v>421</v>
      </c>
      <c r="F213" s="118"/>
      <c r="G213" s="119"/>
      <c r="H213" s="121"/>
      <c r="I213" s="121"/>
    </row>
    <row r="214" spans="1:9" x14ac:dyDescent="0.25">
      <c r="A214" s="118">
        <v>102519737</v>
      </c>
      <c r="B214" s="205" t="s">
        <v>6256</v>
      </c>
      <c r="C214" s="118" t="s">
        <v>5889</v>
      </c>
      <c r="D214" s="144" t="s">
        <v>381</v>
      </c>
      <c r="E214" s="72" t="s">
        <v>421</v>
      </c>
      <c r="F214" s="118"/>
      <c r="G214" s="119"/>
      <c r="H214" s="121"/>
      <c r="I214" s="121"/>
    </row>
    <row r="215" spans="1:9" x14ac:dyDescent="0.25">
      <c r="A215" s="118">
        <v>102519738</v>
      </c>
      <c r="B215" s="205" t="s">
        <v>6257</v>
      </c>
      <c r="C215" s="118" t="s">
        <v>5890</v>
      </c>
      <c r="D215" s="144" t="s">
        <v>381</v>
      </c>
      <c r="E215" s="72" t="s">
        <v>421</v>
      </c>
      <c r="F215" s="118"/>
      <c r="G215" s="119"/>
      <c r="H215" s="121"/>
      <c r="I215" s="121"/>
    </row>
    <row r="216" spans="1:9" x14ac:dyDescent="0.25">
      <c r="A216" s="118">
        <v>102519739</v>
      </c>
      <c r="B216" s="205" t="s">
        <v>6258</v>
      </c>
      <c r="C216" s="118" t="s">
        <v>5891</v>
      </c>
      <c r="D216" s="144" t="s">
        <v>379</v>
      </c>
      <c r="E216" s="72" t="s">
        <v>421</v>
      </c>
      <c r="F216" s="118"/>
      <c r="G216" s="119"/>
      <c r="H216" s="121"/>
      <c r="I216" s="121"/>
    </row>
    <row r="217" spans="1:9" x14ac:dyDescent="0.25">
      <c r="A217" s="118">
        <v>102519740</v>
      </c>
      <c r="B217" s="205" t="s">
        <v>6259</v>
      </c>
      <c r="C217" s="118" t="s">
        <v>5892</v>
      </c>
      <c r="D217" s="144" t="s">
        <v>379</v>
      </c>
      <c r="E217" s="72" t="s">
        <v>421</v>
      </c>
      <c r="F217" s="118"/>
      <c r="G217" s="119"/>
      <c r="H217" s="121"/>
      <c r="I217" s="121"/>
    </row>
    <row r="218" spans="1:9" x14ac:dyDescent="0.25">
      <c r="A218" s="118">
        <v>102519741</v>
      </c>
      <c r="B218" s="205" t="s">
        <v>6260</v>
      </c>
      <c r="C218" s="118" t="s">
        <v>5893</v>
      </c>
      <c r="D218" s="144" t="s">
        <v>381</v>
      </c>
      <c r="E218" s="72" t="s">
        <v>421</v>
      </c>
      <c r="F218" s="118"/>
      <c r="G218" s="119"/>
      <c r="H218" s="121"/>
      <c r="I218" s="121"/>
    </row>
    <row r="219" spans="1:9" x14ac:dyDescent="0.25">
      <c r="A219" s="118">
        <v>102519742</v>
      </c>
      <c r="B219" s="205" t="s">
        <v>6261</v>
      </c>
      <c r="C219" s="118" t="s">
        <v>5894</v>
      </c>
      <c r="D219" s="144" t="s">
        <v>381</v>
      </c>
      <c r="E219" s="72" t="s">
        <v>421</v>
      </c>
      <c r="F219" s="118"/>
      <c r="G219" s="119"/>
      <c r="H219" s="121"/>
      <c r="I219" s="121"/>
    </row>
    <row r="220" spans="1:9" x14ac:dyDescent="0.25">
      <c r="A220" s="118">
        <v>102519743</v>
      </c>
      <c r="B220" s="205" t="s">
        <v>6262</v>
      </c>
      <c r="C220" s="118" t="s">
        <v>5895</v>
      </c>
      <c r="D220" s="144" t="s">
        <v>379</v>
      </c>
      <c r="E220" s="72" t="s">
        <v>421</v>
      </c>
      <c r="F220" s="118"/>
      <c r="G220" s="119"/>
      <c r="H220" s="121"/>
      <c r="I220" s="121"/>
    </row>
    <row r="221" spans="1:9" x14ac:dyDescent="0.25">
      <c r="A221" s="118">
        <v>102519744</v>
      </c>
      <c r="B221" s="205" t="s">
        <v>6263</v>
      </c>
      <c r="C221" s="118" t="s">
        <v>5896</v>
      </c>
      <c r="D221" s="144" t="s">
        <v>381</v>
      </c>
      <c r="E221" s="72" t="s">
        <v>421</v>
      </c>
      <c r="F221" s="118"/>
      <c r="G221" s="119"/>
      <c r="H221" s="121"/>
      <c r="I221" s="121"/>
    </row>
    <row r="222" spans="1:9" x14ac:dyDescent="0.25">
      <c r="A222" s="118">
        <v>102519745</v>
      </c>
      <c r="B222" s="205" t="s">
        <v>6264</v>
      </c>
      <c r="C222" s="118" t="s">
        <v>5897</v>
      </c>
      <c r="D222" s="144" t="s">
        <v>381</v>
      </c>
      <c r="E222" s="72" t="s">
        <v>421</v>
      </c>
      <c r="F222" s="118"/>
      <c r="G222" s="119"/>
      <c r="H222" s="121"/>
      <c r="I222" s="121"/>
    </row>
    <row r="223" spans="1:9" x14ac:dyDescent="0.25">
      <c r="A223" s="118">
        <v>102519746</v>
      </c>
      <c r="B223" s="205" t="s">
        <v>6265</v>
      </c>
      <c r="C223" s="118" t="s">
        <v>5898</v>
      </c>
      <c r="D223" s="144" t="s">
        <v>381</v>
      </c>
      <c r="E223" s="72" t="s">
        <v>421</v>
      </c>
      <c r="F223" s="118"/>
      <c r="G223" s="119"/>
      <c r="H223" s="121"/>
      <c r="I223" s="121"/>
    </row>
    <row r="224" spans="1:9" x14ac:dyDescent="0.25">
      <c r="A224" s="118">
        <v>102519747</v>
      </c>
      <c r="B224" s="205" t="s">
        <v>6266</v>
      </c>
      <c r="C224" s="118" t="s">
        <v>5899</v>
      </c>
      <c r="D224" s="144" t="s">
        <v>381</v>
      </c>
      <c r="E224" s="72" t="s">
        <v>421</v>
      </c>
      <c r="F224" s="118"/>
      <c r="G224" s="119"/>
      <c r="H224" s="121"/>
      <c r="I224" s="121"/>
    </row>
    <row r="225" spans="1:9" x14ac:dyDescent="0.25">
      <c r="A225" s="118">
        <v>102519748</v>
      </c>
      <c r="B225" s="205" t="s">
        <v>6267</v>
      </c>
      <c r="C225" s="118" t="s">
        <v>5900</v>
      </c>
      <c r="D225" s="144" t="s">
        <v>381</v>
      </c>
      <c r="E225" s="72" t="s">
        <v>421</v>
      </c>
      <c r="F225" s="118"/>
      <c r="G225" s="119"/>
      <c r="H225" s="121"/>
      <c r="I225" s="121"/>
    </row>
    <row r="226" spans="1:9" x14ac:dyDescent="0.25">
      <c r="A226" s="118">
        <v>102519749</v>
      </c>
      <c r="B226" s="205" t="s">
        <v>6268</v>
      </c>
      <c r="C226" s="118" t="s">
        <v>5901</v>
      </c>
      <c r="D226" s="144" t="s">
        <v>379</v>
      </c>
      <c r="E226" s="72" t="s">
        <v>421</v>
      </c>
      <c r="F226" s="118"/>
      <c r="G226" s="119"/>
      <c r="H226" s="121"/>
      <c r="I226" s="121"/>
    </row>
    <row r="227" spans="1:9" x14ac:dyDescent="0.25">
      <c r="A227" s="118">
        <v>102519750</v>
      </c>
      <c r="B227" s="205" t="s">
        <v>6269</v>
      </c>
      <c r="C227" s="118" t="s">
        <v>5902</v>
      </c>
      <c r="D227" s="144" t="s">
        <v>381</v>
      </c>
      <c r="E227" s="72" t="s">
        <v>421</v>
      </c>
      <c r="F227" s="118"/>
      <c r="G227" s="119"/>
      <c r="H227" s="121"/>
      <c r="I227" s="121"/>
    </row>
    <row r="228" spans="1:9" x14ac:dyDescent="0.25">
      <c r="A228" s="118">
        <v>102519791</v>
      </c>
      <c r="B228" s="205" t="s">
        <v>5596</v>
      </c>
      <c r="C228" s="203" t="s">
        <v>5597</v>
      </c>
      <c r="D228" s="206" t="s">
        <v>379</v>
      </c>
      <c r="E228" s="53" t="s">
        <v>422</v>
      </c>
      <c r="F228" s="118"/>
      <c r="G228" s="119"/>
      <c r="H228" s="121"/>
      <c r="I228" s="121"/>
    </row>
    <row r="229" spans="1:9" x14ac:dyDescent="0.25">
      <c r="A229" s="118">
        <v>102519792</v>
      </c>
      <c r="B229" s="205" t="s">
        <v>5598</v>
      </c>
      <c r="C229" s="203" t="s">
        <v>5599</v>
      </c>
      <c r="D229" s="206" t="s">
        <v>379</v>
      </c>
      <c r="E229" s="171" t="s">
        <v>422</v>
      </c>
      <c r="F229" s="118"/>
      <c r="G229" s="119"/>
      <c r="H229" s="121"/>
      <c r="I229" s="121"/>
    </row>
    <row r="230" spans="1:9" x14ac:dyDescent="0.25">
      <c r="A230" s="118">
        <v>102519793</v>
      </c>
      <c r="B230" s="205" t="s">
        <v>5600</v>
      </c>
      <c r="C230" s="203" t="s">
        <v>5601</v>
      </c>
      <c r="D230" s="206" t="s">
        <v>379</v>
      </c>
      <c r="E230" s="53" t="s">
        <v>422</v>
      </c>
      <c r="F230" s="118"/>
      <c r="G230" s="119"/>
      <c r="H230" s="121"/>
      <c r="I230" s="121"/>
    </row>
    <row r="231" spans="1:9" x14ac:dyDescent="0.25">
      <c r="A231" s="118">
        <v>102519794</v>
      </c>
      <c r="B231" s="205" t="s">
        <v>5602</v>
      </c>
      <c r="C231" s="203" t="s">
        <v>5603</v>
      </c>
      <c r="D231" s="206" t="s">
        <v>379</v>
      </c>
      <c r="E231" s="171" t="s">
        <v>422</v>
      </c>
      <c r="F231" s="118"/>
      <c r="G231" s="119"/>
      <c r="H231" s="121"/>
      <c r="I231" s="121"/>
    </row>
    <row r="232" spans="1:9" x14ac:dyDescent="0.25">
      <c r="A232" s="118">
        <v>102519795</v>
      </c>
      <c r="B232" s="205" t="s">
        <v>5604</v>
      </c>
      <c r="C232" s="203" t="s">
        <v>5605</v>
      </c>
      <c r="D232" s="206" t="s">
        <v>379</v>
      </c>
      <c r="E232" s="53" t="s">
        <v>422</v>
      </c>
      <c r="F232" s="118"/>
      <c r="G232" s="119"/>
      <c r="H232" s="121"/>
      <c r="I232" s="121"/>
    </row>
    <row r="233" spans="1:9" x14ac:dyDescent="0.25">
      <c r="A233" s="118">
        <v>102519796</v>
      </c>
      <c r="B233" s="205" t="s">
        <v>5606</v>
      </c>
      <c r="C233" s="203" t="s">
        <v>5607</v>
      </c>
      <c r="D233" s="206" t="s">
        <v>381</v>
      </c>
      <c r="E233" s="171" t="s">
        <v>422</v>
      </c>
      <c r="F233" s="118"/>
      <c r="G233" s="119"/>
      <c r="H233" s="121"/>
      <c r="I233" s="121"/>
    </row>
    <row r="234" spans="1:9" x14ac:dyDescent="0.25">
      <c r="A234" s="118">
        <v>102519797</v>
      </c>
      <c r="B234" s="205" t="s">
        <v>5608</v>
      </c>
      <c r="C234" s="203" t="s">
        <v>5609</v>
      </c>
      <c r="D234" s="206" t="s">
        <v>381</v>
      </c>
      <c r="E234" s="53" t="s">
        <v>422</v>
      </c>
      <c r="F234" s="118"/>
      <c r="G234" s="119"/>
      <c r="H234" s="121"/>
      <c r="I234" s="121"/>
    </row>
    <row r="235" spans="1:9" x14ac:dyDescent="0.25">
      <c r="A235" s="118">
        <v>102519798</v>
      </c>
      <c r="B235" s="205" t="s">
        <v>5610</v>
      </c>
      <c r="C235" s="203" t="s">
        <v>5611</v>
      </c>
      <c r="D235" s="206" t="s">
        <v>379</v>
      </c>
      <c r="E235" s="171" t="s">
        <v>422</v>
      </c>
      <c r="F235" s="118"/>
      <c r="G235" s="119"/>
      <c r="H235" s="121"/>
      <c r="I235" s="121"/>
    </row>
    <row r="236" spans="1:9" x14ac:dyDescent="0.25">
      <c r="A236" s="118">
        <v>102519799</v>
      </c>
      <c r="B236" s="205" t="s">
        <v>5612</v>
      </c>
      <c r="C236" s="203" t="s">
        <v>5613</v>
      </c>
      <c r="D236" s="206" t="s">
        <v>379</v>
      </c>
      <c r="E236" s="53" t="s">
        <v>422</v>
      </c>
      <c r="F236" s="118"/>
      <c r="G236" s="119"/>
      <c r="H236" s="121"/>
      <c r="I236" s="121"/>
    </row>
    <row r="237" spans="1:9" x14ac:dyDescent="0.25">
      <c r="A237" s="118">
        <v>102519800</v>
      </c>
      <c r="B237" s="205" t="s">
        <v>5614</v>
      </c>
      <c r="C237" s="203" t="s">
        <v>5615</v>
      </c>
      <c r="D237" s="206" t="s">
        <v>379</v>
      </c>
      <c r="E237" s="171" t="s">
        <v>422</v>
      </c>
      <c r="F237" s="118"/>
      <c r="G237" s="119"/>
      <c r="H237" s="121"/>
      <c r="I237" s="121"/>
    </row>
    <row r="238" spans="1:9" x14ac:dyDescent="0.25">
      <c r="A238" s="118">
        <v>102519801</v>
      </c>
      <c r="B238" s="205" t="s">
        <v>5616</v>
      </c>
      <c r="C238" s="203" t="s">
        <v>5617</v>
      </c>
      <c r="D238" s="206" t="s">
        <v>379</v>
      </c>
      <c r="E238" s="53" t="s">
        <v>422</v>
      </c>
      <c r="F238" s="118"/>
      <c r="G238" s="119"/>
      <c r="H238" s="121"/>
      <c r="I238" s="121"/>
    </row>
    <row r="239" spans="1:9" x14ac:dyDescent="0.25">
      <c r="A239" s="118">
        <v>102519802</v>
      </c>
      <c r="B239" s="205" t="s">
        <v>5618</v>
      </c>
      <c r="C239" s="203" t="s">
        <v>5619</v>
      </c>
      <c r="D239" s="206" t="s">
        <v>379</v>
      </c>
      <c r="E239" s="171" t="s">
        <v>422</v>
      </c>
      <c r="F239" s="118"/>
      <c r="G239" s="119"/>
      <c r="H239" s="121"/>
      <c r="I239" s="121"/>
    </row>
    <row r="240" spans="1:9" x14ac:dyDescent="0.25">
      <c r="A240" s="118">
        <v>102519803</v>
      </c>
      <c r="B240" s="205" t="s">
        <v>5620</v>
      </c>
      <c r="C240" s="203" t="s">
        <v>5621</v>
      </c>
      <c r="D240" s="206" t="s">
        <v>379</v>
      </c>
      <c r="E240" s="53" t="s">
        <v>422</v>
      </c>
      <c r="F240" s="118"/>
      <c r="G240" s="119"/>
      <c r="H240" s="121"/>
      <c r="I240" s="121"/>
    </row>
    <row r="241" spans="1:9" x14ac:dyDescent="0.25">
      <c r="A241" s="118">
        <v>102519804</v>
      </c>
      <c r="B241" s="205" t="s">
        <v>5622</v>
      </c>
      <c r="C241" s="203" t="s">
        <v>5623</v>
      </c>
      <c r="D241" s="206" t="s">
        <v>379</v>
      </c>
      <c r="E241" s="171" t="s">
        <v>422</v>
      </c>
      <c r="F241" s="118"/>
      <c r="G241" s="119"/>
      <c r="H241" s="121"/>
      <c r="I241" s="121"/>
    </row>
    <row r="242" spans="1:9" x14ac:dyDescent="0.25">
      <c r="A242" s="118">
        <v>102519805</v>
      </c>
      <c r="B242" s="205" t="s">
        <v>5624</v>
      </c>
      <c r="C242" s="203" t="s">
        <v>5625</v>
      </c>
      <c r="D242" s="206" t="s">
        <v>379</v>
      </c>
      <c r="E242" s="53" t="s">
        <v>422</v>
      </c>
      <c r="F242" s="118"/>
      <c r="G242" s="119"/>
      <c r="H242" s="121"/>
      <c r="I242" s="121"/>
    </row>
    <row r="243" spans="1:9" x14ac:dyDescent="0.25">
      <c r="A243" s="118">
        <v>102519806</v>
      </c>
      <c r="B243" s="205" t="s">
        <v>5626</v>
      </c>
      <c r="C243" s="203" t="s">
        <v>5627</v>
      </c>
      <c r="D243" s="206" t="s">
        <v>379</v>
      </c>
      <c r="E243" s="171" t="s">
        <v>422</v>
      </c>
      <c r="F243" s="118"/>
      <c r="G243" s="119"/>
      <c r="H243" s="121"/>
      <c r="I243" s="121"/>
    </row>
    <row r="244" spans="1:9" x14ac:dyDescent="0.25">
      <c r="A244" s="118">
        <v>102519807</v>
      </c>
      <c r="B244" s="205" t="s">
        <v>5628</v>
      </c>
      <c r="C244" s="203" t="s">
        <v>5629</v>
      </c>
      <c r="D244" s="206" t="s">
        <v>379</v>
      </c>
      <c r="E244" s="53" t="s">
        <v>422</v>
      </c>
      <c r="F244" s="118"/>
      <c r="G244" s="119"/>
      <c r="H244" s="121"/>
      <c r="I244" s="121"/>
    </row>
    <row r="245" spans="1:9" x14ac:dyDescent="0.25">
      <c r="A245" s="118">
        <v>102519808</v>
      </c>
      <c r="B245" s="205" t="s">
        <v>5630</v>
      </c>
      <c r="C245" s="203" t="s">
        <v>5631</v>
      </c>
      <c r="D245" s="206" t="s">
        <v>379</v>
      </c>
      <c r="E245" s="171" t="s">
        <v>422</v>
      </c>
      <c r="F245" s="118"/>
      <c r="G245" s="119"/>
      <c r="H245" s="121"/>
      <c r="I245" s="121"/>
    </row>
    <row r="246" spans="1:9" x14ac:dyDescent="0.25">
      <c r="A246" s="118">
        <v>102519809</v>
      </c>
      <c r="B246" s="205" t="s">
        <v>5632</v>
      </c>
      <c r="C246" s="203" t="s">
        <v>5633</v>
      </c>
      <c r="D246" s="206" t="s">
        <v>379</v>
      </c>
      <c r="E246" s="53" t="s">
        <v>422</v>
      </c>
      <c r="F246" s="118"/>
      <c r="G246" s="119"/>
      <c r="H246" s="121"/>
      <c r="I246" s="121"/>
    </row>
    <row r="247" spans="1:9" x14ac:dyDescent="0.25">
      <c r="A247" s="118">
        <v>102519810</v>
      </c>
      <c r="B247" s="205" t="s">
        <v>5634</v>
      </c>
      <c r="C247" s="203" t="s">
        <v>5635</v>
      </c>
      <c r="D247" s="206" t="s">
        <v>381</v>
      </c>
      <c r="E247" s="171" t="s">
        <v>422</v>
      </c>
      <c r="F247" s="118"/>
      <c r="G247" s="119"/>
      <c r="H247" s="121"/>
      <c r="I247" s="121"/>
    </row>
    <row r="248" spans="1:9" x14ac:dyDescent="0.25">
      <c r="A248" s="118">
        <v>102519811</v>
      </c>
      <c r="B248" s="205" t="s">
        <v>5636</v>
      </c>
      <c r="C248" s="203" t="s">
        <v>5637</v>
      </c>
      <c r="D248" s="206" t="s">
        <v>381</v>
      </c>
      <c r="E248" s="53" t="s">
        <v>422</v>
      </c>
      <c r="F248" s="118"/>
      <c r="G248" s="119"/>
      <c r="H248" s="121"/>
      <c r="I248" s="121"/>
    </row>
    <row r="249" spans="1:9" x14ac:dyDescent="0.25">
      <c r="A249" s="118">
        <v>102519812</v>
      </c>
      <c r="B249" s="205" t="s">
        <v>5638</v>
      </c>
      <c r="C249" s="203" t="s">
        <v>5639</v>
      </c>
      <c r="D249" s="206" t="s">
        <v>381</v>
      </c>
      <c r="E249" s="171" t="s">
        <v>422</v>
      </c>
      <c r="F249" s="118"/>
      <c r="G249" s="119"/>
      <c r="H249" s="121"/>
      <c r="I249" s="121"/>
    </row>
    <row r="250" spans="1:9" x14ac:dyDescent="0.25">
      <c r="A250" s="118">
        <v>102519813</v>
      </c>
      <c r="B250" s="205" t="s">
        <v>5640</v>
      </c>
      <c r="C250" s="203" t="s">
        <v>5641</v>
      </c>
      <c r="D250" s="206" t="s">
        <v>381</v>
      </c>
      <c r="E250" s="53" t="s">
        <v>422</v>
      </c>
      <c r="F250" s="118"/>
      <c r="G250" s="119"/>
      <c r="H250" s="121"/>
      <c r="I250" s="121"/>
    </row>
    <row r="251" spans="1:9" x14ac:dyDescent="0.25">
      <c r="A251" s="118">
        <v>102519814</v>
      </c>
      <c r="B251" s="205" t="s">
        <v>5642</v>
      </c>
      <c r="C251" s="203" t="s">
        <v>5643</v>
      </c>
      <c r="D251" s="206" t="s">
        <v>379</v>
      </c>
      <c r="E251" s="171" t="s">
        <v>422</v>
      </c>
      <c r="F251" s="118"/>
      <c r="G251" s="119"/>
      <c r="H251" s="121"/>
      <c r="I251" s="121"/>
    </row>
    <row r="252" spans="1:9" x14ac:dyDescent="0.25">
      <c r="A252" s="118">
        <v>102519815</v>
      </c>
      <c r="B252" s="205" t="s">
        <v>5644</v>
      </c>
      <c r="C252" s="203" t="s">
        <v>5645</v>
      </c>
      <c r="D252" s="206" t="s">
        <v>379</v>
      </c>
      <c r="E252" s="53" t="s">
        <v>422</v>
      </c>
      <c r="F252" s="118"/>
      <c r="G252" s="119"/>
      <c r="H252" s="121"/>
      <c r="I252" s="121"/>
    </row>
    <row r="253" spans="1:9" x14ac:dyDescent="0.25">
      <c r="A253" s="118">
        <v>102519816</v>
      </c>
      <c r="B253" s="205"/>
      <c r="C253" s="204" t="s">
        <v>5646</v>
      </c>
      <c r="D253" s="207" t="s">
        <v>379</v>
      </c>
      <c r="E253" s="171" t="s">
        <v>422</v>
      </c>
      <c r="F253" s="118"/>
      <c r="G253" s="119"/>
      <c r="H253" s="121"/>
      <c r="I253" s="121"/>
    </row>
    <row r="254" spans="1:9" x14ac:dyDescent="0.25">
      <c r="A254" s="118">
        <v>102519817</v>
      </c>
      <c r="B254" s="205" t="s">
        <v>5647</v>
      </c>
      <c r="C254" s="203" t="s">
        <v>5648</v>
      </c>
      <c r="D254" s="206" t="s">
        <v>379</v>
      </c>
      <c r="E254" s="53" t="s">
        <v>422</v>
      </c>
      <c r="F254" s="118"/>
      <c r="G254" s="119"/>
      <c r="H254" s="121"/>
      <c r="I254" s="121"/>
    </row>
    <row r="255" spans="1:9" x14ac:dyDescent="0.25">
      <c r="A255" s="118">
        <v>102519818</v>
      </c>
      <c r="B255" s="205" t="s">
        <v>5649</v>
      </c>
      <c r="C255" s="203" t="s">
        <v>5650</v>
      </c>
      <c r="D255" s="206" t="s">
        <v>379</v>
      </c>
      <c r="E255" s="171" t="s">
        <v>422</v>
      </c>
      <c r="F255" s="118"/>
      <c r="G255" s="119"/>
      <c r="H255" s="121"/>
      <c r="I255" s="121"/>
    </row>
    <row r="256" spans="1:9" x14ac:dyDescent="0.25">
      <c r="A256" s="118">
        <v>102519819</v>
      </c>
      <c r="B256" s="205" t="s">
        <v>5651</v>
      </c>
      <c r="C256" s="203" t="s">
        <v>5652</v>
      </c>
      <c r="D256" s="206" t="s">
        <v>379</v>
      </c>
      <c r="E256" s="53" t="s">
        <v>422</v>
      </c>
      <c r="F256" s="118"/>
      <c r="G256" s="119"/>
      <c r="H256" s="121"/>
      <c r="I256" s="121"/>
    </row>
    <row r="257" spans="1:12" x14ac:dyDescent="0.25">
      <c r="A257" s="118">
        <v>102519820</v>
      </c>
      <c r="B257" s="205" t="s">
        <v>5653</v>
      </c>
      <c r="C257" s="203" t="s">
        <v>5654</v>
      </c>
      <c r="D257" s="206" t="s">
        <v>379</v>
      </c>
      <c r="E257" s="171" t="s">
        <v>422</v>
      </c>
      <c r="F257" s="118"/>
      <c r="G257" s="119"/>
      <c r="H257" s="121"/>
      <c r="I257" s="121"/>
    </row>
    <row r="258" spans="1:12" x14ac:dyDescent="0.25">
      <c r="A258" s="118">
        <v>102519821</v>
      </c>
      <c r="B258" s="205"/>
      <c r="C258" s="204" t="s">
        <v>5655</v>
      </c>
      <c r="D258" s="207" t="s">
        <v>379</v>
      </c>
      <c r="E258" s="53" t="s">
        <v>422</v>
      </c>
      <c r="F258" s="118"/>
      <c r="G258" s="119"/>
      <c r="H258" s="121"/>
      <c r="I258" s="121"/>
    </row>
    <row r="259" spans="1:12" x14ac:dyDescent="0.25">
      <c r="A259" s="118">
        <v>102519822</v>
      </c>
      <c r="B259" s="205" t="s">
        <v>5656</v>
      </c>
      <c r="C259" s="203" t="s">
        <v>5657</v>
      </c>
      <c r="D259" s="206" t="s">
        <v>379</v>
      </c>
      <c r="E259" s="171" t="s">
        <v>422</v>
      </c>
      <c r="F259" s="118"/>
      <c r="G259" s="119"/>
      <c r="H259" s="121"/>
      <c r="I259" s="121"/>
    </row>
    <row r="260" spans="1:12" x14ac:dyDescent="0.25">
      <c r="A260" s="118">
        <v>102519823</v>
      </c>
      <c r="B260" s="205" t="s">
        <v>5658</v>
      </c>
      <c r="C260" s="203" t="s">
        <v>5659</v>
      </c>
      <c r="D260" s="206" t="s">
        <v>381</v>
      </c>
      <c r="E260" s="53" t="s">
        <v>422</v>
      </c>
      <c r="F260" s="118"/>
      <c r="G260" s="119"/>
      <c r="H260" s="121"/>
      <c r="I260" s="121"/>
    </row>
    <row r="261" spans="1:12" x14ac:dyDescent="0.25">
      <c r="A261" s="118">
        <v>102519824</v>
      </c>
      <c r="B261" s="205" t="s">
        <v>5660</v>
      </c>
      <c r="C261" s="203" t="s">
        <v>5661</v>
      </c>
      <c r="D261" s="206" t="s">
        <v>381</v>
      </c>
      <c r="E261" s="171" t="s">
        <v>422</v>
      </c>
      <c r="F261" s="118"/>
      <c r="G261" s="119"/>
      <c r="H261" s="121"/>
      <c r="I261" s="121"/>
    </row>
    <row r="262" spans="1:12" x14ac:dyDescent="0.25">
      <c r="A262" s="118">
        <v>102519825</v>
      </c>
      <c r="B262" s="205"/>
      <c r="C262" s="204" t="s">
        <v>5662</v>
      </c>
      <c r="D262" s="207" t="s">
        <v>379</v>
      </c>
      <c r="E262" s="53" t="s">
        <v>422</v>
      </c>
      <c r="F262" s="118"/>
      <c r="G262" s="119"/>
      <c r="H262" s="121"/>
      <c r="I262" s="121"/>
    </row>
    <row r="263" spans="1:12" x14ac:dyDescent="0.25">
      <c r="A263" s="118">
        <v>102519826</v>
      </c>
      <c r="B263" s="205" t="s">
        <v>5663</v>
      </c>
      <c r="C263" s="203" t="s">
        <v>5664</v>
      </c>
      <c r="D263" s="206" t="s">
        <v>379</v>
      </c>
      <c r="E263" s="171" t="s">
        <v>422</v>
      </c>
      <c r="F263" s="118"/>
      <c r="G263" s="119"/>
      <c r="H263" s="121"/>
      <c r="I263" s="121"/>
    </row>
    <row r="264" spans="1:12" x14ac:dyDescent="0.25">
      <c r="A264" s="118">
        <v>102519827</v>
      </c>
      <c r="B264" s="205" t="s">
        <v>5665</v>
      </c>
      <c r="C264" s="203" t="s">
        <v>5666</v>
      </c>
      <c r="D264" s="208" t="s">
        <v>379</v>
      </c>
      <c r="E264" s="53" t="s">
        <v>422</v>
      </c>
      <c r="F264" s="118"/>
      <c r="G264" s="119"/>
      <c r="H264" s="121"/>
      <c r="I264" s="121"/>
    </row>
    <row r="265" spans="1:12" x14ac:dyDescent="0.25">
      <c r="A265" s="118">
        <v>102519828</v>
      </c>
      <c r="B265" s="205" t="s">
        <v>5667</v>
      </c>
      <c r="C265" s="203" t="s">
        <v>5668</v>
      </c>
      <c r="D265" s="208" t="s">
        <v>379</v>
      </c>
      <c r="E265" s="171" t="s">
        <v>422</v>
      </c>
      <c r="F265" s="118"/>
      <c r="G265" s="119"/>
      <c r="H265" s="121"/>
      <c r="I265" s="121"/>
    </row>
    <row r="266" spans="1:12" x14ac:dyDescent="0.25">
      <c r="A266" s="118">
        <v>102519829</v>
      </c>
      <c r="B266" s="205" t="s">
        <v>5669</v>
      </c>
      <c r="C266" s="203" t="s">
        <v>5670</v>
      </c>
      <c r="D266" s="208" t="s">
        <v>381</v>
      </c>
      <c r="E266" s="53" t="s">
        <v>422</v>
      </c>
      <c r="F266" s="118"/>
      <c r="G266" s="119"/>
      <c r="H266" s="121"/>
      <c r="I266" s="121"/>
    </row>
    <row r="267" spans="1:12" x14ac:dyDescent="0.25">
      <c r="A267" s="118">
        <v>102519830</v>
      </c>
      <c r="B267" s="205"/>
      <c r="C267" s="204" t="s">
        <v>5671</v>
      </c>
      <c r="D267" s="209" t="s">
        <v>379</v>
      </c>
      <c r="E267" s="171" t="s">
        <v>422</v>
      </c>
      <c r="F267" s="118"/>
      <c r="G267" s="119"/>
      <c r="H267" s="121"/>
      <c r="I267" s="121"/>
    </row>
    <row r="268" spans="1:12" x14ac:dyDescent="0.25">
      <c r="A268" s="118">
        <v>102519751</v>
      </c>
      <c r="B268" s="205" t="s">
        <v>5521</v>
      </c>
      <c r="C268" s="203" t="s">
        <v>5522</v>
      </c>
      <c r="D268" s="206" t="s">
        <v>379</v>
      </c>
      <c r="E268" s="171" t="s">
        <v>423</v>
      </c>
      <c r="F268" s="118"/>
      <c r="G268" s="119"/>
      <c r="H268" s="121"/>
      <c r="J268" s="18"/>
      <c r="L268" s="19"/>
    </row>
    <row r="269" spans="1:12" x14ac:dyDescent="0.25">
      <c r="A269" s="118">
        <v>102519752</v>
      </c>
      <c r="B269" s="205" t="s">
        <v>5523</v>
      </c>
      <c r="C269" s="203" t="s">
        <v>5524</v>
      </c>
      <c r="D269" s="206" t="s">
        <v>379</v>
      </c>
      <c r="E269" s="171" t="s">
        <v>423</v>
      </c>
      <c r="F269" s="118"/>
      <c r="G269" s="119"/>
      <c r="H269" s="121"/>
      <c r="J269" s="18"/>
      <c r="L269" s="19"/>
    </row>
    <row r="270" spans="1:12" x14ac:dyDescent="0.25">
      <c r="A270" s="118">
        <v>102519753</v>
      </c>
      <c r="B270" s="205" t="s">
        <v>5525</v>
      </c>
      <c r="C270" s="203" t="s">
        <v>5526</v>
      </c>
      <c r="D270" s="206" t="s">
        <v>379</v>
      </c>
      <c r="E270" s="171" t="s">
        <v>423</v>
      </c>
      <c r="F270" s="118"/>
      <c r="G270" s="119"/>
      <c r="H270" s="121"/>
      <c r="J270" s="18"/>
      <c r="L270" s="19"/>
    </row>
    <row r="271" spans="1:12" x14ac:dyDescent="0.25">
      <c r="A271" s="118">
        <v>102519754</v>
      </c>
      <c r="B271" s="205" t="s">
        <v>5527</v>
      </c>
      <c r="C271" s="203" t="s">
        <v>5528</v>
      </c>
      <c r="D271" s="206" t="s">
        <v>381</v>
      </c>
      <c r="E271" s="171" t="s">
        <v>423</v>
      </c>
      <c r="F271" s="118"/>
      <c r="G271" s="119"/>
      <c r="H271" s="121"/>
      <c r="J271" s="18"/>
      <c r="L271" s="19"/>
    </row>
    <row r="272" spans="1:12" x14ac:dyDescent="0.25">
      <c r="A272" s="118">
        <v>102519755</v>
      </c>
      <c r="B272" s="205" t="s">
        <v>5529</v>
      </c>
      <c r="C272" s="203" t="s">
        <v>5530</v>
      </c>
      <c r="D272" s="206" t="s">
        <v>379</v>
      </c>
      <c r="E272" s="171" t="s">
        <v>423</v>
      </c>
      <c r="F272" s="118"/>
      <c r="G272" s="119"/>
      <c r="H272" s="121"/>
      <c r="J272" s="18"/>
      <c r="L272" s="19"/>
    </row>
    <row r="273" spans="1:12" x14ac:dyDescent="0.25">
      <c r="A273" s="118">
        <v>102519756</v>
      </c>
      <c r="B273" s="205" t="s">
        <v>5531</v>
      </c>
      <c r="C273" s="203" t="s">
        <v>5532</v>
      </c>
      <c r="D273" s="206" t="s">
        <v>379</v>
      </c>
      <c r="E273" s="171" t="s">
        <v>423</v>
      </c>
      <c r="F273" s="118"/>
      <c r="G273" s="119"/>
      <c r="H273" s="121"/>
      <c r="J273" s="18"/>
      <c r="L273" s="19"/>
    </row>
    <row r="274" spans="1:12" x14ac:dyDescent="0.25">
      <c r="A274" s="118">
        <v>102519757</v>
      </c>
      <c r="B274" s="205" t="s">
        <v>5533</v>
      </c>
      <c r="C274" s="203" t="s">
        <v>5534</v>
      </c>
      <c r="D274" s="206" t="s">
        <v>381</v>
      </c>
      <c r="E274" s="171" t="s">
        <v>423</v>
      </c>
      <c r="F274" s="118"/>
      <c r="G274" s="119"/>
      <c r="H274" s="121"/>
      <c r="J274" s="18"/>
      <c r="L274" s="19"/>
    </row>
    <row r="275" spans="1:12" x14ac:dyDescent="0.25">
      <c r="A275" s="118">
        <v>102519758</v>
      </c>
      <c r="B275" s="205" t="s">
        <v>5535</v>
      </c>
      <c r="C275" s="203" t="s">
        <v>5536</v>
      </c>
      <c r="D275" s="206" t="s">
        <v>379</v>
      </c>
      <c r="E275" s="171" t="s">
        <v>423</v>
      </c>
      <c r="F275" s="118"/>
      <c r="G275" s="119"/>
      <c r="H275" s="121"/>
      <c r="J275" s="18"/>
      <c r="L275" s="19"/>
    </row>
    <row r="276" spans="1:12" x14ac:dyDescent="0.25">
      <c r="A276" s="118">
        <v>102519759</v>
      </c>
      <c r="B276" s="205" t="s">
        <v>5537</v>
      </c>
      <c r="C276" s="203" t="s">
        <v>5538</v>
      </c>
      <c r="D276" s="206" t="s">
        <v>379</v>
      </c>
      <c r="E276" s="171" t="s">
        <v>423</v>
      </c>
      <c r="F276" s="118"/>
      <c r="G276" s="119"/>
      <c r="H276" s="121"/>
      <c r="J276" s="18"/>
      <c r="L276" s="19"/>
    </row>
    <row r="277" spans="1:12" x14ac:dyDescent="0.25">
      <c r="A277" s="118">
        <v>102519760</v>
      </c>
      <c r="B277" s="205" t="s">
        <v>5539</v>
      </c>
      <c r="C277" s="203" t="s">
        <v>5540</v>
      </c>
      <c r="D277" s="206" t="s">
        <v>379</v>
      </c>
      <c r="E277" s="171" t="s">
        <v>423</v>
      </c>
      <c r="F277" s="118"/>
      <c r="G277" s="119"/>
      <c r="H277" s="121"/>
      <c r="J277" s="18"/>
      <c r="L277" s="19"/>
    </row>
    <row r="278" spans="1:12" x14ac:dyDescent="0.25">
      <c r="A278" s="118">
        <v>102519761</v>
      </c>
      <c r="B278" s="205" t="s">
        <v>5541</v>
      </c>
      <c r="C278" s="203" t="s">
        <v>5542</v>
      </c>
      <c r="D278" s="206" t="s">
        <v>379</v>
      </c>
      <c r="E278" s="171" t="s">
        <v>423</v>
      </c>
      <c r="F278" s="118"/>
      <c r="G278" s="119"/>
      <c r="H278" s="121"/>
      <c r="J278" s="18"/>
      <c r="L278" s="19"/>
    </row>
    <row r="279" spans="1:12" x14ac:dyDescent="0.25">
      <c r="A279" s="118">
        <v>102519762</v>
      </c>
      <c r="B279" s="205" t="s">
        <v>5543</v>
      </c>
      <c r="C279" s="203" t="s">
        <v>5544</v>
      </c>
      <c r="D279" s="206" t="s">
        <v>379</v>
      </c>
      <c r="E279" s="171" t="s">
        <v>423</v>
      </c>
      <c r="F279" s="118"/>
      <c r="G279" s="119"/>
      <c r="H279" s="121"/>
      <c r="J279" s="18"/>
      <c r="L279" s="19"/>
    </row>
    <row r="280" spans="1:12" x14ac:dyDescent="0.25">
      <c r="A280" s="118">
        <v>102519763</v>
      </c>
      <c r="B280" s="205" t="s">
        <v>5545</v>
      </c>
      <c r="C280" s="203" t="s">
        <v>5546</v>
      </c>
      <c r="D280" s="206" t="s">
        <v>379</v>
      </c>
      <c r="E280" s="171" t="s">
        <v>423</v>
      </c>
      <c r="F280" s="118"/>
      <c r="G280" s="119"/>
      <c r="H280" s="121"/>
      <c r="J280" s="18"/>
      <c r="L280" s="19"/>
    </row>
    <row r="281" spans="1:12" x14ac:dyDescent="0.25">
      <c r="A281" s="118">
        <v>102519764</v>
      </c>
      <c r="B281" s="205" t="s">
        <v>5547</v>
      </c>
      <c r="C281" s="203" t="s">
        <v>5548</v>
      </c>
      <c r="D281" s="206" t="s">
        <v>379</v>
      </c>
      <c r="E281" s="171" t="s">
        <v>423</v>
      </c>
      <c r="F281" s="118"/>
      <c r="G281" s="119"/>
      <c r="H281" s="121"/>
      <c r="J281" s="18"/>
      <c r="L281" s="19"/>
    </row>
    <row r="282" spans="1:12" x14ac:dyDescent="0.25">
      <c r="A282" s="118">
        <v>102519765</v>
      </c>
      <c r="B282" s="205" t="s">
        <v>5549</v>
      </c>
      <c r="C282" s="203" t="s">
        <v>5550</v>
      </c>
      <c r="D282" s="206" t="s">
        <v>381</v>
      </c>
      <c r="E282" s="171" t="s">
        <v>423</v>
      </c>
      <c r="F282" s="118"/>
      <c r="G282" s="119"/>
      <c r="H282" s="121"/>
      <c r="J282" s="18"/>
      <c r="L282" s="19"/>
    </row>
    <row r="283" spans="1:12" x14ac:dyDescent="0.25">
      <c r="A283" s="118">
        <v>102519766</v>
      </c>
      <c r="B283" s="205" t="s">
        <v>5551</v>
      </c>
      <c r="C283" s="203" t="s">
        <v>5552</v>
      </c>
      <c r="D283" s="206" t="s">
        <v>381</v>
      </c>
      <c r="E283" s="171" t="s">
        <v>423</v>
      </c>
      <c r="F283" s="118"/>
      <c r="G283" s="119"/>
      <c r="H283" s="121"/>
      <c r="J283" s="18"/>
      <c r="L283" s="19"/>
    </row>
    <row r="284" spans="1:12" x14ac:dyDescent="0.25">
      <c r="A284" s="118">
        <v>102519767</v>
      </c>
      <c r="B284" s="205" t="s">
        <v>5553</v>
      </c>
      <c r="C284" s="203" t="s">
        <v>3880</v>
      </c>
      <c r="D284" s="206" t="s">
        <v>379</v>
      </c>
      <c r="E284" s="171" t="s">
        <v>423</v>
      </c>
      <c r="F284" s="118"/>
      <c r="G284" s="119"/>
      <c r="H284" s="121"/>
      <c r="J284" s="18"/>
      <c r="L284" s="19"/>
    </row>
    <row r="285" spans="1:12" x14ac:dyDescent="0.25">
      <c r="A285" s="118">
        <v>102519768</v>
      </c>
      <c r="B285" s="205" t="s">
        <v>5554</v>
      </c>
      <c r="C285" s="203" t="s">
        <v>5555</v>
      </c>
      <c r="D285" s="206" t="s">
        <v>381</v>
      </c>
      <c r="E285" s="171" t="s">
        <v>423</v>
      </c>
      <c r="F285" s="118"/>
      <c r="G285" s="119"/>
      <c r="H285" s="121"/>
      <c r="J285" s="18"/>
      <c r="L285" s="19"/>
    </row>
    <row r="286" spans="1:12" x14ac:dyDescent="0.25">
      <c r="A286" s="118">
        <v>102519769</v>
      </c>
      <c r="B286" s="205" t="s">
        <v>5556</v>
      </c>
      <c r="C286" s="203" t="s">
        <v>5557</v>
      </c>
      <c r="D286" s="206" t="s">
        <v>379</v>
      </c>
      <c r="E286" s="171" t="s">
        <v>423</v>
      </c>
      <c r="F286" s="118"/>
      <c r="G286" s="119"/>
      <c r="H286" s="121"/>
      <c r="J286" s="18"/>
      <c r="L286" s="19"/>
    </row>
    <row r="287" spans="1:12" x14ac:dyDescent="0.25">
      <c r="A287" s="118">
        <v>102519770</v>
      </c>
      <c r="B287" s="205" t="s">
        <v>5558</v>
      </c>
      <c r="C287" s="203" t="s">
        <v>5559</v>
      </c>
      <c r="D287" s="206" t="s">
        <v>379</v>
      </c>
      <c r="E287" s="171" t="s">
        <v>423</v>
      </c>
      <c r="F287" s="118"/>
      <c r="G287" s="119"/>
      <c r="H287" s="121"/>
      <c r="J287" s="18"/>
      <c r="L287" s="19"/>
    </row>
    <row r="288" spans="1:12" x14ac:dyDescent="0.25">
      <c r="A288" s="118">
        <v>102519771</v>
      </c>
      <c r="B288" s="205" t="s">
        <v>5560</v>
      </c>
      <c r="C288" s="203" t="s">
        <v>5561</v>
      </c>
      <c r="D288" s="206" t="s">
        <v>379</v>
      </c>
      <c r="E288" s="171" t="s">
        <v>423</v>
      </c>
      <c r="F288" s="118"/>
      <c r="G288" s="119"/>
      <c r="H288" s="121"/>
      <c r="J288" s="18"/>
      <c r="L288" s="19"/>
    </row>
    <row r="289" spans="1:12" x14ac:dyDescent="0.25">
      <c r="A289" s="118">
        <v>102519772</v>
      </c>
      <c r="B289" s="205" t="s">
        <v>5562</v>
      </c>
      <c r="C289" s="203" t="s">
        <v>5563</v>
      </c>
      <c r="D289" s="206" t="s">
        <v>379</v>
      </c>
      <c r="E289" s="171" t="s">
        <v>423</v>
      </c>
      <c r="F289" s="118"/>
      <c r="G289" s="119"/>
      <c r="H289" s="121"/>
      <c r="J289" s="18"/>
      <c r="L289" s="19"/>
    </row>
    <row r="290" spans="1:12" x14ac:dyDescent="0.25">
      <c r="A290" s="118">
        <v>102519773</v>
      </c>
      <c r="B290" s="205" t="s">
        <v>5564</v>
      </c>
      <c r="C290" s="203" t="s">
        <v>5565</v>
      </c>
      <c r="D290" s="206" t="s">
        <v>379</v>
      </c>
      <c r="E290" s="171" t="s">
        <v>423</v>
      </c>
      <c r="F290" s="118"/>
      <c r="G290" s="119"/>
      <c r="H290" s="121"/>
      <c r="J290" s="18"/>
      <c r="L290" s="19"/>
    </row>
    <row r="291" spans="1:12" x14ac:dyDescent="0.25">
      <c r="A291" s="118">
        <v>102519774</v>
      </c>
      <c r="B291" s="205" t="s">
        <v>5566</v>
      </c>
      <c r="C291" s="203" t="s">
        <v>5567</v>
      </c>
      <c r="D291" s="206" t="s">
        <v>379</v>
      </c>
      <c r="E291" s="171" t="s">
        <v>423</v>
      </c>
      <c r="F291" s="118"/>
      <c r="G291" s="119"/>
      <c r="H291" s="121"/>
      <c r="J291" s="18"/>
      <c r="L291" s="19"/>
    </row>
    <row r="292" spans="1:12" x14ac:dyDescent="0.25">
      <c r="A292" s="118">
        <v>102519775</v>
      </c>
      <c r="B292" s="205"/>
      <c r="C292" s="204" t="s">
        <v>5568</v>
      </c>
      <c r="D292" s="206" t="s">
        <v>379</v>
      </c>
      <c r="E292" s="171" t="s">
        <v>423</v>
      </c>
      <c r="F292" s="118"/>
      <c r="G292" s="119"/>
      <c r="H292" s="121"/>
      <c r="J292" s="18"/>
      <c r="K292" s="227"/>
      <c r="L292" s="19"/>
    </row>
    <row r="293" spans="1:12" x14ac:dyDescent="0.25">
      <c r="A293" s="118">
        <v>102519776</v>
      </c>
      <c r="B293" s="205"/>
      <c r="C293" s="204" t="s">
        <v>5569</v>
      </c>
      <c r="D293" s="206" t="s">
        <v>379</v>
      </c>
      <c r="E293" s="171" t="s">
        <v>423</v>
      </c>
      <c r="F293" s="118"/>
      <c r="G293" s="119"/>
      <c r="H293" s="121"/>
      <c r="J293" s="18"/>
      <c r="K293" s="227"/>
      <c r="L293" s="19"/>
    </row>
    <row r="294" spans="1:12" x14ac:dyDescent="0.25">
      <c r="A294" s="118">
        <v>102519777</v>
      </c>
      <c r="B294" s="205" t="s">
        <v>5570</v>
      </c>
      <c r="C294" s="203" t="s">
        <v>5571</v>
      </c>
      <c r="D294" s="206" t="s">
        <v>379</v>
      </c>
      <c r="E294" s="171" t="s">
        <v>423</v>
      </c>
      <c r="F294" s="118"/>
      <c r="G294" s="119"/>
      <c r="H294" s="121"/>
      <c r="J294" s="18"/>
      <c r="L294" s="19"/>
    </row>
    <row r="295" spans="1:12" x14ac:dyDescent="0.25">
      <c r="A295" s="118">
        <v>102519778</v>
      </c>
      <c r="B295" s="205" t="s">
        <v>5572</v>
      </c>
      <c r="C295" s="203" t="s">
        <v>5573</v>
      </c>
      <c r="D295" s="206" t="s">
        <v>379</v>
      </c>
      <c r="E295" s="171" t="s">
        <v>423</v>
      </c>
      <c r="F295" s="118"/>
      <c r="G295" s="119"/>
      <c r="H295" s="121"/>
      <c r="J295" s="18"/>
      <c r="L295" s="19"/>
    </row>
    <row r="296" spans="1:12" x14ac:dyDescent="0.25">
      <c r="A296" s="118">
        <v>102519779</v>
      </c>
      <c r="B296" s="205" t="s">
        <v>5574</v>
      </c>
      <c r="C296" s="203" t="s">
        <v>5575</v>
      </c>
      <c r="D296" s="206" t="s">
        <v>379</v>
      </c>
      <c r="E296" s="171" t="s">
        <v>423</v>
      </c>
      <c r="F296" s="118"/>
      <c r="G296" s="119"/>
      <c r="H296" s="121"/>
      <c r="J296" s="18"/>
      <c r="L296" s="19"/>
    </row>
    <row r="297" spans="1:12" x14ac:dyDescent="0.25">
      <c r="A297" s="118">
        <v>102519780</v>
      </c>
      <c r="B297" s="205" t="s">
        <v>5576</v>
      </c>
      <c r="C297" s="203" t="s">
        <v>5577</v>
      </c>
      <c r="D297" s="206" t="s">
        <v>379</v>
      </c>
      <c r="E297" s="171" t="s">
        <v>423</v>
      </c>
      <c r="F297" s="118"/>
      <c r="G297" s="119"/>
      <c r="H297" s="121"/>
      <c r="J297" s="18"/>
      <c r="L297" s="19"/>
    </row>
    <row r="298" spans="1:12" x14ac:dyDescent="0.25">
      <c r="A298" s="118">
        <v>102519781</v>
      </c>
      <c r="B298" s="205" t="s">
        <v>5578</v>
      </c>
      <c r="C298" s="203" t="s">
        <v>5579</v>
      </c>
      <c r="D298" s="206" t="s">
        <v>379</v>
      </c>
      <c r="E298" s="171" t="s">
        <v>423</v>
      </c>
      <c r="F298" s="118"/>
      <c r="G298" s="119"/>
      <c r="H298" s="121"/>
      <c r="J298" s="18"/>
      <c r="L298" s="19"/>
    </row>
    <row r="299" spans="1:12" x14ac:dyDescent="0.25">
      <c r="A299" s="118">
        <v>102519782</v>
      </c>
      <c r="B299" s="205" t="s">
        <v>5580</v>
      </c>
      <c r="C299" s="203" t="s">
        <v>5581</v>
      </c>
      <c r="D299" s="206" t="s">
        <v>379</v>
      </c>
      <c r="E299" s="171" t="s">
        <v>423</v>
      </c>
      <c r="F299" s="118"/>
      <c r="G299" s="119"/>
      <c r="H299" s="121"/>
      <c r="J299" s="18"/>
      <c r="L299" s="19"/>
    </row>
    <row r="300" spans="1:12" x14ac:dyDescent="0.25">
      <c r="A300" s="118">
        <v>102519783</v>
      </c>
      <c r="B300" s="205" t="s">
        <v>5582</v>
      </c>
      <c r="C300" s="203" t="s">
        <v>5583</v>
      </c>
      <c r="D300" s="206" t="s">
        <v>379</v>
      </c>
      <c r="E300" s="171" t="s">
        <v>423</v>
      </c>
      <c r="F300" s="118"/>
      <c r="G300" s="119"/>
      <c r="H300" s="121"/>
      <c r="J300" s="18"/>
      <c r="L300" s="19"/>
    </row>
    <row r="301" spans="1:12" x14ac:dyDescent="0.25">
      <c r="A301" s="118">
        <v>102519784</v>
      </c>
      <c r="B301" s="205" t="s">
        <v>5584</v>
      </c>
      <c r="C301" s="203" t="s">
        <v>5585</v>
      </c>
      <c r="D301" s="206" t="s">
        <v>381</v>
      </c>
      <c r="E301" s="171" t="s">
        <v>423</v>
      </c>
      <c r="F301" s="118"/>
      <c r="G301" s="119"/>
      <c r="H301" s="121"/>
      <c r="J301" s="18"/>
      <c r="L301" s="19"/>
    </row>
    <row r="302" spans="1:12" x14ac:dyDescent="0.25">
      <c r="A302" s="118">
        <v>102519785</v>
      </c>
      <c r="B302" s="205" t="s">
        <v>5586</v>
      </c>
      <c r="C302" s="203" t="s">
        <v>5587</v>
      </c>
      <c r="D302" s="206" t="s">
        <v>381</v>
      </c>
      <c r="E302" s="171" t="s">
        <v>423</v>
      </c>
      <c r="F302" s="118"/>
      <c r="G302" s="119"/>
      <c r="H302" s="121"/>
      <c r="J302" s="18"/>
      <c r="L302" s="19"/>
    </row>
    <row r="303" spans="1:12" x14ac:dyDescent="0.25">
      <c r="A303" s="118">
        <v>102519786</v>
      </c>
      <c r="B303" s="205" t="s">
        <v>5588</v>
      </c>
      <c r="C303" s="203" t="s">
        <v>5589</v>
      </c>
      <c r="D303" s="206" t="s">
        <v>381</v>
      </c>
      <c r="E303" s="171" t="s">
        <v>423</v>
      </c>
      <c r="F303" s="118"/>
      <c r="G303" s="119"/>
      <c r="H303" s="121"/>
      <c r="J303" s="18"/>
      <c r="L303" s="19"/>
    </row>
    <row r="304" spans="1:12" x14ac:dyDescent="0.25">
      <c r="A304" s="118">
        <v>102519787</v>
      </c>
      <c r="B304" s="205" t="s">
        <v>5590</v>
      </c>
      <c r="C304" s="203" t="s">
        <v>5591</v>
      </c>
      <c r="D304" s="206" t="s">
        <v>381</v>
      </c>
      <c r="E304" s="171" t="s">
        <v>423</v>
      </c>
      <c r="F304" s="118"/>
      <c r="G304" s="119"/>
      <c r="H304" s="121"/>
      <c r="J304" s="18"/>
      <c r="L304" s="19"/>
    </row>
    <row r="305" spans="1:12" x14ac:dyDescent="0.25">
      <c r="A305" s="118">
        <v>102519788</v>
      </c>
      <c r="B305" s="205"/>
      <c r="C305" s="204" t="s">
        <v>5592</v>
      </c>
      <c r="D305" s="206" t="s">
        <v>379</v>
      </c>
      <c r="E305" s="171" t="s">
        <v>423</v>
      </c>
      <c r="F305" s="118"/>
      <c r="G305" s="119"/>
      <c r="H305" s="121"/>
      <c r="J305" s="18"/>
      <c r="K305" s="227"/>
      <c r="L305" s="19"/>
    </row>
    <row r="306" spans="1:12" x14ac:dyDescent="0.25">
      <c r="A306" s="118">
        <v>102519789</v>
      </c>
      <c r="B306" s="205" t="s">
        <v>5593</v>
      </c>
      <c r="C306" s="203" t="s">
        <v>5594</v>
      </c>
      <c r="D306" s="206" t="s">
        <v>381</v>
      </c>
      <c r="E306" s="171" t="s">
        <v>423</v>
      </c>
      <c r="F306" s="118"/>
      <c r="G306" s="119"/>
      <c r="H306" s="121"/>
      <c r="J306" s="18"/>
      <c r="L306" s="19"/>
    </row>
    <row r="307" spans="1:12" x14ac:dyDescent="0.25">
      <c r="A307" s="118">
        <v>102519790</v>
      </c>
      <c r="B307" s="205"/>
      <c r="C307" s="204" t="s">
        <v>5595</v>
      </c>
      <c r="D307" s="206" t="s">
        <v>379</v>
      </c>
      <c r="E307" s="171" t="s">
        <v>423</v>
      </c>
      <c r="F307" s="118"/>
      <c r="G307" s="119"/>
      <c r="H307" s="121"/>
      <c r="J307" s="18"/>
      <c r="K307" s="227"/>
      <c r="L307" s="19"/>
    </row>
    <row r="308" spans="1:12" x14ac:dyDescent="0.25">
      <c r="A308" s="118">
        <v>102519831</v>
      </c>
      <c r="B308" s="205" t="s">
        <v>6270</v>
      </c>
      <c r="C308" s="118" t="s">
        <v>5903</v>
      </c>
      <c r="D308" s="144" t="s">
        <v>379</v>
      </c>
      <c r="E308" s="72" t="s">
        <v>424</v>
      </c>
      <c r="F308" s="118"/>
      <c r="G308" s="119"/>
      <c r="H308" s="121"/>
      <c r="I308" s="121"/>
    </row>
    <row r="309" spans="1:12" x14ac:dyDescent="0.25">
      <c r="A309" s="118">
        <v>102519832</v>
      </c>
      <c r="B309" s="205" t="s">
        <v>6271</v>
      </c>
      <c r="C309" s="118" t="s">
        <v>5904</v>
      </c>
      <c r="D309" s="120" t="s">
        <v>379</v>
      </c>
      <c r="E309" s="72" t="s">
        <v>424</v>
      </c>
      <c r="F309" s="118"/>
      <c r="G309" s="119"/>
      <c r="H309" s="121"/>
      <c r="I309" s="121"/>
    </row>
    <row r="310" spans="1:12" x14ac:dyDescent="0.25">
      <c r="A310" s="118">
        <v>102519833</v>
      </c>
      <c r="B310" s="205" t="s">
        <v>6272</v>
      </c>
      <c r="C310" s="118" t="s">
        <v>5905</v>
      </c>
      <c r="D310" s="120" t="s">
        <v>379</v>
      </c>
      <c r="E310" s="72" t="s">
        <v>424</v>
      </c>
      <c r="F310" s="118"/>
      <c r="G310" s="119"/>
      <c r="H310" s="121"/>
      <c r="I310" s="121"/>
    </row>
    <row r="311" spans="1:12" x14ac:dyDescent="0.25">
      <c r="A311" s="118">
        <v>102519834</v>
      </c>
      <c r="B311" s="205" t="s">
        <v>6273</v>
      </c>
      <c r="C311" s="118" t="s">
        <v>5906</v>
      </c>
      <c r="D311" s="144" t="s">
        <v>379</v>
      </c>
      <c r="E311" s="72" t="s">
        <v>424</v>
      </c>
      <c r="F311" s="118"/>
      <c r="G311" s="119"/>
      <c r="H311" s="121"/>
      <c r="I311" s="121"/>
    </row>
    <row r="312" spans="1:12" x14ac:dyDescent="0.25">
      <c r="A312" s="118">
        <v>102519835</v>
      </c>
      <c r="B312" s="205" t="s">
        <v>6274</v>
      </c>
      <c r="C312" s="118" t="s">
        <v>5907</v>
      </c>
      <c r="D312" s="120" t="s">
        <v>379</v>
      </c>
      <c r="E312" s="72" t="s">
        <v>424</v>
      </c>
      <c r="F312" s="118"/>
      <c r="G312" s="119"/>
      <c r="H312" s="121"/>
      <c r="I312" s="121"/>
    </row>
    <row r="313" spans="1:12" x14ac:dyDescent="0.25">
      <c r="A313" s="118">
        <v>102519836</v>
      </c>
      <c r="B313" s="205" t="s">
        <v>6275</v>
      </c>
      <c r="C313" s="118" t="s">
        <v>5908</v>
      </c>
      <c r="D313" s="120" t="s">
        <v>381</v>
      </c>
      <c r="E313" s="72" t="s">
        <v>424</v>
      </c>
      <c r="F313" s="118"/>
      <c r="G313" s="119"/>
      <c r="H313" s="121"/>
      <c r="I313" s="121"/>
    </row>
    <row r="314" spans="1:12" x14ac:dyDescent="0.25">
      <c r="A314" s="118">
        <v>102519837</v>
      </c>
      <c r="B314" s="205" t="s">
        <v>6276</v>
      </c>
      <c r="C314" s="118" t="s">
        <v>5909</v>
      </c>
      <c r="D314" s="144" t="s">
        <v>379</v>
      </c>
      <c r="E314" s="72" t="s">
        <v>424</v>
      </c>
      <c r="F314" s="118"/>
      <c r="G314" s="119"/>
      <c r="H314" s="121"/>
      <c r="I314" s="121"/>
    </row>
    <row r="315" spans="1:12" x14ac:dyDescent="0.25">
      <c r="A315" s="118">
        <v>102519838</v>
      </c>
      <c r="B315" s="205" t="s">
        <v>6277</v>
      </c>
      <c r="C315" s="118" t="s">
        <v>5910</v>
      </c>
      <c r="D315" s="120" t="s">
        <v>379</v>
      </c>
      <c r="E315" s="72" t="s">
        <v>424</v>
      </c>
      <c r="F315" s="118"/>
      <c r="G315" s="119"/>
      <c r="H315" s="121"/>
      <c r="I315" s="121"/>
    </row>
    <row r="316" spans="1:12" x14ac:dyDescent="0.25">
      <c r="A316" s="118">
        <v>102519839</v>
      </c>
      <c r="B316" s="205" t="s">
        <v>6278</v>
      </c>
      <c r="C316" s="160" t="s">
        <v>5911</v>
      </c>
      <c r="D316" s="144" t="s">
        <v>379</v>
      </c>
      <c r="E316" s="72" t="s">
        <v>424</v>
      </c>
      <c r="F316" s="118"/>
      <c r="G316" s="119"/>
      <c r="H316" s="121"/>
      <c r="I316" s="121"/>
    </row>
    <row r="317" spans="1:12" x14ac:dyDescent="0.25">
      <c r="A317" s="118">
        <v>102519840</v>
      </c>
      <c r="B317" s="205" t="s">
        <v>6279</v>
      </c>
      <c r="C317" s="118" t="s">
        <v>5912</v>
      </c>
      <c r="D317" s="120" t="s">
        <v>379</v>
      </c>
      <c r="E317" s="72" t="s">
        <v>424</v>
      </c>
      <c r="F317" s="118"/>
      <c r="G317" s="119"/>
      <c r="H317" s="121"/>
      <c r="I317" s="121"/>
    </row>
    <row r="318" spans="1:12" x14ac:dyDescent="0.25">
      <c r="A318" s="118">
        <v>102519841</v>
      </c>
      <c r="B318" s="205" t="s">
        <v>6280</v>
      </c>
      <c r="C318" s="118" t="s">
        <v>5913</v>
      </c>
      <c r="D318" s="120" t="s">
        <v>379</v>
      </c>
      <c r="E318" s="72" t="s">
        <v>424</v>
      </c>
      <c r="F318" s="118"/>
      <c r="G318" s="119"/>
      <c r="H318" s="121"/>
      <c r="I318" s="121"/>
    </row>
    <row r="319" spans="1:12" x14ac:dyDescent="0.25">
      <c r="A319" s="118">
        <v>102519842</v>
      </c>
      <c r="B319" s="205" t="s">
        <v>6281</v>
      </c>
      <c r="C319" s="118" t="s">
        <v>5914</v>
      </c>
      <c r="D319" s="146" t="s">
        <v>379</v>
      </c>
      <c r="E319" s="72" t="s">
        <v>424</v>
      </c>
      <c r="F319" s="118"/>
      <c r="G319" s="119"/>
      <c r="H319" s="121"/>
      <c r="I319" s="121"/>
    </row>
    <row r="320" spans="1:12" x14ac:dyDescent="0.25">
      <c r="A320" s="118">
        <v>102519843</v>
      </c>
      <c r="B320" s="205" t="s">
        <v>6282</v>
      </c>
      <c r="C320" s="118" t="s">
        <v>5915</v>
      </c>
      <c r="D320" s="120" t="s">
        <v>379</v>
      </c>
      <c r="E320" s="72" t="s">
        <v>424</v>
      </c>
      <c r="F320" s="118"/>
      <c r="G320" s="119"/>
      <c r="H320" s="121"/>
      <c r="I320" s="121"/>
    </row>
    <row r="321" spans="1:9" x14ac:dyDescent="0.25">
      <c r="A321" s="118">
        <v>102519844</v>
      </c>
      <c r="B321" s="205" t="s">
        <v>6283</v>
      </c>
      <c r="C321" s="118" t="s">
        <v>5916</v>
      </c>
      <c r="D321" s="120" t="s">
        <v>379</v>
      </c>
      <c r="E321" s="72" t="s">
        <v>424</v>
      </c>
      <c r="F321" s="118"/>
      <c r="G321" s="119"/>
      <c r="H321" s="121"/>
      <c r="I321" s="121"/>
    </row>
    <row r="322" spans="1:9" x14ac:dyDescent="0.25">
      <c r="A322" s="118">
        <v>102519845</v>
      </c>
      <c r="B322" s="205" t="s">
        <v>6284</v>
      </c>
      <c r="C322" s="118" t="s">
        <v>5917</v>
      </c>
      <c r="D322" s="120" t="s">
        <v>381</v>
      </c>
      <c r="E322" s="72" t="s">
        <v>424</v>
      </c>
      <c r="F322" s="118"/>
      <c r="G322" s="119"/>
      <c r="H322" s="121"/>
      <c r="I322" s="121"/>
    </row>
    <row r="323" spans="1:9" x14ac:dyDescent="0.25">
      <c r="A323" s="118">
        <v>102519846</v>
      </c>
      <c r="B323" s="205" t="s">
        <v>6285</v>
      </c>
      <c r="C323" s="118" t="s">
        <v>5918</v>
      </c>
      <c r="D323" s="120" t="s">
        <v>381</v>
      </c>
      <c r="E323" s="72" t="s">
        <v>424</v>
      </c>
      <c r="F323" s="118"/>
      <c r="G323" s="119"/>
      <c r="H323" s="121"/>
      <c r="I323" s="121"/>
    </row>
    <row r="324" spans="1:9" x14ac:dyDescent="0.25">
      <c r="A324" s="118">
        <v>102519847</v>
      </c>
      <c r="B324" s="205" t="s">
        <v>6286</v>
      </c>
      <c r="C324" s="118" t="s">
        <v>5919</v>
      </c>
      <c r="D324" s="120" t="s">
        <v>379</v>
      </c>
      <c r="E324" s="72" t="s">
        <v>424</v>
      </c>
      <c r="F324" s="118"/>
      <c r="G324" s="119"/>
      <c r="H324" s="121"/>
      <c r="I324" s="121"/>
    </row>
    <row r="325" spans="1:9" x14ac:dyDescent="0.25">
      <c r="A325" s="118">
        <v>102519848</v>
      </c>
      <c r="B325" s="205" t="s">
        <v>6287</v>
      </c>
      <c r="C325" s="118" t="s">
        <v>5920</v>
      </c>
      <c r="D325" s="144" t="s">
        <v>379</v>
      </c>
      <c r="E325" s="72" t="s">
        <v>424</v>
      </c>
      <c r="F325" s="118"/>
      <c r="G325" s="119"/>
      <c r="H325" s="121"/>
      <c r="I325" s="121"/>
    </row>
    <row r="326" spans="1:9" x14ac:dyDescent="0.25">
      <c r="A326" s="118">
        <v>102519849</v>
      </c>
      <c r="B326" s="205" t="s">
        <v>6288</v>
      </c>
      <c r="C326" s="118" t="s">
        <v>5921</v>
      </c>
      <c r="D326" s="144" t="s">
        <v>379</v>
      </c>
      <c r="E326" s="72" t="s">
        <v>424</v>
      </c>
      <c r="F326" s="118"/>
      <c r="G326" s="119"/>
      <c r="H326" s="121"/>
      <c r="I326" s="121"/>
    </row>
    <row r="327" spans="1:9" x14ac:dyDescent="0.25">
      <c r="A327" s="118">
        <v>102519850</v>
      </c>
      <c r="B327" s="205" t="s">
        <v>6289</v>
      </c>
      <c r="C327" s="118" t="s">
        <v>5922</v>
      </c>
      <c r="D327" s="120" t="s">
        <v>379</v>
      </c>
      <c r="E327" s="72" t="s">
        <v>424</v>
      </c>
      <c r="F327" s="118"/>
      <c r="G327" s="119"/>
      <c r="H327" s="121"/>
      <c r="I327" s="121"/>
    </row>
    <row r="328" spans="1:9" x14ac:dyDescent="0.25">
      <c r="A328" s="118">
        <v>102519851</v>
      </c>
      <c r="B328" s="205" t="s">
        <v>6290</v>
      </c>
      <c r="C328" s="118" t="s">
        <v>5923</v>
      </c>
      <c r="D328" s="144" t="s">
        <v>379</v>
      </c>
      <c r="E328" s="72" t="s">
        <v>424</v>
      </c>
      <c r="F328" s="118"/>
      <c r="G328" s="119"/>
      <c r="H328" s="121"/>
      <c r="I328" s="121"/>
    </row>
    <row r="329" spans="1:9" x14ac:dyDescent="0.25">
      <c r="A329" s="118">
        <v>102519852</v>
      </c>
      <c r="B329" s="205" t="s">
        <v>6291</v>
      </c>
      <c r="C329" s="162" t="s">
        <v>5924</v>
      </c>
      <c r="D329" s="120" t="s">
        <v>379</v>
      </c>
      <c r="E329" s="72" t="s">
        <v>424</v>
      </c>
      <c r="F329" s="118"/>
      <c r="G329" s="119"/>
      <c r="H329" s="121"/>
      <c r="I329" s="121"/>
    </row>
    <row r="330" spans="1:9" x14ac:dyDescent="0.25">
      <c r="A330" s="118">
        <v>102519853</v>
      </c>
      <c r="B330" s="205" t="s">
        <v>6292</v>
      </c>
      <c r="C330" s="118" t="s">
        <v>5925</v>
      </c>
      <c r="D330" s="120" t="s">
        <v>379</v>
      </c>
      <c r="E330" s="72" t="s">
        <v>424</v>
      </c>
      <c r="F330" s="118"/>
      <c r="G330" s="119"/>
      <c r="H330" s="121"/>
      <c r="I330" s="121"/>
    </row>
    <row r="331" spans="1:9" x14ac:dyDescent="0.25">
      <c r="A331" s="118">
        <v>102519854</v>
      </c>
      <c r="B331" s="205" t="s">
        <v>6293</v>
      </c>
      <c r="C331" s="118" t="s">
        <v>5926</v>
      </c>
      <c r="D331" s="120" t="s">
        <v>379</v>
      </c>
      <c r="E331" s="72" t="s">
        <v>424</v>
      </c>
      <c r="F331" s="118"/>
      <c r="G331" s="119"/>
      <c r="H331" s="121"/>
      <c r="I331" s="121"/>
    </row>
    <row r="332" spans="1:9" x14ac:dyDescent="0.25">
      <c r="A332" s="118">
        <v>102519855</v>
      </c>
      <c r="B332" s="205" t="s">
        <v>6294</v>
      </c>
      <c r="C332" s="118" t="s">
        <v>5927</v>
      </c>
      <c r="D332" s="144" t="s">
        <v>379</v>
      </c>
      <c r="E332" s="72" t="s">
        <v>424</v>
      </c>
      <c r="F332" s="118"/>
      <c r="G332" s="119"/>
      <c r="H332" s="121"/>
      <c r="I332" s="121"/>
    </row>
    <row r="333" spans="1:9" x14ac:dyDescent="0.25">
      <c r="A333" s="118">
        <v>102519856</v>
      </c>
      <c r="B333" s="205" t="s">
        <v>6295</v>
      </c>
      <c r="C333" s="118" t="s">
        <v>5928</v>
      </c>
      <c r="D333" s="120" t="s">
        <v>379</v>
      </c>
      <c r="E333" s="72" t="s">
        <v>424</v>
      </c>
      <c r="F333" s="118"/>
      <c r="G333" s="119"/>
      <c r="H333" s="121"/>
      <c r="I333" s="121"/>
    </row>
    <row r="334" spans="1:9" x14ac:dyDescent="0.25">
      <c r="A334" s="118">
        <v>102519857</v>
      </c>
      <c r="B334" s="205" t="s">
        <v>6296</v>
      </c>
      <c r="C334" s="118" t="s">
        <v>5929</v>
      </c>
      <c r="D334" s="144" t="s">
        <v>381</v>
      </c>
      <c r="E334" s="72" t="s">
        <v>424</v>
      </c>
      <c r="F334" s="118"/>
      <c r="G334" s="119"/>
      <c r="H334" s="121"/>
      <c r="I334" s="121"/>
    </row>
    <row r="335" spans="1:9" x14ac:dyDescent="0.25">
      <c r="A335" s="118">
        <v>102519858</v>
      </c>
      <c r="B335" s="205" t="s">
        <v>6297</v>
      </c>
      <c r="C335" s="118" t="s">
        <v>5930</v>
      </c>
      <c r="D335" s="120" t="s">
        <v>379</v>
      </c>
      <c r="E335" s="72" t="s">
        <v>424</v>
      </c>
      <c r="F335" s="118"/>
      <c r="G335" s="119"/>
      <c r="H335" s="121"/>
      <c r="I335" s="121"/>
    </row>
    <row r="336" spans="1:9" x14ac:dyDescent="0.25">
      <c r="A336" s="118">
        <v>102519859</v>
      </c>
      <c r="B336" s="205" t="s">
        <v>6298</v>
      </c>
      <c r="C336" s="118" t="s">
        <v>5931</v>
      </c>
      <c r="D336" s="120" t="s">
        <v>379</v>
      </c>
      <c r="E336" s="72" t="s">
        <v>424</v>
      </c>
      <c r="F336" s="118"/>
      <c r="G336" s="119"/>
      <c r="H336" s="121"/>
      <c r="I336" s="121"/>
    </row>
    <row r="337" spans="1:9" x14ac:dyDescent="0.25">
      <c r="A337" s="118">
        <v>102519860</v>
      </c>
      <c r="B337" s="205" t="s">
        <v>6299</v>
      </c>
      <c r="C337" s="118" t="s">
        <v>5932</v>
      </c>
      <c r="D337" s="120" t="s">
        <v>379</v>
      </c>
      <c r="E337" s="72" t="s">
        <v>424</v>
      </c>
      <c r="F337" s="118"/>
      <c r="G337" s="119"/>
      <c r="H337" s="121"/>
      <c r="I337" s="121"/>
    </row>
    <row r="338" spans="1:9" x14ac:dyDescent="0.25">
      <c r="A338" s="118">
        <v>102519861</v>
      </c>
      <c r="B338" s="205" t="s">
        <v>6300</v>
      </c>
      <c r="C338" s="118" t="s">
        <v>5933</v>
      </c>
      <c r="D338" s="144" t="s">
        <v>379</v>
      </c>
      <c r="E338" s="72" t="s">
        <v>424</v>
      </c>
      <c r="F338" s="118"/>
      <c r="G338" s="119"/>
      <c r="H338" s="121"/>
      <c r="I338" s="121"/>
    </row>
    <row r="339" spans="1:9" x14ac:dyDescent="0.25">
      <c r="A339" s="118">
        <v>102519862</v>
      </c>
      <c r="B339" s="205" t="s">
        <v>6301</v>
      </c>
      <c r="C339" s="118" t="s">
        <v>5934</v>
      </c>
      <c r="D339" s="120" t="s">
        <v>379</v>
      </c>
      <c r="E339" s="72" t="s">
        <v>424</v>
      </c>
      <c r="F339" s="118"/>
      <c r="G339" s="119"/>
      <c r="H339" s="121"/>
      <c r="I339" s="121"/>
    </row>
    <row r="340" spans="1:9" x14ac:dyDescent="0.25">
      <c r="A340" s="118">
        <v>102519863</v>
      </c>
      <c r="B340" s="205" t="s">
        <v>6302</v>
      </c>
      <c r="C340" s="118" t="s">
        <v>5935</v>
      </c>
      <c r="D340" s="120" t="s">
        <v>381</v>
      </c>
      <c r="E340" s="72" t="s">
        <v>424</v>
      </c>
      <c r="F340" s="118"/>
      <c r="G340" s="119"/>
      <c r="H340" s="121"/>
      <c r="I340" s="121"/>
    </row>
    <row r="341" spans="1:9" x14ac:dyDescent="0.25">
      <c r="A341" s="118">
        <v>102519864</v>
      </c>
      <c r="B341" s="205" t="s">
        <v>6303</v>
      </c>
      <c r="C341" s="118" t="s">
        <v>5936</v>
      </c>
      <c r="D341" s="120" t="s">
        <v>379</v>
      </c>
      <c r="E341" s="72" t="s">
        <v>424</v>
      </c>
      <c r="F341" s="118"/>
      <c r="G341" s="119"/>
      <c r="H341" s="121"/>
      <c r="I341" s="121"/>
    </row>
    <row r="342" spans="1:9" x14ac:dyDescent="0.25">
      <c r="A342" s="118">
        <v>102519865</v>
      </c>
      <c r="B342" s="205" t="s">
        <v>6304</v>
      </c>
      <c r="C342" s="118" t="s">
        <v>5937</v>
      </c>
      <c r="D342" s="120" t="s">
        <v>381</v>
      </c>
      <c r="E342" s="72" t="s">
        <v>424</v>
      </c>
      <c r="F342" s="118"/>
      <c r="G342" s="119"/>
      <c r="H342" s="121"/>
      <c r="I342" s="121"/>
    </row>
    <row r="343" spans="1:9" x14ac:dyDescent="0.25">
      <c r="A343" s="118">
        <v>102519866</v>
      </c>
      <c r="B343" s="205" t="s">
        <v>6305</v>
      </c>
      <c r="C343" s="118" t="s">
        <v>5938</v>
      </c>
      <c r="D343" s="120" t="s">
        <v>379</v>
      </c>
      <c r="E343" s="72" t="s">
        <v>424</v>
      </c>
      <c r="F343" s="118"/>
      <c r="G343" s="119"/>
      <c r="H343" s="121"/>
      <c r="I343" s="121"/>
    </row>
    <row r="344" spans="1:9" x14ac:dyDescent="0.25">
      <c r="A344" s="118">
        <v>102519867</v>
      </c>
      <c r="B344" s="205" t="s">
        <v>6306</v>
      </c>
      <c r="C344" s="118" t="s">
        <v>5939</v>
      </c>
      <c r="D344" s="144" t="s">
        <v>381</v>
      </c>
      <c r="E344" s="72" t="s">
        <v>424</v>
      </c>
      <c r="F344" s="118"/>
      <c r="G344" s="119"/>
      <c r="H344" s="121"/>
      <c r="I344" s="121"/>
    </row>
    <row r="345" spans="1:9" x14ac:dyDescent="0.25">
      <c r="A345" s="118">
        <v>102519868</v>
      </c>
      <c r="B345" s="205" t="s">
        <v>6307</v>
      </c>
      <c r="C345" s="118" t="s">
        <v>5940</v>
      </c>
      <c r="D345" s="144" t="s">
        <v>379</v>
      </c>
      <c r="E345" s="72" t="s">
        <v>424</v>
      </c>
      <c r="F345" s="118"/>
      <c r="G345" s="119"/>
      <c r="H345" s="121"/>
      <c r="I345" s="121"/>
    </row>
    <row r="346" spans="1:9" x14ac:dyDescent="0.25">
      <c r="A346" s="118">
        <v>102519869</v>
      </c>
      <c r="B346" s="205" t="s">
        <v>6308</v>
      </c>
      <c r="C346" s="118" t="s">
        <v>5941</v>
      </c>
      <c r="D346" s="144" t="s">
        <v>379</v>
      </c>
      <c r="E346" s="72" t="s">
        <v>424</v>
      </c>
      <c r="F346" s="118"/>
      <c r="G346" s="119"/>
      <c r="H346" s="121"/>
      <c r="I346" s="121"/>
    </row>
    <row r="347" spans="1:9" x14ac:dyDescent="0.25">
      <c r="A347" s="118">
        <v>102519870</v>
      </c>
      <c r="B347" s="205"/>
      <c r="C347" s="118" t="s">
        <v>5942</v>
      </c>
      <c r="D347" s="120" t="s">
        <v>379</v>
      </c>
      <c r="E347" s="72" t="s">
        <v>425</v>
      </c>
      <c r="F347" s="118"/>
      <c r="G347" s="119"/>
      <c r="H347" s="121"/>
      <c r="I347" s="121"/>
    </row>
    <row r="348" spans="1:9" x14ac:dyDescent="0.25">
      <c r="A348" s="118">
        <v>102519871</v>
      </c>
      <c r="B348" s="205" t="s">
        <v>6309</v>
      </c>
      <c r="C348" s="118" t="s">
        <v>5943</v>
      </c>
      <c r="D348" s="120" t="s">
        <v>381</v>
      </c>
      <c r="E348" s="72" t="s">
        <v>425</v>
      </c>
      <c r="F348" s="118"/>
      <c r="G348" s="119"/>
      <c r="H348" s="121"/>
      <c r="I348" s="121"/>
    </row>
    <row r="349" spans="1:9" x14ac:dyDescent="0.25">
      <c r="A349" s="118">
        <v>102519872</v>
      </c>
      <c r="B349" s="205" t="s">
        <v>6310</v>
      </c>
      <c r="C349" s="118" t="s">
        <v>5944</v>
      </c>
      <c r="D349" s="144" t="s">
        <v>381</v>
      </c>
      <c r="E349" s="72" t="s">
        <v>425</v>
      </c>
      <c r="F349" s="118"/>
      <c r="G349" s="119"/>
      <c r="H349" s="121"/>
      <c r="I349" s="121"/>
    </row>
    <row r="350" spans="1:9" x14ac:dyDescent="0.25">
      <c r="A350" s="118">
        <v>102519873</v>
      </c>
      <c r="B350" s="205"/>
      <c r="C350" s="118" t="s">
        <v>5945</v>
      </c>
      <c r="D350" s="120" t="s">
        <v>379</v>
      </c>
      <c r="E350" s="72" t="s">
        <v>425</v>
      </c>
      <c r="F350" s="118"/>
      <c r="G350" s="119"/>
      <c r="H350" s="121"/>
      <c r="I350" s="121"/>
    </row>
    <row r="351" spans="1:9" x14ac:dyDescent="0.25">
      <c r="A351" s="118">
        <v>102519874</v>
      </c>
      <c r="B351" s="205" t="s">
        <v>6311</v>
      </c>
      <c r="C351" s="118" t="s">
        <v>5946</v>
      </c>
      <c r="D351" s="120" t="s">
        <v>379</v>
      </c>
      <c r="E351" s="72" t="s">
        <v>425</v>
      </c>
      <c r="F351" s="118"/>
      <c r="G351" s="119"/>
      <c r="H351" s="121"/>
      <c r="I351" s="121"/>
    </row>
    <row r="352" spans="1:9" x14ac:dyDescent="0.25">
      <c r="A352" s="118">
        <v>102519875</v>
      </c>
      <c r="B352" s="205" t="s">
        <v>6312</v>
      </c>
      <c r="C352" s="118" t="s">
        <v>5947</v>
      </c>
      <c r="D352" s="120" t="s">
        <v>379</v>
      </c>
      <c r="E352" s="72" t="s">
        <v>425</v>
      </c>
      <c r="F352" s="118"/>
      <c r="G352" s="119"/>
      <c r="H352" s="121"/>
      <c r="I352" s="121"/>
    </row>
    <row r="353" spans="1:9" x14ac:dyDescent="0.25">
      <c r="A353" s="118">
        <v>102519876</v>
      </c>
      <c r="B353" s="205" t="s">
        <v>6313</v>
      </c>
      <c r="C353" s="118" t="s">
        <v>5948</v>
      </c>
      <c r="D353" s="120" t="s">
        <v>379</v>
      </c>
      <c r="E353" s="72" t="s">
        <v>425</v>
      </c>
      <c r="F353" s="128"/>
      <c r="G353" s="119"/>
      <c r="H353" s="121"/>
      <c r="I353" s="121"/>
    </row>
    <row r="354" spans="1:9" x14ac:dyDescent="0.25">
      <c r="A354" s="118">
        <v>102519877</v>
      </c>
      <c r="B354" s="205" t="s">
        <v>6314</v>
      </c>
      <c r="C354" s="118" t="s">
        <v>5949</v>
      </c>
      <c r="D354" s="120" t="s">
        <v>379</v>
      </c>
      <c r="E354" s="72" t="s">
        <v>425</v>
      </c>
      <c r="F354" s="118"/>
      <c r="G354" s="119"/>
      <c r="H354" s="121"/>
      <c r="I354" s="121"/>
    </row>
    <row r="355" spans="1:9" x14ac:dyDescent="0.25">
      <c r="A355" s="118">
        <v>102519878</v>
      </c>
      <c r="B355" s="205" t="s">
        <v>6315</v>
      </c>
      <c r="C355" s="118" t="s">
        <v>5950</v>
      </c>
      <c r="D355" s="120" t="s">
        <v>381</v>
      </c>
      <c r="E355" s="72" t="s">
        <v>425</v>
      </c>
      <c r="F355" s="118"/>
      <c r="G355" s="119"/>
      <c r="H355" s="121"/>
      <c r="I355" s="121"/>
    </row>
    <row r="356" spans="1:9" x14ac:dyDescent="0.25">
      <c r="A356" s="118">
        <v>102519879</v>
      </c>
      <c r="B356" s="205" t="s">
        <v>6316</v>
      </c>
      <c r="C356" s="118" t="s">
        <v>5951</v>
      </c>
      <c r="D356" s="146" t="s">
        <v>379</v>
      </c>
      <c r="E356" s="72" t="s">
        <v>425</v>
      </c>
      <c r="F356" s="118"/>
      <c r="G356" s="119"/>
      <c r="H356" s="121"/>
      <c r="I356" s="121"/>
    </row>
    <row r="357" spans="1:9" x14ac:dyDescent="0.25">
      <c r="A357" s="118">
        <v>102519880</v>
      </c>
      <c r="B357" s="205" t="s">
        <v>6317</v>
      </c>
      <c r="C357" s="118" t="s">
        <v>5952</v>
      </c>
      <c r="D357" s="120" t="s">
        <v>379</v>
      </c>
      <c r="E357" s="72" t="s">
        <v>425</v>
      </c>
      <c r="F357" s="118"/>
      <c r="G357" s="119"/>
      <c r="H357" s="121"/>
      <c r="I357" s="121"/>
    </row>
    <row r="358" spans="1:9" x14ac:dyDescent="0.25">
      <c r="A358" s="118">
        <v>102519881</v>
      </c>
      <c r="B358" s="205" t="s">
        <v>6318</v>
      </c>
      <c r="C358" s="118" t="s">
        <v>5953</v>
      </c>
      <c r="D358" s="120" t="s">
        <v>379</v>
      </c>
      <c r="E358" s="72" t="s">
        <v>425</v>
      </c>
      <c r="F358" s="118"/>
      <c r="G358" s="119"/>
      <c r="H358" s="121"/>
      <c r="I358" s="121"/>
    </row>
    <row r="359" spans="1:9" x14ac:dyDescent="0.25">
      <c r="A359" s="118">
        <v>102519882</v>
      </c>
      <c r="B359" s="205" t="s">
        <v>6319</v>
      </c>
      <c r="C359" s="118" t="s">
        <v>5954</v>
      </c>
      <c r="D359" s="120" t="s">
        <v>379</v>
      </c>
      <c r="E359" s="72" t="s">
        <v>425</v>
      </c>
      <c r="F359" s="118"/>
      <c r="G359" s="119"/>
      <c r="H359" s="121"/>
      <c r="I359" s="121"/>
    </row>
    <row r="360" spans="1:9" x14ac:dyDescent="0.25">
      <c r="A360" s="118">
        <v>102519883</v>
      </c>
      <c r="B360" s="205"/>
      <c r="C360" s="118" t="s">
        <v>5955</v>
      </c>
      <c r="D360" s="144" t="s">
        <v>379</v>
      </c>
      <c r="E360" s="72" t="s">
        <v>425</v>
      </c>
      <c r="F360" s="118"/>
      <c r="G360" s="119"/>
      <c r="H360" s="121"/>
      <c r="I360" s="121"/>
    </row>
    <row r="361" spans="1:9" x14ac:dyDescent="0.25">
      <c r="A361" s="118">
        <v>102519884</v>
      </c>
      <c r="B361" s="205" t="s">
        <v>6320</v>
      </c>
      <c r="C361" s="118" t="s">
        <v>5956</v>
      </c>
      <c r="D361" s="120" t="s">
        <v>379</v>
      </c>
      <c r="E361" s="72" t="s">
        <v>425</v>
      </c>
      <c r="F361" s="118"/>
      <c r="G361" s="119"/>
      <c r="H361" s="121"/>
      <c r="I361" s="121"/>
    </row>
    <row r="362" spans="1:9" x14ac:dyDescent="0.25">
      <c r="A362" s="118">
        <v>102519885</v>
      </c>
      <c r="B362" s="205" t="s">
        <v>6321</v>
      </c>
      <c r="C362" s="118" t="s">
        <v>5957</v>
      </c>
      <c r="D362" s="120" t="s">
        <v>381</v>
      </c>
      <c r="E362" s="72" t="s">
        <v>425</v>
      </c>
      <c r="F362" s="118"/>
      <c r="G362" s="119"/>
      <c r="H362" s="121"/>
      <c r="I362" s="121"/>
    </row>
    <row r="363" spans="1:9" x14ac:dyDescent="0.25">
      <c r="A363" s="118">
        <v>102519886</v>
      </c>
      <c r="B363" s="205" t="s">
        <v>6322</v>
      </c>
      <c r="C363" s="118" t="s">
        <v>5958</v>
      </c>
      <c r="D363" s="120" t="s">
        <v>379</v>
      </c>
      <c r="E363" s="72" t="s">
        <v>425</v>
      </c>
      <c r="F363" s="118"/>
      <c r="G363" s="119"/>
      <c r="H363" s="121"/>
      <c r="I363" s="121"/>
    </row>
    <row r="364" spans="1:9" x14ac:dyDescent="0.25">
      <c r="A364" s="118">
        <v>102519887</v>
      </c>
      <c r="B364" s="205" t="s">
        <v>6323</v>
      </c>
      <c r="C364" s="118" t="s">
        <v>5959</v>
      </c>
      <c r="D364" s="120" t="s">
        <v>379</v>
      </c>
      <c r="E364" s="72" t="s">
        <v>425</v>
      </c>
      <c r="F364" s="118"/>
      <c r="G364" s="119"/>
      <c r="H364" s="121"/>
      <c r="I364" s="121"/>
    </row>
    <row r="365" spans="1:9" x14ac:dyDescent="0.25">
      <c r="A365" s="118">
        <v>102519888</v>
      </c>
      <c r="B365" s="205" t="s">
        <v>6324</v>
      </c>
      <c r="C365" s="118" t="s">
        <v>5960</v>
      </c>
      <c r="D365" s="120" t="s">
        <v>381</v>
      </c>
      <c r="E365" s="72" t="s">
        <v>425</v>
      </c>
      <c r="F365" s="118"/>
      <c r="G365" s="119"/>
      <c r="H365" s="121"/>
      <c r="I365" s="121"/>
    </row>
    <row r="366" spans="1:9" x14ac:dyDescent="0.25">
      <c r="A366" s="118">
        <v>102519889</v>
      </c>
      <c r="B366" s="205" t="s">
        <v>6325</v>
      </c>
      <c r="C366" s="118" t="s">
        <v>5961</v>
      </c>
      <c r="D366" s="144" t="s">
        <v>379</v>
      </c>
      <c r="E366" s="72" t="s">
        <v>425</v>
      </c>
      <c r="F366" s="118"/>
      <c r="G366" s="119"/>
      <c r="H366" s="121"/>
      <c r="I366" s="121"/>
    </row>
    <row r="367" spans="1:9" x14ac:dyDescent="0.25">
      <c r="A367" s="118">
        <v>102519890</v>
      </c>
      <c r="B367" s="205" t="s">
        <v>6326</v>
      </c>
      <c r="C367" s="118" t="s">
        <v>5962</v>
      </c>
      <c r="D367" s="120" t="s">
        <v>379</v>
      </c>
      <c r="E367" s="72" t="s">
        <v>425</v>
      </c>
      <c r="F367" s="118"/>
      <c r="G367" s="119"/>
      <c r="H367" s="121"/>
      <c r="I367" s="121"/>
    </row>
    <row r="368" spans="1:9" x14ac:dyDescent="0.25">
      <c r="A368" s="118">
        <v>102519891</v>
      </c>
      <c r="B368" s="205" t="s">
        <v>6327</v>
      </c>
      <c r="C368" s="118" t="s">
        <v>5963</v>
      </c>
      <c r="D368" s="144" t="s">
        <v>379</v>
      </c>
      <c r="E368" s="72" t="s">
        <v>425</v>
      </c>
      <c r="F368" s="118"/>
      <c r="G368" s="119"/>
      <c r="H368" s="121"/>
      <c r="I368" s="121"/>
    </row>
    <row r="369" spans="1:9" x14ac:dyDescent="0.25">
      <c r="A369" s="118">
        <v>102519892</v>
      </c>
      <c r="B369" s="205" t="s">
        <v>6328</v>
      </c>
      <c r="C369" s="118" t="s">
        <v>5964</v>
      </c>
      <c r="D369" s="120" t="s">
        <v>379</v>
      </c>
      <c r="E369" s="72" t="s">
        <v>425</v>
      </c>
      <c r="F369" s="118"/>
      <c r="G369" s="119"/>
      <c r="H369" s="121"/>
      <c r="I369" s="121"/>
    </row>
    <row r="370" spans="1:9" x14ac:dyDescent="0.25">
      <c r="A370" s="118">
        <v>102519893</v>
      </c>
      <c r="B370" s="205" t="s">
        <v>6329</v>
      </c>
      <c r="C370" s="118" t="s">
        <v>5965</v>
      </c>
      <c r="D370" s="120" t="s">
        <v>379</v>
      </c>
      <c r="E370" s="72" t="s">
        <v>425</v>
      </c>
      <c r="F370" s="118"/>
      <c r="G370" s="119"/>
      <c r="H370" s="121"/>
      <c r="I370" s="121"/>
    </row>
    <row r="371" spans="1:9" x14ac:dyDescent="0.25">
      <c r="A371" s="118">
        <v>102519894</v>
      </c>
      <c r="B371" s="205" t="s">
        <v>6330</v>
      </c>
      <c r="C371" s="118" t="s">
        <v>5966</v>
      </c>
      <c r="D371" s="120" t="s">
        <v>379</v>
      </c>
      <c r="E371" s="72" t="s">
        <v>425</v>
      </c>
      <c r="F371" s="118"/>
      <c r="G371" s="119"/>
      <c r="H371" s="121"/>
      <c r="I371" s="121"/>
    </row>
    <row r="372" spans="1:9" x14ac:dyDescent="0.25">
      <c r="A372" s="118">
        <v>102519895</v>
      </c>
      <c r="B372" s="205"/>
      <c r="C372" s="118" t="s">
        <v>5967</v>
      </c>
      <c r="D372" s="120" t="s">
        <v>379</v>
      </c>
      <c r="E372" s="72" t="s">
        <v>425</v>
      </c>
      <c r="F372" s="118"/>
      <c r="G372" s="119"/>
      <c r="H372" s="121"/>
      <c r="I372" s="121"/>
    </row>
    <row r="373" spans="1:9" x14ac:dyDescent="0.25">
      <c r="A373" s="118">
        <v>102519896</v>
      </c>
      <c r="B373" s="205" t="s">
        <v>6331</v>
      </c>
      <c r="C373" s="118" t="s">
        <v>5968</v>
      </c>
      <c r="D373" s="144" t="s">
        <v>379</v>
      </c>
      <c r="E373" s="72" t="s">
        <v>425</v>
      </c>
      <c r="F373" s="118"/>
      <c r="G373" s="119"/>
      <c r="H373" s="121"/>
      <c r="I373" s="121"/>
    </row>
    <row r="374" spans="1:9" x14ac:dyDescent="0.25">
      <c r="A374" s="118">
        <v>102519897</v>
      </c>
      <c r="B374" s="205"/>
      <c r="C374" s="118" t="s">
        <v>5969</v>
      </c>
      <c r="D374" s="144" t="s">
        <v>379</v>
      </c>
      <c r="E374" s="72" t="s">
        <v>425</v>
      </c>
      <c r="F374" s="118"/>
      <c r="G374" s="119"/>
      <c r="H374" s="121"/>
      <c r="I374" s="121"/>
    </row>
    <row r="375" spans="1:9" x14ac:dyDescent="0.25">
      <c r="A375" s="118">
        <v>102519898</v>
      </c>
      <c r="B375" s="205" t="s">
        <v>6332</v>
      </c>
      <c r="C375" s="118" t="s">
        <v>5970</v>
      </c>
      <c r="D375" s="120" t="s">
        <v>381</v>
      </c>
      <c r="E375" s="72" t="s">
        <v>425</v>
      </c>
      <c r="F375" s="118"/>
      <c r="G375" s="119"/>
      <c r="H375" s="121"/>
      <c r="I375" s="121"/>
    </row>
    <row r="376" spans="1:9" x14ac:dyDescent="0.25">
      <c r="A376" s="118">
        <v>102519899</v>
      </c>
      <c r="B376" s="205" t="s">
        <v>6333</v>
      </c>
      <c r="C376" s="118" t="s">
        <v>5971</v>
      </c>
      <c r="D376" s="120" t="s">
        <v>379</v>
      </c>
      <c r="E376" s="72" t="s">
        <v>425</v>
      </c>
      <c r="F376" s="118"/>
      <c r="G376" s="119"/>
      <c r="H376" s="121"/>
      <c r="I376" s="121"/>
    </row>
    <row r="377" spans="1:9" x14ac:dyDescent="0.25">
      <c r="A377" s="118">
        <v>102519900</v>
      </c>
      <c r="B377" s="205" t="s">
        <v>6334</v>
      </c>
      <c r="C377" s="118" t="s">
        <v>5972</v>
      </c>
      <c r="D377" s="120" t="s">
        <v>379</v>
      </c>
      <c r="E377" s="72" t="s">
        <v>425</v>
      </c>
      <c r="F377" s="118"/>
      <c r="G377" s="119"/>
      <c r="H377" s="121"/>
      <c r="I377" s="121"/>
    </row>
    <row r="378" spans="1:9" x14ac:dyDescent="0.25">
      <c r="A378" s="118">
        <v>102519901</v>
      </c>
      <c r="B378" s="205" t="s">
        <v>6335</v>
      </c>
      <c r="C378" s="118" t="s">
        <v>5973</v>
      </c>
      <c r="D378" s="120" t="s">
        <v>379</v>
      </c>
      <c r="E378" s="72" t="s">
        <v>425</v>
      </c>
      <c r="F378" s="118"/>
      <c r="G378" s="119"/>
      <c r="H378" s="121"/>
      <c r="I378" s="121"/>
    </row>
    <row r="379" spans="1:9" x14ac:dyDescent="0.25">
      <c r="A379" s="118">
        <v>102519902</v>
      </c>
      <c r="B379" s="205" t="s">
        <v>6336</v>
      </c>
      <c r="C379" s="118" t="s">
        <v>5974</v>
      </c>
      <c r="D379" s="120" t="s">
        <v>379</v>
      </c>
      <c r="E379" s="72" t="s">
        <v>425</v>
      </c>
      <c r="F379" s="118"/>
      <c r="G379" s="119"/>
      <c r="H379" s="121"/>
      <c r="I379" s="121"/>
    </row>
    <row r="380" spans="1:9" x14ac:dyDescent="0.25">
      <c r="A380" s="118">
        <v>102519903</v>
      </c>
      <c r="B380" s="205" t="s">
        <v>6337</v>
      </c>
      <c r="C380" s="118" t="s">
        <v>5975</v>
      </c>
      <c r="D380" s="120" t="s">
        <v>379</v>
      </c>
      <c r="E380" s="72" t="s">
        <v>425</v>
      </c>
      <c r="F380" s="118"/>
      <c r="G380" s="119"/>
      <c r="H380" s="121"/>
      <c r="I380" s="121"/>
    </row>
    <row r="381" spans="1:9" x14ac:dyDescent="0.25">
      <c r="A381" s="118">
        <v>102519904</v>
      </c>
      <c r="B381" s="205" t="s">
        <v>6338</v>
      </c>
      <c r="C381" s="118" t="s">
        <v>4672</v>
      </c>
      <c r="D381" s="120" t="s">
        <v>379</v>
      </c>
      <c r="E381" s="72" t="s">
        <v>425</v>
      </c>
      <c r="F381" s="118"/>
      <c r="G381" s="119"/>
      <c r="H381" s="121"/>
      <c r="I381" s="121"/>
    </row>
    <row r="382" spans="1:9" x14ac:dyDescent="0.25">
      <c r="A382" s="118">
        <v>102519905</v>
      </c>
      <c r="B382" s="205" t="s">
        <v>6339</v>
      </c>
      <c r="C382" s="118" t="s">
        <v>5976</v>
      </c>
      <c r="D382" s="120" t="s">
        <v>379</v>
      </c>
      <c r="E382" s="72" t="s">
        <v>425</v>
      </c>
      <c r="F382" s="118"/>
      <c r="G382" s="119"/>
      <c r="H382" s="121"/>
      <c r="I382" s="121"/>
    </row>
    <row r="383" spans="1:9" x14ac:dyDescent="0.25">
      <c r="A383" s="118">
        <v>102519906</v>
      </c>
      <c r="B383" s="205" t="s">
        <v>6340</v>
      </c>
      <c r="C383" s="118" t="s">
        <v>5977</v>
      </c>
      <c r="D383" s="120" t="s">
        <v>379</v>
      </c>
      <c r="E383" s="72" t="s">
        <v>425</v>
      </c>
      <c r="F383" s="118"/>
      <c r="G383" s="119"/>
      <c r="H383" s="121"/>
      <c r="I383" s="121"/>
    </row>
    <row r="384" spans="1:9" x14ac:dyDescent="0.25">
      <c r="A384" s="118">
        <v>102519907</v>
      </c>
      <c r="B384" s="205" t="s">
        <v>6341</v>
      </c>
      <c r="C384" s="118" t="s">
        <v>5978</v>
      </c>
      <c r="D384" s="120" t="s">
        <v>379</v>
      </c>
      <c r="E384" s="72" t="s">
        <v>425</v>
      </c>
      <c r="F384" s="118"/>
      <c r="G384" s="119"/>
      <c r="H384" s="121"/>
      <c r="I384" s="121"/>
    </row>
    <row r="385" spans="1:9" x14ac:dyDescent="0.25">
      <c r="A385" s="118">
        <v>102519908</v>
      </c>
      <c r="B385" s="205" t="s">
        <v>6342</v>
      </c>
      <c r="C385" s="118" t="s">
        <v>5979</v>
      </c>
      <c r="D385" s="120" t="s">
        <v>379</v>
      </c>
      <c r="E385" s="72" t="s">
        <v>425</v>
      </c>
      <c r="F385" s="118"/>
      <c r="G385" s="119"/>
      <c r="H385" s="121"/>
      <c r="I385" s="121"/>
    </row>
    <row r="386" spans="1:9" x14ac:dyDescent="0.25">
      <c r="A386" s="118">
        <v>102519909</v>
      </c>
      <c r="B386" s="205"/>
      <c r="C386" s="118" t="s">
        <v>5980</v>
      </c>
      <c r="D386" s="144" t="s">
        <v>381</v>
      </c>
      <c r="E386" s="72" t="s">
        <v>425</v>
      </c>
      <c r="F386" s="118"/>
      <c r="G386" s="119"/>
      <c r="H386" s="121"/>
      <c r="I386" s="121"/>
    </row>
    <row r="387" spans="1:9" x14ac:dyDescent="0.25">
      <c r="A387" s="118">
        <v>102519910</v>
      </c>
      <c r="B387" s="205" t="s">
        <v>6343</v>
      </c>
      <c r="C387" s="118" t="s">
        <v>5981</v>
      </c>
      <c r="D387" s="205" t="s">
        <v>379</v>
      </c>
      <c r="E387" s="72" t="s">
        <v>426</v>
      </c>
      <c r="F387" s="118"/>
      <c r="G387" s="119"/>
      <c r="H387" s="121"/>
      <c r="I387" s="121"/>
    </row>
    <row r="388" spans="1:9" x14ac:dyDescent="0.25">
      <c r="A388" s="118">
        <v>102519911</v>
      </c>
      <c r="B388" s="205" t="s">
        <v>6344</v>
      </c>
      <c r="C388" s="118" t="s">
        <v>5982</v>
      </c>
      <c r="D388" s="210" t="s">
        <v>381</v>
      </c>
      <c r="E388" s="72" t="s">
        <v>426</v>
      </c>
      <c r="F388" s="118"/>
      <c r="G388" s="119"/>
      <c r="H388" s="121"/>
      <c r="I388" s="121"/>
    </row>
    <row r="389" spans="1:9" x14ac:dyDescent="0.25">
      <c r="A389" s="118">
        <v>102519912</v>
      </c>
      <c r="B389" s="205" t="s">
        <v>6345</v>
      </c>
      <c r="C389" s="203" t="s">
        <v>5983</v>
      </c>
      <c r="D389" s="184" t="s">
        <v>379</v>
      </c>
      <c r="E389" s="72" t="s">
        <v>426</v>
      </c>
      <c r="F389" s="203"/>
      <c r="G389" s="211"/>
      <c r="H389" s="121"/>
      <c r="I389" s="121"/>
    </row>
    <row r="390" spans="1:9" x14ac:dyDescent="0.25">
      <c r="A390" s="118">
        <v>102519913</v>
      </c>
      <c r="B390" s="205" t="s">
        <v>6346</v>
      </c>
      <c r="C390" s="203" t="s">
        <v>5984</v>
      </c>
      <c r="D390" s="212" t="s">
        <v>379</v>
      </c>
      <c r="E390" s="72" t="s">
        <v>426</v>
      </c>
      <c r="F390" s="203"/>
      <c r="G390" s="211"/>
      <c r="H390" s="121"/>
      <c r="I390" s="121"/>
    </row>
    <row r="391" spans="1:9" x14ac:dyDescent="0.25">
      <c r="A391" s="118">
        <v>102519914</v>
      </c>
      <c r="B391" s="205" t="s">
        <v>6347</v>
      </c>
      <c r="C391" s="203" t="s">
        <v>5985</v>
      </c>
      <c r="D391" s="184" t="s">
        <v>379</v>
      </c>
      <c r="E391" s="72" t="s">
        <v>426</v>
      </c>
      <c r="F391" s="203"/>
      <c r="G391" s="203"/>
    </row>
    <row r="392" spans="1:9" x14ac:dyDescent="0.25">
      <c r="A392" s="118">
        <v>102519915</v>
      </c>
      <c r="B392" s="205" t="s">
        <v>6348</v>
      </c>
      <c r="C392" s="203" t="s">
        <v>5986</v>
      </c>
      <c r="D392" s="184" t="s">
        <v>379</v>
      </c>
      <c r="E392" s="72" t="s">
        <v>426</v>
      </c>
      <c r="F392" s="203"/>
      <c r="G392" s="203"/>
    </row>
    <row r="393" spans="1:9" x14ac:dyDescent="0.25">
      <c r="A393" s="118">
        <v>102519916</v>
      </c>
      <c r="B393" s="205"/>
      <c r="C393" s="203" t="s">
        <v>5987</v>
      </c>
      <c r="D393" s="184" t="s">
        <v>381</v>
      </c>
      <c r="E393" s="72" t="s">
        <v>426</v>
      </c>
      <c r="F393" s="203"/>
      <c r="G393" s="203"/>
    </row>
    <row r="394" spans="1:9" x14ac:dyDescent="0.25">
      <c r="A394" s="118">
        <v>102519917</v>
      </c>
      <c r="B394" s="205"/>
      <c r="C394" s="203" t="s">
        <v>5988</v>
      </c>
      <c r="D394" s="184" t="s">
        <v>379</v>
      </c>
      <c r="E394" s="72" t="s">
        <v>426</v>
      </c>
      <c r="F394" s="203"/>
      <c r="G394" s="203"/>
    </row>
    <row r="395" spans="1:9" x14ac:dyDescent="0.25">
      <c r="A395" s="118">
        <v>102519918</v>
      </c>
      <c r="B395" s="205" t="s">
        <v>6349</v>
      </c>
      <c r="C395" s="203" t="s">
        <v>5989</v>
      </c>
      <c r="D395" s="184" t="s">
        <v>379</v>
      </c>
      <c r="E395" s="72" t="s">
        <v>426</v>
      </c>
      <c r="F395" s="203"/>
      <c r="G395" s="203"/>
    </row>
    <row r="396" spans="1:9" x14ac:dyDescent="0.25">
      <c r="A396" s="118">
        <v>102519919</v>
      </c>
      <c r="B396" s="205" t="s">
        <v>6350</v>
      </c>
      <c r="C396" s="203" t="s">
        <v>5990</v>
      </c>
      <c r="D396" s="184" t="s">
        <v>379</v>
      </c>
      <c r="E396" s="72" t="s">
        <v>426</v>
      </c>
      <c r="F396" s="203"/>
      <c r="G396" s="203"/>
    </row>
    <row r="397" spans="1:9" x14ac:dyDescent="0.25">
      <c r="A397" s="118">
        <v>102519920</v>
      </c>
      <c r="B397" s="205" t="s">
        <v>6351</v>
      </c>
      <c r="C397" s="203" t="s">
        <v>5991</v>
      </c>
      <c r="D397" s="184" t="s">
        <v>379</v>
      </c>
      <c r="E397" s="72" t="s">
        <v>426</v>
      </c>
      <c r="F397" s="203"/>
      <c r="G397" s="203"/>
    </row>
    <row r="398" spans="1:9" x14ac:dyDescent="0.25">
      <c r="A398" s="118">
        <v>102519921</v>
      </c>
      <c r="B398" s="205" t="s">
        <v>6352</v>
      </c>
      <c r="C398" s="203" t="s">
        <v>5992</v>
      </c>
      <c r="D398" s="184" t="s">
        <v>379</v>
      </c>
      <c r="E398" s="72" t="s">
        <v>426</v>
      </c>
      <c r="F398" s="203"/>
      <c r="G398" s="203"/>
    </row>
    <row r="399" spans="1:9" x14ac:dyDescent="0.25">
      <c r="A399" s="118">
        <v>102519922</v>
      </c>
      <c r="B399" s="205" t="s">
        <v>6353</v>
      </c>
      <c r="C399" s="203" t="s">
        <v>5993</v>
      </c>
      <c r="D399" s="184" t="s">
        <v>379</v>
      </c>
      <c r="E399" s="72" t="s">
        <v>426</v>
      </c>
      <c r="F399" s="203"/>
      <c r="G399" s="203"/>
    </row>
    <row r="400" spans="1:9" x14ac:dyDescent="0.25">
      <c r="A400" s="118">
        <v>102519923</v>
      </c>
      <c r="B400" s="205" t="s">
        <v>6354</v>
      </c>
      <c r="C400" s="203" t="s">
        <v>5994</v>
      </c>
      <c r="D400" s="184" t="s">
        <v>379</v>
      </c>
      <c r="E400" s="72" t="s">
        <v>426</v>
      </c>
      <c r="F400" s="203"/>
      <c r="G400" s="203"/>
    </row>
    <row r="401" spans="1:7" x14ac:dyDescent="0.25">
      <c r="A401" s="118">
        <v>102519924</v>
      </c>
      <c r="B401" s="205" t="s">
        <v>6355</v>
      </c>
      <c r="C401" s="203" t="s">
        <v>5995</v>
      </c>
      <c r="D401" s="184" t="s">
        <v>381</v>
      </c>
      <c r="E401" s="72" t="s">
        <v>426</v>
      </c>
      <c r="F401" s="203"/>
      <c r="G401" s="203"/>
    </row>
    <row r="402" spans="1:7" x14ac:dyDescent="0.25">
      <c r="A402" s="118">
        <v>102519925</v>
      </c>
      <c r="B402" s="205"/>
      <c r="C402" s="203" t="s">
        <v>5996</v>
      </c>
      <c r="D402" s="184" t="s">
        <v>381</v>
      </c>
      <c r="E402" s="72" t="s">
        <v>426</v>
      </c>
      <c r="F402" s="203"/>
      <c r="G402" s="203"/>
    </row>
    <row r="403" spans="1:7" x14ac:dyDescent="0.25">
      <c r="A403" s="118">
        <v>102519926</v>
      </c>
      <c r="B403" s="205" t="s">
        <v>6356</v>
      </c>
      <c r="C403" s="203" t="s">
        <v>5997</v>
      </c>
      <c r="D403" s="184" t="s">
        <v>379</v>
      </c>
      <c r="E403" s="72" t="s">
        <v>426</v>
      </c>
      <c r="F403" s="203"/>
      <c r="G403" s="203"/>
    </row>
    <row r="404" spans="1:7" x14ac:dyDescent="0.25">
      <c r="A404" s="118">
        <v>102519927</v>
      </c>
      <c r="B404" s="205" t="s">
        <v>6357</v>
      </c>
      <c r="C404" s="203" t="s">
        <v>5998</v>
      </c>
      <c r="D404" s="184" t="s">
        <v>379</v>
      </c>
      <c r="E404" s="72" t="s">
        <v>426</v>
      </c>
      <c r="F404" s="203"/>
      <c r="G404" s="203"/>
    </row>
    <row r="405" spans="1:7" x14ac:dyDescent="0.25">
      <c r="A405" s="118">
        <v>102519928</v>
      </c>
      <c r="B405" s="205"/>
      <c r="C405" s="203" t="s">
        <v>5999</v>
      </c>
      <c r="D405" s="184" t="s">
        <v>379</v>
      </c>
      <c r="E405" s="72" t="s">
        <v>426</v>
      </c>
      <c r="F405" s="203"/>
      <c r="G405" s="203"/>
    </row>
    <row r="406" spans="1:7" x14ac:dyDescent="0.25">
      <c r="A406" s="118">
        <v>102519929</v>
      </c>
      <c r="B406" s="205" t="s">
        <v>6358</v>
      </c>
      <c r="C406" s="203" t="s">
        <v>6000</v>
      </c>
      <c r="D406" s="184" t="s">
        <v>379</v>
      </c>
      <c r="E406" s="72" t="s">
        <v>426</v>
      </c>
      <c r="F406" s="203"/>
      <c r="G406" s="203"/>
    </row>
    <row r="407" spans="1:7" x14ac:dyDescent="0.25">
      <c r="A407" s="118">
        <v>102519930</v>
      </c>
      <c r="B407" s="205" t="s">
        <v>6359</v>
      </c>
      <c r="C407" s="203" t="s">
        <v>6001</v>
      </c>
      <c r="D407" s="184" t="s">
        <v>379</v>
      </c>
      <c r="E407" s="72" t="s">
        <v>426</v>
      </c>
      <c r="F407" s="203"/>
      <c r="G407" s="203"/>
    </row>
    <row r="408" spans="1:7" x14ac:dyDescent="0.25">
      <c r="A408" s="118">
        <v>102519931</v>
      </c>
      <c r="B408" s="205" t="s">
        <v>6360</v>
      </c>
      <c r="C408" s="203" t="s">
        <v>6002</v>
      </c>
      <c r="D408" s="184" t="s">
        <v>379</v>
      </c>
      <c r="E408" s="72" t="s">
        <v>426</v>
      </c>
      <c r="F408" s="203"/>
      <c r="G408" s="203"/>
    </row>
    <row r="409" spans="1:7" x14ac:dyDescent="0.25">
      <c r="A409" s="118">
        <v>102519932</v>
      </c>
      <c r="B409" s="205" t="s">
        <v>6361</v>
      </c>
      <c r="C409" s="203" t="s">
        <v>6003</v>
      </c>
      <c r="D409" s="184" t="s">
        <v>379</v>
      </c>
      <c r="E409" s="72" t="s">
        <v>426</v>
      </c>
      <c r="F409" s="203"/>
      <c r="G409" s="203"/>
    </row>
    <row r="410" spans="1:7" x14ac:dyDescent="0.25">
      <c r="A410" s="118">
        <v>102519933</v>
      </c>
      <c r="B410" s="205" t="s">
        <v>6362</v>
      </c>
      <c r="C410" s="203" t="s">
        <v>6004</v>
      </c>
      <c r="D410" s="184" t="s">
        <v>379</v>
      </c>
      <c r="E410" s="72" t="s">
        <v>426</v>
      </c>
      <c r="F410" s="203"/>
      <c r="G410" s="203"/>
    </row>
    <row r="411" spans="1:7" x14ac:dyDescent="0.25">
      <c r="A411" s="118">
        <v>102519934</v>
      </c>
      <c r="B411" s="205" t="s">
        <v>6363</v>
      </c>
      <c r="C411" s="203" t="s">
        <v>6005</v>
      </c>
      <c r="D411" s="184" t="s">
        <v>379</v>
      </c>
      <c r="E411" s="72" t="s">
        <v>426</v>
      </c>
      <c r="F411" s="203"/>
      <c r="G411" s="203"/>
    </row>
    <row r="412" spans="1:7" x14ac:dyDescent="0.25">
      <c r="A412" s="118">
        <v>102519935</v>
      </c>
      <c r="B412" s="205" t="s">
        <v>6364</v>
      </c>
      <c r="C412" s="203" t="s">
        <v>6006</v>
      </c>
      <c r="D412" s="184" t="s">
        <v>379</v>
      </c>
      <c r="E412" s="72" t="s">
        <v>426</v>
      </c>
      <c r="F412" s="203"/>
      <c r="G412" s="203"/>
    </row>
    <row r="413" spans="1:7" x14ac:dyDescent="0.25">
      <c r="A413" s="118">
        <v>102519936</v>
      </c>
      <c r="B413" s="205" t="s">
        <v>6365</v>
      </c>
      <c r="C413" s="203" t="s">
        <v>6007</v>
      </c>
      <c r="D413" s="184" t="s">
        <v>379</v>
      </c>
      <c r="E413" s="72" t="s">
        <v>426</v>
      </c>
      <c r="F413" s="203"/>
      <c r="G413" s="203"/>
    </row>
    <row r="414" spans="1:7" x14ac:dyDescent="0.25">
      <c r="A414" s="118">
        <v>102519937</v>
      </c>
      <c r="B414" s="205" t="s">
        <v>6366</v>
      </c>
      <c r="C414" s="203" t="s">
        <v>6008</v>
      </c>
      <c r="D414" s="184" t="s">
        <v>379</v>
      </c>
      <c r="E414" s="72" t="s">
        <v>426</v>
      </c>
      <c r="F414" s="203"/>
      <c r="G414" s="203"/>
    </row>
    <row r="415" spans="1:7" x14ac:dyDescent="0.25">
      <c r="A415" s="118">
        <v>102519938</v>
      </c>
      <c r="B415" s="205" t="s">
        <v>6367</v>
      </c>
      <c r="C415" s="203" t="s">
        <v>6009</v>
      </c>
      <c r="D415" s="184" t="s">
        <v>379</v>
      </c>
      <c r="E415" s="72" t="s">
        <v>426</v>
      </c>
      <c r="F415" s="203"/>
      <c r="G415" s="203"/>
    </row>
    <row r="416" spans="1:7" x14ac:dyDescent="0.25">
      <c r="A416" s="118">
        <v>102519939</v>
      </c>
      <c r="B416" s="205" t="s">
        <v>6368</v>
      </c>
      <c r="C416" s="203" t="s">
        <v>6010</v>
      </c>
      <c r="D416" s="184" t="s">
        <v>379</v>
      </c>
      <c r="E416" s="72" t="s">
        <v>426</v>
      </c>
      <c r="F416" s="203"/>
      <c r="G416" s="203"/>
    </row>
    <row r="417" spans="1:7" x14ac:dyDescent="0.25">
      <c r="A417" s="118">
        <v>102519940</v>
      </c>
      <c r="B417" s="205" t="s">
        <v>6369</v>
      </c>
      <c r="C417" s="203" t="s">
        <v>6011</v>
      </c>
      <c r="D417" s="184" t="s">
        <v>379</v>
      </c>
      <c r="E417" s="72" t="s">
        <v>426</v>
      </c>
      <c r="F417" s="203"/>
      <c r="G417" s="203"/>
    </row>
    <row r="418" spans="1:7" x14ac:dyDescent="0.25">
      <c r="A418" s="118">
        <v>102519941</v>
      </c>
      <c r="B418" s="205"/>
      <c r="C418" s="203" t="s">
        <v>6012</v>
      </c>
      <c r="D418" s="184" t="s">
        <v>379</v>
      </c>
      <c r="E418" s="72" t="s">
        <v>426</v>
      </c>
      <c r="F418" s="203"/>
      <c r="G418" s="203"/>
    </row>
    <row r="419" spans="1:7" x14ac:dyDescent="0.25">
      <c r="A419" s="118">
        <v>102519942</v>
      </c>
      <c r="B419" s="205" t="s">
        <v>6370</v>
      </c>
      <c r="C419" s="203" t="s">
        <v>6013</v>
      </c>
      <c r="D419" s="184" t="s">
        <v>381</v>
      </c>
      <c r="E419" s="72" t="s">
        <v>426</v>
      </c>
      <c r="F419" s="203"/>
      <c r="G419" s="203"/>
    </row>
    <row r="420" spans="1:7" x14ac:dyDescent="0.25">
      <c r="A420" s="118">
        <v>102519943</v>
      </c>
      <c r="B420" s="205" t="s">
        <v>6371</v>
      </c>
      <c r="C420" s="203" t="s">
        <v>6014</v>
      </c>
      <c r="D420" s="184" t="s">
        <v>379</v>
      </c>
      <c r="E420" s="72" t="s">
        <v>426</v>
      </c>
      <c r="F420" s="203"/>
      <c r="G420" s="203"/>
    </row>
    <row r="421" spans="1:7" x14ac:dyDescent="0.25">
      <c r="A421" s="118">
        <v>102519944</v>
      </c>
      <c r="B421" s="205" t="s">
        <v>6372</v>
      </c>
      <c r="C421" s="203" t="s">
        <v>6015</v>
      </c>
      <c r="D421" s="184" t="s">
        <v>381</v>
      </c>
      <c r="E421" s="72" t="s">
        <v>426</v>
      </c>
      <c r="F421" s="203"/>
      <c r="G421" s="203"/>
    </row>
    <row r="422" spans="1:7" x14ac:dyDescent="0.25">
      <c r="A422" s="118">
        <v>102519945</v>
      </c>
      <c r="B422" s="205" t="s">
        <v>6373</v>
      </c>
      <c r="C422" s="203" t="s">
        <v>6016</v>
      </c>
      <c r="D422" s="184" t="s">
        <v>381</v>
      </c>
      <c r="E422" s="72" t="s">
        <v>426</v>
      </c>
      <c r="F422" s="203"/>
      <c r="G422" s="203"/>
    </row>
    <row r="423" spans="1:7" x14ac:dyDescent="0.25">
      <c r="A423" s="118">
        <v>102519946</v>
      </c>
      <c r="B423" s="205" t="s">
        <v>6374</v>
      </c>
      <c r="C423" s="203" t="s">
        <v>6017</v>
      </c>
      <c r="D423" s="184" t="s">
        <v>381</v>
      </c>
      <c r="E423" s="72" t="s">
        <v>426</v>
      </c>
      <c r="F423" s="203"/>
      <c r="G423" s="203"/>
    </row>
    <row r="424" spans="1:7" x14ac:dyDescent="0.25">
      <c r="A424" s="118">
        <v>102519947</v>
      </c>
      <c r="B424" s="205" t="s">
        <v>6375</v>
      </c>
      <c r="C424" s="203" t="s">
        <v>6018</v>
      </c>
      <c r="D424" s="184" t="s">
        <v>379</v>
      </c>
      <c r="E424" s="72" t="s">
        <v>426</v>
      </c>
      <c r="F424" s="203"/>
      <c r="G424" s="203"/>
    </row>
    <row r="425" spans="1:7" x14ac:dyDescent="0.25">
      <c r="A425" s="118">
        <v>102519948</v>
      </c>
      <c r="B425" s="205" t="s">
        <v>6376</v>
      </c>
      <c r="C425" s="203" t="s">
        <v>6019</v>
      </c>
      <c r="D425" s="184" t="s">
        <v>379</v>
      </c>
      <c r="E425" s="72" t="s">
        <v>426</v>
      </c>
      <c r="F425" s="203"/>
      <c r="G425" s="203"/>
    </row>
    <row r="426" spans="1:7" x14ac:dyDescent="0.25">
      <c r="A426" s="118">
        <v>102519949</v>
      </c>
      <c r="B426" s="205"/>
      <c r="C426" s="203" t="s">
        <v>6020</v>
      </c>
      <c r="D426" s="184" t="s">
        <v>379</v>
      </c>
      <c r="E426" s="72" t="s">
        <v>426</v>
      </c>
      <c r="F426" s="203"/>
      <c r="G426" s="203"/>
    </row>
    <row r="427" spans="1:7" x14ac:dyDescent="0.25">
      <c r="A427" s="157">
        <v>102519950</v>
      </c>
      <c r="B427" s="224" t="s">
        <v>6379</v>
      </c>
      <c r="C427" s="203" t="s">
        <v>6378</v>
      </c>
      <c r="D427" s="203" t="s">
        <v>379</v>
      </c>
      <c r="E427" s="225" t="s">
        <v>6380</v>
      </c>
      <c r="F427" s="203"/>
      <c r="G427" s="203"/>
    </row>
  </sheetData>
  <sortState xmlns:xlrd2="http://schemas.microsoft.com/office/spreadsheetml/2017/richdata2" ref="C181:E215">
    <sortCondition ref="E181:E215"/>
  </sortState>
  <phoneticPr fontId="4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27"/>
  <sheetViews>
    <sheetView topLeftCell="A224" workbookViewId="0">
      <selection activeCell="G229" sqref="G229"/>
    </sheetView>
  </sheetViews>
  <sheetFormatPr defaultColWidth="9.140625" defaultRowHeight="15" x14ac:dyDescent="0.25"/>
  <cols>
    <col min="1" max="1" width="9.140625" style="55"/>
    <col min="2" max="2" width="9.28515625" style="6" customWidth="1"/>
    <col min="3" max="3" width="13.42578125" style="6" customWidth="1"/>
    <col min="4" max="4" width="12.140625" style="55" customWidth="1"/>
    <col min="5" max="5" width="23" style="55" customWidth="1"/>
    <col min="6" max="6" width="45.85546875" style="55" customWidth="1"/>
    <col min="7" max="7" width="6.5703125" style="6" customWidth="1"/>
    <col min="8" max="11" width="9.140625" style="55"/>
    <col min="12" max="13" width="9.140625" style="49"/>
    <col min="14" max="14" width="17.140625" style="49" customWidth="1"/>
    <col min="15" max="15" width="18" style="49" customWidth="1"/>
    <col min="16" max="16" width="12.7109375" style="49" customWidth="1"/>
    <col min="17" max="16384" width="9.140625" style="49"/>
  </cols>
  <sheetData>
    <row r="1" spans="1:11" x14ac:dyDescent="0.25">
      <c r="A1" s="175" t="str">
        <f>H1&amp;B1</f>
        <v/>
      </c>
      <c r="B1" s="170"/>
      <c r="C1" s="214"/>
      <c r="D1" s="214"/>
      <c r="E1" s="214"/>
      <c r="F1" s="214"/>
      <c r="G1" s="203"/>
      <c r="H1" s="203"/>
      <c r="I1" s="175"/>
      <c r="J1" s="175"/>
      <c r="K1" s="175"/>
    </row>
    <row r="2" spans="1:11" ht="21.75" customHeight="1" x14ac:dyDescent="0.25">
      <c r="A2" s="175" t="str">
        <f t="shared" ref="A2:A65" si="0">H2&amp;B2</f>
        <v>X KA 1</v>
      </c>
      <c r="B2" s="175"/>
      <c r="C2" s="215">
        <f>'Short NIS'!A2</f>
        <v>102519525</v>
      </c>
      <c r="D2" s="216" t="str">
        <f>'Short NIS'!B2</f>
        <v>3106989660</v>
      </c>
      <c r="E2" s="175" t="str">
        <f>C2&amp;" /   "&amp;D2</f>
        <v>102519525 /   3106989660</v>
      </c>
      <c r="F2" s="217" t="str">
        <f>'Short NIS'!C2</f>
        <v>ABGARI RADITYA AHMAD</v>
      </c>
      <c r="G2" s="218" t="str">
        <f>'Short NIS'!D2</f>
        <v>L</v>
      </c>
      <c r="H2" s="218" t="str">
        <f>'Short NIS'!E2</f>
        <v>X KA 1</v>
      </c>
      <c r="I2" s="168" t="s">
        <v>380</v>
      </c>
      <c r="J2" s="175">
        <v>1</v>
      </c>
      <c r="K2" s="175"/>
    </row>
    <row r="3" spans="1:11" x14ac:dyDescent="0.25">
      <c r="A3" s="175" t="str">
        <f t="shared" si="0"/>
        <v>X KA 1</v>
      </c>
      <c r="B3" s="175"/>
      <c r="C3" s="215">
        <f>'Short NIS'!A3</f>
        <v>102519526</v>
      </c>
      <c r="D3" s="216" t="str">
        <f>'Short NIS'!B3</f>
        <v>0094413313</v>
      </c>
      <c r="E3" s="175" t="str">
        <f t="shared" ref="E3:E66" si="1">C3&amp;" /   "&amp;D3</f>
        <v>102519526 /   0094413313</v>
      </c>
      <c r="F3" s="217" t="str">
        <f>'Short NIS'!C3</f>
        <v>ADINDA PUTRI</v>
      </c>
      <c r="G3" s="218" t="str">
        <f>'Short NIS'!D3</f>
        <v>P</v>
      </c>
      <c r="H3" s="218" t="str">
        <f>'Short NIS'!E3</f>
        <v>X KA 1</v>
      </c>
      <c r="I3" s="168" t="s">
        <v>380</v>
      </c>
      <c r="J3" s="175">
        <v>2</v>
      </c>
      <c r="K3" s="175"/>
    </row>
    <row r="4" spans="1:11" x14ac:dyDescent="0.25">
      <c r="A4" s="175" t="str">
        <f t="shared" si="0"/>
        <v>X KA 1</v>
      </c>
      <c r="B4" s="175"/>
      <c r="C4" s="215">
        <f>'Short NIS'!A4</f>
        <v>102519527</v>
      </c>
      <c r="D4" s="216" t="str">
        <f>'Short NIS'!B4</f>
        <v>0101004818</v>
      </c>
      <c r="E4" s="175" t="str">
        <f t="shared" si="1"/>
        <v>102519527 /   0101004818</v>
      </c>
      <c r="F4" s="217" t="str">
        <f>'Short NIS'!C4</f>
        <v>ALIFA JIHAN IFTINAH</v>
      </c>
      <c r="G4" s="218" t="str">
        <f>'Short NIS'!D4</f>
        <v>P</v>
      </c>
      <c r="H4" s="218" t="str">
        <f>'Short NIS'!E4</f>
        <v>X KA 1</v>
      </c>
      <c r="I4" s="168" t="s">
        <v>380</v>
      </c>
      <c r="J4" s="175">
        <v>3</v>
      </c>
      <c r="K4" s="175"/>
    </row>
    <row r="5" spans="1:11" x14ac:dyDescent="0.25">
      <c r="A5" s="175" t="str">
        <f t="shared" si="0"/>
        <v>X KA 1</v>
      </c>
      <c r="B5" s="175"/>
      <c r="C5" s="215">
        <f>'Short NIS'!A5</f>
        <v>102519528</v>
      </c>
      <c r="D5" s="216" t="str">
        <f>'Short NIS'!B5</f>
        <v>0099555110</v>
      </c>
      <c r="E5" s="175" t="str">
        <f t="shared" si="1"/>
        <v>102519528 /   0099555110</v>
      </c>
      <c r="F5" s="217" t="str">
        <f>'Short NIS'!C5</f>
        <v>ALMIRA ATHYYA HUSNIAH</v>
      </c>
      <c r="G5" s="218" t="str">
        <f>'Short NIS'!D5</f>
        <v>P</v>
      </c>
      <c r="H5" s="218" t="str">
        <f>'Short NIS'!E5</f>
        <v>X KA 1</v>
      </c>
      <c r="I5" s="168" t="s">
        <v>380</v>
      </c>
      <c r="J5" s="175">
        <v>4</v>
      </c>
      <c r="K5" s="175"/>
    </row>
    <row r="6" spans="1:11" x14ac:dyDescent="0.25">
      <c r="A6" s="175" t="str">
        <f t="shared" si="0"/>
        <v>X KA 1</v>
      </c>
      <c r="B6" s="175"/>
      <c r="C6" s="215">
        <f>'Short NIS'!A6</f>
        <v>102519529</v>
      </c>
      <c r="D6" s="216" t="str">
        <f>'Short NIS'!B6</f>
        <v>0099117757</v>
      </c>
      <c r="E6" s="175" t="str">
        <f t="shared" si="1"/>
        <v>102519529 /   0099117757</v>
      </c>
      <c r="F6" s="217" t="str">
        <f>'Short NIS'!C6</f>
        <v>ALYYA RAHMAWATI</v>
      </c>
      <c r="G6" s="218" t="str">
        <f>'Short NIS'!D6</f>
        <v>P</v>
      </c>
      <c r="H6" s="218" t="str">
        <f>'Short NIS'!E6</f>
        <v>X KA 1</v>
      </c>
      <c r="I6" s="168" t="s">
        <v>380</v>
      </c>
      <c r="J6" s="175">
        <v>5</v>
      </c>
      <c r="K6" s="175"/>
    </row>
    <row r="7" spans="1:11" x14ac:dyDescent="0.25">
      <c r="A7" s="175" t="str">
        <f t="shared" si="0"/>
        <v>X KA 1</v>
      </c>
      <c r="B7" s="175"/>
      <c r="C7" s="215">
        <f>'Short NIS'!A7</f>
        <v>102519530</v>
      </c>
      <c r="D7" s="216" t="str">
        <f>'Short NIS'!B7</f>
        <v>0106834163</v>
      </c>
      <c r="E7" s="175" t="str">
        <f t="shared" si="1"/>
        <v>102519530 /   0106834163</v>
      </c>
      <c r="F7" s="217" t="str">
        <f>'Short NIS'!C7</f>
        <v>AMEERA PUTRI AL ZAHRA</v>
      </c>
      <c r="G7" s="218" t="str">
        <f>'Short NIS'!D7</f>
        <v>P</v>
      </c>
      <c r="H7" s="218" t="str">
        <f>'Short NIS'!E7</f>
        <v>X KA 1</v>
      </c>
      <c r="I7" s="168" t="s">
        <v>380</v>
      </c>
      <c r="J7" s="175">
        <v>6</v>
      </c>
      <c r="K7" s="175"/>
    </row>
    <row r="8" spans="1:11" x14ac:dyDescent="0.25">
      <c r="A8" s="175" t="str">
        <f t="shared" si="0"/>
        <v>X KA 1</v>
      </c>
      <c r="B8" s="175"/>
      <c r="C8" s="215">
        <f>'Short NIS'!A8</f>
        <v>102519531</v>
      </c>
      <c r="D8" s="216" t="str">
        <f>'Short NIS'!B8</f>
        <v>0099850277</v>
      </c>
      <c r="E8" s="175" t="str">
        <f t="shared" si="1"/>
        <v>102519531 /   0099850277</v>
      </c>
      <c r="F8" s="217" t="str">
        <f>'Short NIS'!C8</f>
        <v>ARVINO YUMA PRATAMA</v>
      </c>
      <c r="G8" s="218" t="str">
        <f>'Short NIS'!D8</f>
        <v>L</v>
      </c>
      <c r="H8" s="218" t="str">
        <f>'Short NIS'!E8</f>
        <v>X KA 1</v>
      </c>
      <c r="I8" s="168" t="s">
        <v>380</v>
      </c>
      <c r="J8" s="175">
        <v>7</v>
      </c>
      <c r="K8" s="175"/>
    </row>
    <row r="9" spans="1:11" x14ac:dyDescent="0.25">
      <c r="A9" s="175" t="str">
        <f t="shared" si="0"/>
        <v>X KA 1</v>
      </c>
      <c r="B9" s="175"/>
      <c r="C9" s="215">
        <f>'Short NIS'!A9</f>
        <v>102519532</v>
      </c>
      <c r="D9" s="216" t="str">
        <f>'Short NIS'!B9</f>
        <v>0104157931</v>
      </c>
      <c r="E9" s="175" t="str">
        <f t="shared" si="1"/>
        <v>102519532 /   0104157931</v>
      </c>
      <c r="F9" s="217" t="str">
        <f>'Short NIS'!C9</f>
        <v>AYESHA ZEPHANIA</v>
      </c>
      <c r="G9" s="218" t="str">
        <f>'Short NIS'!D9</f>
        <v>P</v>
      </c>
      <c r="H9" s="218" t="str">
        <f>'Short NIS'!E9</f>
        <v>X KA 1</v>
      </c>
      <c r="I9" s="168" t="s">
        <v>380</v>
      </c>
      <c r="J9" s="175">
        <v>8</v>
      </c>
      <c r="K9" s="175"/>
    </row>
    <row r="10" spans="1:11" x14ac:dyDescent="0.25">
      <c r="A10" s="175" t="str">
        <f t="shared" si="0"/>
        <v>X KA 1</v>
      </c>
      <c r="B10" s="175"/>
      <c r="C10" s="215">
        <f>'Short NIS'!A10</f>
        <v>102519533</v>
      </c>
      <c r="D10" s="216" t="str">
        <f>'Short NIS'!B10</f>
        <v>0095348926</v>
      </c>
      <c r="E10" s="175" t="str">
        <f t="shared" si="1"/>
        <v>102519533 /   0095348926</v>
      </c>
      <c r="F10" s="217" t="str">
        <f>'Short NIS'!C10</f>
        <v>CIKAL ABDUL MUIZ MUTSAQIF</v>
      </c>
      <c r="G10" s="218" t="str">
        <f>'Short NIS'!D10</f>
        <v>L</v>
      </c>
      <c r="H10" s="218" t="str">
        <f>'Short NIS'!E10</f>
        <v>X KA 1</v>
      </c>
      <c r="I10" s="168" t="s">
        <v>380</v>
      </c>
      <c r="J10" s="175">
        <v>9</v>
      </c>
      <c r="K10" s="175"/>
    </row>
    <row r="11" spans="1:11" x14ac:dyDescent="0.25">
      <c r="A11" s="175" t="str">
        <f t="shared" si="0"/>
        <v>X KA 1</v>
      </c>
      <c r="B11" s="175"/>
      <c r="C11" s="215">
        <f>'Short NIS'!A11</f>
        <v>102519534</v>
      </c>
      <c r="D11" s="216" t="str">
        <f>'Short NIS'!B11</f>
        <v>0105056370</v>
      </c>
      <c r="E11" s="175" t="str">
        <f t="shared" si="1"/>
        <v>102519534 /   0105056370</v>
      </c>
      <c r="F11" s="217" t="str">
        <f>'Short NIS'!C11</f>
        <v>DANAR PRAWIRA</v>
      </c>
      <c r="G11" s="218" t="str">
        <f>'Short NIS'!D11</f>
        <v>L</v>
      </c>
      <c r="H11" s="218" t="str">
        <f>'Short NIS'!E11</f>
        <v>X KA 1</v>
      </c>
      <c r="I11" s="168" t="s">
        <v>380</v>
      </c>
      <c r="J11" s="175">
        <v>10</v>
      </c>
      <c r="K11" s="175"/>
    </row>
    <row r="12" spans="1:11" x14ac:dyDescent="0.25">
      <c r="A12" s="175" t="str">
        <f t="shared" si="0"/>
        <v>X KA 1</v>
      </c>
      <c r="B12" s="175"/>
      <c r="C12" s="215">
        <f>'Short NIS'!A12</f>
        <v>102519535</v>
      </c>
      <c r="D12" s="216" t="str">
        <f>'Short NIS'!B12</f>
        <v>0098323888</v>
      </c>
      <c r="E12" s="175" t="str">
        <f t="shared" si="1"/>
        <v>102519535 /   0098323888</v>
      </c>
      <c r="F12" s="217" t="str">
        <f>'Short NIS'!C12</f>
        <v>DEVINA YULIA</v>
      </c>
      <c r="G12" s="218" t="str">
        <f>'Short NIS'!D12</f>
        <v>P</v>
      </c>
      <c r="H12" s="218" t="str">
        <f>'Short NIS'!E12</f>
        <v>X KA 1</v>
      </c>
      <c r="I12" s="168" t="s">
        <v>380</v>
      </c>
      <c r="J12" s="175">
        <v>11</v>
      </c>
      <c r="K12" s="175"/>
    </row>
    <row r="13" spans="1:11" x14ac:dyDescent="0.25">
      <c r="A13" s="175" t="str">
        <f t="shared" si="0"/>
        <v>X KA 1</v>
      </c>
      <c r="B13" s="175"/>
      <c r="C13" s="215">
        <f>'Short NIS'!A13</f>
        <v>102519536</v>
      </c>
      <c r="D13" s="216" t="str">
        <f>'Short NIS'!B13</f>
        <v>0101455732</v>
      </c>
      <c r="E13" s="175" t="str">
        <f t="shared" si="1"/>
        <v>102519536 /   0101455732</v>
      </c>
      <c r="F13" s="217" t="str">
        <f>'Short NIS'!C13</f>
        <v>ERLANGGA AL FIKRI</v>
      </c>
      <c r="G13" s="218" t="str">
        <f>'Short NIS'!D13</f>
        <v>L</v>
      </c>
      <c r="H13" s="218" t="str">
        <f>'Short NIS'!E13</f>
        <v>X KA 1</v>
      </c>
      <c r="I13" s="168" t="s">
        <v>380</v>
      </c>
      <c r="J13" s="175">
        <v>12</v>
      </c>
      <c r="K13" s="175"/>
    </row>
    <row r="14" spans="1:11" x14ac:dyDescent="0.25">
      <c r="A14" s="175" t="str">
        <f t="shared" si="0"/>
        <v>X KA 1</v>
      </c>
      <c r="B14" s="175"/>
      <c r="C14" s="215">
        <f>'Short NIS'!A14</f>
        <v>102519537</v>
      </c>
      <c r="D14" s="216" t="str">
        <f>'Short NIS'!B14</f>
        <v>0107283385</v>
      </c>
      <c r="E14" s="175" t="str">
        <f t="shared" si="1"/>
        <v>102519537 /   0107283385</v>
      </c>
      <c r="F14" s="217" t="str">
        <f>'Short NIS'!C14</f>
        <v>FARID KHAIRUL AZMI</v>
      </c>
      <c r="G14" s="218" t="str">
        <f>'Short NIS'!D14</f>
        <v>L</v>
      </c>
      <c r="H14" s="218" t="str">
        <f>'Short NIS'!E14</f>
        <v>X KA 1</v>
      </c>
      <c r="I14" s="168" t="s">
        <v>380</v>
      </c>
      <c r="J14" s="175">
        <v>13</v>
      </c>
      <c r="K14" s="175"/>
    </row>
    <row r="15" spans="1:11" x14ac:dyDescent="0.25">
      <c r="A15" s="175" t="str">
        <f t="shared" si="0"/>
        <v>X KA 1</v>
      </c>
      <c r="B15" s="175"/>
      <c r="C15" s="215">
        <f>'Short NIS'!A15</f>
        <v>102519538</v>
      </c>
      <c r="D15" s="216" t="str">
        <f>'Short NIS'!B15</f>
        <v>0091534514</v>
      </c>
      <c r="E15" s="175" t="str">
        <f t="shared" si="1"/>
        <v>102519538 /   0091534514</v>
      </c>
      <c r="F15" s="217" t="str">
        <f>'Short NIS'!C15</f>
        <v>FUAN NOER ASSYFA GINTING</v>
      </c>
      <c r="G15" s="218" t="str">
        <f>'Short NIS'!D15</f>
        <v>P</v>
      </c>
      <c r="H15" s="218" t="str">
        <f>'Short NIS'!E15</f>
        <v>X KA 1</v>
      </c>
      <c r="I15" s="168" t="s">
        <v>380</v>
      </c>
      <c r="J15" s="175">
        <v>14</v>
      </c>
      <c r="K15" s="175"/>
    </row>
    <row r="16" spans="1:11" x14ac:dyDescent="0.25">
      <c r="A16" s="175" t="str">
        <f t="shared" si="0"/>
        <v>X KA 1</v>
      </c>
      <c r="B16" s="175"/>
      <c r="C16" s="215">
        <f>'Short NIS'!A16</f>
        <v>102519539</v>
      </c>
      <c r="D16" s="216" t="str">
        <f>'Short NIS'!B16</f>
        <v>0093275414</v>
      </c>
      <c r="E16" s="175" t="str">
        <f t="shared" si="1"/>
        <v>102519539 /   0093275414</v>
      </c>
      <c r="F16" s="217" t="str">
        <f>'Short NIS'!C16</f>
        <v>GHAITSA ZAHIRA SHOFA</v>
      </c>
      <c r="G16" s="218" t="str">
        <f>'Short NIS'!D16</f>
        <v>P</v>
      </c>
      <c r="H16" s="218" t="str">
        <f>'Short NIS'!E16</f>
        <v>X KA 1</v>
      </c>
      <c r="I16" s="168" t="s">
        <v>380</v>
      </c>
      <c r="J16" s="175">
        <v>15</v>
      </c>
      <c r="K16" s="175"/>
    </row>
    <row r="17" spans="1:11" x14ac:dyDescent="0.25">
      <c r="A17" s="175" t="str">
        <f t="shared" si="0"/>
        <v>X KA 1</v>
      </c>
      <c r="B17" s="175"/>
      <c r="C17" s="215">
        <f>'Short NIS'!A17</f>
        <v>102519540</v>
      </c>
      <c r="D17" s="216" t="str">
        <f>'Short NIS'!B17</f>
        <v>0102080145</v>
      </c>
      <c r="E17" s="175" t="str">
        <f t="shared" si="1"/>
        <v>102519540 /   0102080145</v>
      </c>
      <c r="F17" s="217" t="str">
        <f>'Short NIS'!C17</f>
        <v>HILMAN SAPUTRA</v>
      </c>
      <c r="G17" s="218" t="str">
        <f>'Short NIS'!D17</f>
        <v>L</v>
      </c>
      <c r="H17" s="218" t="str">
        <f>'Short NIS'!E17</f>
        <v>X KA 1</v>
      </c>
      <c r="I17" s="168" t="s">
        <v>380</v>
      </c>
      <c r="J17" s="175">
        <v>16</v>
      </c>
      <c r="K17" s="175"/>
    </row>
    <row r="18" spans="1:11" x14ac:dyDescent="0.25">
      <c r="A18" s="175" t="str">
        <f t="shared" si="0"/>
        <v>X KA 1</v>
      </c>
      <c r="B18" s="175"/>
      <c r="C18" s="215">
        <f>'Short NIS'!A18</f>
        <v>102519541</v>
      </c>
      <c r="D18" s="216" t="str">
        <f>'Short NIS'!B18</f>
        <v>0092436932</v>
      </c>
      <c r="E18" s="175" t="str">
        <f t="shared" si="1"/>
        <v>102519541 /   0092436932</v>
      </c>
      <c r="F18" s="217" t="str">
        <f>'Short NIS'!C18</f>
        <v>ISMI ANANDA PUTRI</v>
      </c>
      <c r="G18" s="218" t="str">
        <f>'Short NIS'!D18</f>
        <v>P</v>
      </c>
      <c r="H18" s="218" t="str">
        <f>'Short NIS'!E18</f>
        <v>X KA 1</v>
      </c>
      <c r="I18" s="168" t="s">
        <v>380</v>
      </c>
      <c r="J18" s="175">
        <v>17</v>
      </c>
      <c r="K18" s="175"/>
    </row>
    <row r="19" spans="1:11" x14ac:dyDescent="0.25">
      <c r="A19" s="175" t="str">
        <f t="shared" si="0"/>
        <v>X KA 1</v>
      </c>
      <c r="B19" s="175"/>
      <c r="C19" s="215">
        <f>'Short NIS'!A19</f>
        <v>102519542</v>
      </c>
      <c r="D19" s="216">
        <f>'Short NIS'!B19</f>
        <v>0</v>
      </c>
      <c r="E19" s="175" t="str">
        <f t="shared" si="1"/>
        <v>102519542 /   0</v>
      </c>
      <c r="F19" s="217" t="str">
        <f>'Short NIS'!C19</f>
        <v>JASMINE ANGELIE MAURINA</v>
      </c>
      <c r="G19" s="218" t="str">
        <f>'Short NIS'!D19</f>
        <v>P</v>
      </c>
      <c r="H19" s="218" t="str">
        <f>'Short NIS'!E19</f>
        <v>X KA 1</v>
      </c>
      <c r="I19" s="168" t="s">
        <v>380</v>
      </c>
      <c r="J19" s="175">
        <v>18</v>
      </c>
      <c r="K19" s="175"/>
    </row>
    <row r="20" spans="1:11" x14ac:dyDescent="0.25">
      <c r="A20" s="175" t="str">
        <f t="shared" si="0"/>
        <v>X KA 1</v>
      </c>
      <c r="B20" s="175"/>
      <c r="C20" s="215">
        <f>'Short NIS'!A20</f>
        <v>102519543</v>
      </c>
      <c r="D20" s="216" t="str">
        <f>'Short NIS'!B20</f>
        <v>0099699911</v>
      </c>
      <c r="E20" s="175" t="str">
        <f t="shared" si="1"/>
        <v>102519543 /   0099699911</v>
      </c>
      <c r="F20" s="217" t="str">
        <f>'Short NIS'!C20</f>
        <v>KHAERILDA AYESHA REZKI</v>
      </c>
      <c r="G20" s="218" t="str">
        <f>'Short NIS'!D20</f>
        <v>P</v>
      </c>
      <c r="H20" s="218" t="str">
        <f>'Short NIS'!E20</f>
        <v>X KA 1</v>
      </c>
      <c r="I20" s="168" t="s">
        <v>380</v>
      </c>
      <c r="J20" s="175">
        <v>19</v>
      </c>
      <c r="K20" s="175"/>
    </row>
    <row r="21" spans="1:11" x14ac:dyDescent="0.25">
      <c r="A21" s="175" t="str">
        <f t="shared" si="0"/>
        <v>X KA 1</v>
      </c>
      <c r="B21" s="175"/>
      <c r="C21" s="215">
        <f>'Short NIS'!A21</f>
        <v>102519544</v>
      </c>
      <c r="D21" s="216" t="str">
        <f>'Short NIS'!B21</f>
        <v>0095196716</v>
      </c>
      <c r="E21" s="175" t="str">
        <f t="shared" si="1"/>
        <v>102519544 /   0095196716</v>
      </c>
      <c r="F21" s="217" t="str">
        <f>'Short NIS'!C21</f>
        <v>LUTHFIYAH HAZANAH AL-KHOFIDH</v>
      </c>
      <c r="G21" s="218" t="str">
        <f>'Short NIS'!D21</f>
        <v>P</v>
      </c>
      <c r="H21" s="218" t="str">
        <f>'Short NIS'!E21</f>
        <v>X KA 1</v>
      </c>
      <c r="I21" s="168" t="s">
        <v>380</v>
      </c>
      <c r="J21" s="175">
        <v>20</v>
      </c>
      <c r="K21" s="175"/>
    </row>
    <row r="22" spans="1:11" x14ac:dyDescent="0.25">
      <c r="A22" s="175" t="str">
        <f t="shared" si="0"/>
        <v>X KA 1</v>
      </c>
      <c r="B22" s="175"/>
      <c r="C22" s="215">
        <f>'Short NIS'!A22</f>
        <v>102519545</v>
      </c>
      <c r="D22" s="216" t="str">
        <f>'Short NIS'!B22</f>
        <v>0095491585</v>
      </c>
      <c r="E22" s="175" t="str">
        <f t="shared" si="1"/>
        <v>102519545 /   0095491585</v>
      </c>
      <c r="F22" s="217" t="str">
        <f>'Short NIS'!C22</f>
        <v>MOCHAMMAD FARIZ ADITYA</v>
      </c>
      <c r="G22" s="218" t="str">
        <f>'Short NIS'!D22</f>
        <v>L</v>
      </c>
      <c r="H22" s="218" t="str">
        <f>'Short NIS'!E22</f>
        <v>X KA 1</v>
      </c>
      <c r="I22" s="168" t="s">
        <v>380</v>
      </c>
      <c r="J22" s="175">
        <v>21</v>
      </c>
      <c r="K22" s="175"/>
    </row>
    <row r="23" spans="1:11" x14ac:dyDescent="0.25">
      <c r="A23" s="175" t="str">
        <f t="shared" si="0"/>
        <v>X KA 1</v>
      </c>
      <c r="B23" s="175"/>
      <c r="C23" s="215">
        <f>'Short NIS'!A23</f>
        <v>102519546</v>
      </c>
      <c r="D23" s="216" t="str">
        <f>'Short NIS'!B23</f>
        <v>0096471531</v>
      </c>
      <c r="E23" s="175" t="str">
        <f t="shared" si="1"/>
        <v>102519546 /   0096471531</v>
      </c>
      <c r="F23" s="217" t="str">
        <f>'Short NIS'!C23</f>
        <v>MUHAMMAD ARVAN ZHARIV</v>
      </c>
      <c r="G23" s="218" t="str">
        <f>'Short NIS'!D23</f>
        <v>L</v>
      </c>
      <c r="H23" s="218" t="str">
        <f>'Short NIS'!E23</f>
        <v>X KA 1</v>
      </c>
      <c r="I23" s="168" t="s">
        <v>380</v>
      </c>
      <c r="J23" s="175">
        <v>22</v>
      </c>
      <c r="K23" s="175"/>
    </row>
    <row r="24" spans="1:11" x14ac:dyDescent="0.25">
      <c r="A24" s="175" t="str">
        <f t="shared" si="0"/>
        <v>X KA 1</v>
      </c>
      <c r="B24" s="175"/>
      <c r="C24" s="215">
        <f>'Short NIS'!A24</f>
        <v>102519547</v>
      </c>
      <c r="D24" s="216" t="str">
        <f>'Short NIS'!B24</f>
        <v>0096690592</v>
      </c>
      <c r="E24" s="175" t="str">
        <f t="shared" si="1"/>
        <v>102519547 /   0096690592</v>
      </c>
      <c r="F24" s="217" t="str">
        <f>'Short NIS'!C24</f>
        <v>MUHAMMAD FAHMI NUR IHSAN</v>
      </c>
      <c r="G24" s="218" t="str">
        <f>'Short NIS'!D24</f>
        <v>L</v>
      </c>
      <c r="H24" s="218" t="str">
        <f>'Short NIS'!E24</f>
        <v>X KA 1</v>
      </c>
      <c r="I24" s="168" t="s">
        <v>380</v>
      </c>
      <c r="J24" s="175">
        <v>23</v>
      </c>
      <c r="K24" s="175"/>
    </row>
    <row r="25" spans="1:11" x14ac:dyDescent="0.25">
      <c r="A25" s="175" t="str">
        <f t="shared" si="0"/>
        <v>X KA 1</v>
      </c>
      <c r="B25" s="175"/>
      <c r="C25" s="215">
        <f>'Short NIS'!A25</f>
        <v>102519548</v>
      </c>
      <c r="D25" s="216" t="str">
        <f>'Short NIS'!B25</f>
        <v>0093683299</v>
      </c>
      <c r="E25" s="175" t="str">
        <f t="shared" si="1"/>
        <v>102519548 /   0093683299</v>
      </c>
      <c r="F25" s="217" t="str">
        <f>'Short NIS'!C25</f>
        <v>MUHAMMAD ZIDANE FIKRUL 'AZIZ</v>
      </c>
      <c r="G25" s="218" t="str">
        <f>'Short NIS'!D25</f>
        <v>L</v>
      </c>
      <c r="H25" s="218" t="str">
        <f>'Short NIS'!E25</f>
        <v>X KA 1</v>
      </c>
      <c r="I25" s="168" t="s">
        <v>380</v>
      </c>
      <c r="J25" s="175">
        <v>24</v>
      </c>
      <c r="K25" s="175"/>
    </row>
    <row r="26" spans="1:11" x14ac:dyDescent="0.25">
      <c r="A26" s="175" t="str">
        <f t="shared" si="0"/>
        <v>X KA 1</v>
      </c>
      <c r="B26" s="175"/>
      <c r="C26" s="215">
        <f>'Short NIS'!A26</f>
        <v>102519549</v>
      </c>
      <c r="D26" s="216" t="str">
        <f>'Short NIS'!B26</f>
        <v>0092565914</v>
      </c>
      <c r="E26" s="175" t="str">
        <f t="shared" si="1"/>
        <v>102519549 /   0092565914</v>
      </c>
      <c r="F26" s="217" t="str">
        <f>'Short NIS'!C26</f>
        <v>NAZWA PUSPA NINGRUM</v>
      </c>
      <c r="G26" s="218" t="str">
        <f>'Short NIS'!D26</f>
        <v>P</v>
      </c>
      <c r="H26" s="218" t="str">
        <f>'Short NIS'!E26</f>
        <v>X KA 1</v>
      </c>
      <c r="I26" s="168" t="s">
        <v>380</v>
      </c>
      <c r="J26" s="175">
        <v>25</v>
      </c>
      <c r="K26" s="175"/>
    </row>
    <row r="27" spans="1:11" x14ac:dyDescent="0.25">
      <c r="A27" s="175" t="str">
        <f t="shared" si="0"/>
        <v>X KA 1</v>
      </c>
      <c r="B27" s="175"/>
      <c r="C27" s="215">
        <f>'Short NIS'!A27</f>
        <v>102519550</v>
      </c>
      <c r="D27" s="216" t="str">
        <f>'Short NIS'!B27</f>
        <v>0092277023</v>
      </c>
      <c r="E27" s="175" t="str">
        <f t="shared" si="1"/>
        <v>102519550 /   0092277023</v>
      </c>
      <c r="F27" s="217" t="str">
        <f>'Short NIS'!C27</f>
        <v>NOER KEYLA</v>
      </c>
      <c r="G27" s="218" t="str">
        <f>'Short NIS'!D27</f>
        <v>P</v>
      </c>
      <c r="H27" s="218" t="str">
        <f>'Short NIS'!E27</f>
        <v>X KA 1</v>
      </c>
      <c r="I27" s="168" t="s">
        <v>380</v>
      </c>
      <c r="J27" s="175">
        <v>26</v>
      </c>
      <c r="K27" s="175"/>
    </row>
    <row r="28" spans="1:11" x14ac:dyDescent="0.25">
      <c r="A28" s="175" t="str">
        <f t="shared" si="0"/>
        <v>X KA 1</v>
      </c>
      <c r="B28" s="175"/>
      <c r="C28" s="215">
        <f>'Short NIS'!A28</f>
        <v>102519551</v>
      </c>
      <c r="D28" s="216" t="str">
        <f>'Short NIS'!B28</f>
        <v>0106815228</v>
      </c>
      <c r="E28" s="175" t="str">
        <f t="shared" si="1"/>
        <v>102519551 /   0106815228</v>
      </c>
      <c r="F28" s="217" t="str">
        <f>'Short NIS'!C28</f>
        <v>PURI AY UNTARI</v>
      </c>
      <c r="G28" s="218" t="str">
        <f>'Short NIS'!D28</f>
        <v>P</v>
      </c>
      <c r="H28" s="218" t="str">
        <f>'Short NIS'!E28</f>
        <v>X KA 1</v>
      </c>
      <c r="I28" s="168" t="s">
        <v>380</v>
      </c>
      <c r="J28" s="175">
        <v>27</v>
      </c>
      <c r="K28" s="175"/>
    </row>
    <row r="29" spans="1:11" x14ac:dyDescent="0.25">
      <c r="A29" s="175" t="str">
        <f t="shared" si="0"/>
        <v>X KA 1</v>
      </c>
      <c r="B29" s="175"/>
      <c r="C29" s="215">
        <f>'Short NIS'!A29</f>
        <v>102519552</v>
      </c>
      <c r="D29" s="216" t="str">
        <f>'Short NIS'!B29</f>
        <v>0099103173</v>
      </c>
      <c r="E29" s="175" t="str">
        <f t="shared" si="1"/>
        <v>102519552 /   0099103173</v>
      </c>
      <c r="F29" s="217" t="str">
        <f>'Short NIS'!C29</f>
        <v>PUTRI KIARA KENCANA</v>
      </c>
      <c r="G29" s="218" t="str">
        <f>'Short NIS'!D29</f>
        <v>P</v>
      </c>
      <c r="H29" s="218" t="str">
        <f>'Short NIS'!E29</f>
        <v>X KA 1</v>
      </c>
      <c r="I29" s="168" t="s">
        <v>380</v>
      </c>
      <c r="J29" s="175">
        <v>28</v>
      </c>
      <c r="K29" s="175"/>
    </row>
    <row r="30" spans="1:11" x14ac:dyDescent="0.25">
      <c r="A30" s="175" t="str">
        <f t="shared" si="0"/>
        <v>X KA 1</v>
      </c>
      <c r="B30" s="175"/>
      <c r="C30" s="215">
        <f>'Short NIS'!A30</f>
        <v>102519553</v>
      </c>
      <c r="D30" s="216" t="str">
        <f>'Short NIS'!B30</f>
        <v>3101903581</v>
      </c>
      <c r="E30" s="175" t="str">
        <f t="shared" si="1"/>
        <v>102519553 /   3101903581</v>
      </c>
      <c r="F30" s="217" t="str">
        <f>'Short NIS'!C30</f>
        <v>RAFFA AL-FIQRI FEBRIAN</v>
      </c>
      <c r="G30" s="218" t="str">
        <f>'Short NIS'!D30</f>
        <v>L</v>
      </c>
      <c r="H30" s="218" t="str">
        <f>'Short NIS'!E30</f>
        <v>X KA 1</v>
      </c>
      <c r="I30" s="168" t="s">
        <v>380</v>
      </c>
      <c r="J30" s="175">
        <v>29</v>
      </c>
      <c r="K30" s="175"/>
    </row>
    <row r="31" spans="1:11" x14ac:dyDescent="0.25">
      <c r="A31" s="175" t="str">
        <f t="shared" si="0"/>
        <v>X KA 1</v>
      </c>
      <c r="B31" s="175"/>
      <c r="C31" s="215">
        <f>'Short NIS'!A31</f>
        <v>102519554</v>
      </c>
      <c r="D31" s="216" t="str">
        <f>'Short NIS'!B31</f>
        <v>0091434903</v>
      </c>
      <c r="E31" s="175" t="str">
        <f t="shared" si="1"/>
        <v>102519554 /   0091434903</v>
      </c>
      <c r="F31" s="217" t="str">
        <f>'Short NIS'!C31</f>
        <v>RAHMA ALIA WULANDARI</v>
      </c>
      <c r="G31" s="218" t="str">
        <f>'Short NIS'!D31</f>
        <v>P</v>
      </c>
      <c r="H31" s="218" t="str">
        <f>'Short NIS'!E31</f>
        <v>X KA 1</v>
      </c>
      <c r="I31" s="168" t="s">
        <v>380</v>
      </c>
      <c r="J31" s="175">
        <v>30</v>
      </c>
      <c r="K31" s="175"/>
    </row>
    <row r="32" spans="1:11" x14ac:dyDescent="0.25">
      <c r="A32" s="175" t="str">
        <f t="shared" si="0"/>
        <v>X KA 1</v>
      </c>
      <c r="B32" s="175"/>
      <c r="C32" s="215">
        <f>'Short NIS'!A32</f>
        <v>102519555</v>
      </c>
      <c r="D32" s="216" t="str">
        <f>'Short NIS'!B32</f>
        <v>3107206260</v>
      </c>
      <c r="E32" s="175" t="str">
        <f t="shared" si="1"/>
        <v>102519555 /   3107206260</v>
      </c>
      <c r="F32" s="217" t="str">
        <f>'Short NIS'!C32</f>
        <v>RAISA RAHADATUL ALIMAH</v>
      </c>
      <c r="G32" s="218" t="str">
        <f>'Short NIS'!D32</f>
        <v>P</v>
      </c>
      <c r="H32" s="218" t="str">
        <f>'Short NIS'!E32</f>
        <v>X KA 1</v>
      </c>
      <c r="I32" s="168" t="s">
        <v>380</v>
      </c>
      <c r="J32" s="175">
        <v>31</v>
      </c>
      <c r="K32" s="175"/>
    </row>
    <row r="33" spans="1:11" x14ac:dyDescent="0.25">
      <c r="A33" s="175" t="str">
        <f t="shared" si="0"/>
        <v>X KA 1</v>
      </c>
      <c r="B33" s="175"/>
      <c r="C33" s="215">
        <f>'Short NIS'!A33</f>
        <v>102519556</v>
      </c>
      <c r="D33" s="216" t="str">
        <f>'Short NIS'!B33</f>
        <v>0099094879</v>
      </c>
      <c r="E33" s="175" t="str">
        <f t="shared" si="1"/>
        <v>102519556 /   0099094879</v>
      </c>
      <c r="F33" s="217" t="str">
        <f>'Short NIS'!C33</f>
        <v>RAMADHANI ALDIANO</v>
      </c>
      <c r="G33" s="218" t="str">
        <f>'Short NIS'!D33</f>
        <v>L</v>
      </c>
      <c r="H33" s="218" t="str">
        <f>'Short NIS'!E33</f>
        <v>X KA 1</v>
      </c>
      <c r="I33" s="168" t="s">
        <v>380</v>
      </c>
      <c r="J33" s="175">
        <v>32</v>
      </c>
      <c r="K33" s="175"/>
    </row>
    <row r="34" spans="1:11" x14ac:dyDescent="0.25">
      <c r="A34" s="175" t="str">
        <f t="shared" si="0"/>
        <v>X KA 1</v>
      </c>
      <c r="B34" s="175"/>
      <c r="C34" s="215">
        <f>'Short NIS'!A34</f>
        <v>102519557</v>
      </c>
      <c r="D34" s="216" t="str">
        <f>'Short NIS'!B34</f>
        <v>0102675875</v>
      </c>
      <c r="E34" s="175" t="str">
        <f t="shared" si="1"/>
        <v>102519557 /   0102675875</v>
      </c>
      <c r="F34" s="217" t="str">
        <f>'Short NIS'!C34</f>
        <v>SAFIRA AMARA PUTRI</v>
      </c>
      <c r="G34" s="218" t="str">
        <f>'Short NIS'!D34</f>
        <v>P</v>
      </c>
      <c r="H34" s="218" t="str">
        <f>'Short NIS'!E34</f>
        <v>X KA 1</v>
      </c>
      <c r="I34" s="168" t="s">
        <v>380</v>
      </c>
      <c r="J34" s="175">
        <v>33</v>
      </c>
      <c r="K34" s="175"/>
    </row>
    <row r="35" spans="1:11" x14ac:dyDescent="0.25">
      <c r="A35" s="175" t="str">
        <f t="shared" si="0"/>
        <v>X KA 1</v>
      </c>
      <c r="B35" s="175"/>
      <c r="C35" s="215">
        <f>'Short NIS'!A35</f>
        <v>102519558</v>
      </c>
      <c r="D35" s="216" t="str">
        <f>'Short NIS'!B35</f>
        <v>0095264635</v>
      </c>
      <c r="E35" s="175" t="str">
        <f t="shared" si="1"/>
        <v>102519558 /   0095264635</v>
      </c>
      <c r="F35" s="217" t="str">
        <f>'Short NIS'!C35</f>
        <v>SILVI NURSIVA</v>
      </c>
      <c r="G35" s="218" t="str">
        <f>'Short NIS'!D35</f>
        <v>P</v>
      </c>
      <c r="H35" s="218" t="str">
        <f>'Short NIS'!E35</f>
        <v>X KA 1</v>
      </c>
      <c r="I35" s="168" t="s">
        <v>380</v>
      </c>
      <c r="J35" s="175">
        <v>34</v>
      </c>
      <c r="K35" s="175"/>
    </row>
    <row r="36" spans="1:11" x14ac:dyDescent="0.25">
      <c r="A36" s="175" t="str">
        <f t="shared" si="0"/>
        <v>X KA 1</v>
      </c>
      <c r="B36" s="175"/>
      <c r="C36" s="215">
        <f>'Short NIS'!A36</f>
        <v>102519559</v>
      </c>
      <c r="D36" s="216" t="str">
        <f>'Short NIS'!B36</f>
        <v>0102522354</v>
      </c>
      <c r="E36" s="175" t="str">
        <f t="shared" si="1"/>
        <v>102519559 /   0102522354</v>
      </c>
      <c r="F36" s="217" t="str">
        <f>'Short NIS'!C36</f>
        <v>SONYA MELINDA</v>
      </c>
      <c r="G36" s="218" t="str">
        <f>'Short NIS'!D36</f>
        <v>P</v>
      </c>
      <c r="H36" s="218" t="str">
        <f>'Short NIS'!E36</f>
        <v>X KA 1</v>
      </c>
      <c r="I36" s="168" t="s">
        <v>380</v>
      </c>
      <c r="J36" s="175">
        <v>35</v>
      </c>
      <c r="K36" s="175"/>
    </row>
    <row r="37" spans="1:11" x14ac:dyDescent="0.25">
      <c r="A37" s="175" t="str">
        <f t="shared" si="0"/>
        <v>X KA 1</v>
      </c>
      <c r="B37" s="175"/>
      <c r="C37" s="215">
        <f>'Short NIS'!A37</f>
        <v>102519560</v>
      </c>
      <c r="D37" s="216" t="str">
        <f>'Short NIS'!B37</f>
        <v>0091940310</v>
      </c>
      <c r="E37" s="175" t="str">
        <f t="shared" si="1"/>
        <v>102519560 /   0091940310</v>
      </c>
      <c r="F37" s="217" t="str">
        <f>'Short NIS'!C37</f>
        <v>SYIFA RESTU PURWAKANTI</v>
      </c>
      <c r="G37" s="218" t="str">
        <f>'Short NIS'!D37</f>
        <v>P</v>
      </c>
      <c r="H37" s="218" t="str">
        <f>'Short NIS'!E37</f>
        <v>X KA 1</v>
      </c>
      <c r="I37" s="168" t="s">
        <v>380</v>
      </c>
      <c r="J37" s="175">
        <v>36</v>
      </c>
      <c r="K37" s="175"/>
    </row>
    <row r="38" spans="1:11" x14ac:dyDescent="0.25">
      <c r="A38" s="175" t="str">
        <f t="shared" si="0"/>
        <v>X KA 1</v>
      </c>
      <c r="B38" s="175"/>
      <c r="C38" s="215">
        <f>'Short NIS'!A38</f>
        <v>102519561</v>
      </c>
      <c r="D38" s="216">
        <f>'Short NIS'!B38</f>
        <v>0</v>
      </c>
      <c r="E38" s="175" t="str">
        <f t="shared" si="1"/>
        <v>102519561 /   0</v>
      </c>
      <c r="F38" s="217" t="str">
        <f>'Short NIS'!C38</f>
        <v>TAQI DZAKWAN</v>
      </c>
      <c r="G38" s="218" t="str">
        <f>'Short NIS'!D38</f>
        <v>L</v>
      </c>
      <c r="H38" s="218" t="str">
        <f>'Short NIS'!E38</f>
        <v>X KA 1</v>
      </c>
      <c r="I38" s="168" t="s">
        <v>384</v>
      </c>
      <c r="J38" s="175">
        <v>1</v>
      </c>
      <c r="K38" s="175"/>
    </row>
    <row r="39" spans="1:11" x14ac:dyDescent="0.25">
      <c r="A39" s="175" t="str">
        <f t="shared" si="0"/>
        <v>X KA 1</v>
      </c>
      <c r="B39" s="175"/>
      <c r="C39" s="215">
        <f>'Short NIS'!A39</f>
        <v>102519562</v>
      </c>
      <c r="D39" s="216" t="str">
        <f>'Short NIS'!B39</f>
        <v>0096879664</v>
      </c>
      <c r="E39" s="175" t="str">
        <f t="shared" si="1"/>
        <v>102519562 /   0096879664</v>
      </c>
      <c r="F39" s="217" t="str">
        <f>'Short NIS'!C39</f>
        <v>ZULFA HIKMATUL MAULA</v>
      </c>
      <c r="G39" s="218" t="str">
        <f>'Short NIS'!D39</f>
        <v>P</v>
      </c>
      <c r="H39" s="218" t="str">
        <f>'Short NIS'!E39</f>
        <v>X KA 1</v>
      </c>
      <c r="I39" s="219" t="s">
        <v>384</v>
      </c>
      <c r="J39" s="175">
        <v>2</v>
      </c>
      <c r="K39" s="175"/>
    </row>
    <row r="40" spans="1:11" x14ac:dyDescent="0.25">
      <c r="A40" s="175" t="str">
        <f t="shared" si="0"/>
        <v>X KA 2</v>
      </c>
      <c r="B40" s="175"/>
      <c r="C40" s="215">
        <f>'Short NIS'!A40</f>
        <v>102519563</v>
      </c>
      <c r="D40" s="216" t="str">
        <f>'Short NIS'!B40</f>
        <v>0099180280</v>
      </c>
      <c r="E40" s="175" t="str">
        <f t="shared" si="1"/>
        <v>102519563 /   0099180280</v>
      </c>
      <c r="F40" s="217" t="str">
        <f>'Short NIS'!C40</f>
        <v>ADINDA SAEPUTRI PRATAMA</v>
      </c>
      <c r="G40" s="218" t="str">
        <f>'Short NIS'!D40</f>
        <v>P</v>
      </c>
      <c r="H40" s="218" t="str">
        <f>'Short NIS'!E40</f>
        <v>X KA 2</v>
      </c>
      <c r="I40" s="219" t="s">
        <v>384</v>
      </c>
      <c r="J40" s="175">
        <v>3</v>
      </c>
      <c r="K40" s="175"/>
    </row>
    <row r="41" spans="1:11" x14ac:dyDescent="0.25">
      <c r="A41" s="175" t="str">
        <f t="shared" si="0"/>
        <v>X KA 2</v>
      </c>
      <c r="B41" s="175"/>
      <c r="C41" s="215">
        <f>'Short NIS'!A41</f>
        <v>102519564</v>
      </c>
      <c r="D41" s="216" t="str">
        <f>'Short NIS'!B41</f>
        <v>0106765674</v>
      </c>
      <c r="E41" s="175" t="str">
        <f t="shared" si="1"/>
        <v>102519564 /   0106765674</v>
      </c>
      <c r="F41" s="217" t="str">
        <f>'Short NIS'!C41</f>
        <v>AISHA PUTRI RIANUR AQMAR</v>
      </c>
      <c r="G41" s="218" t="str">
        <f>'Short NIS'!D41</f>
        <v>P</v>
      </c>
      <c r="H41" s="218" t="str">
        <f>'Short NIS'!E41</f>
        <v>X KA 2</v>
      </c>
      <c r="I41" s="219" t="s">
        <v>384</v>
      </c>
      <c r="J41" s="175">
        <v>4</v>
      </c>
      <c r="K41" s="175"/>
    </row>
    <row r="42" spans="1:11" x14ac:dyDescent="0.25">
      <c r="A42" s="175" t="str">
        <f t="shared" si="0"/>
        <v>X KA 2</v>
      </c>
      <c r="B42" s="175"/>
      <c r="C42" s="215">
        <f>'Short NIS'!A42</f>
        <v>102519565</v>
      </c>
      <c r="D42" s="216" t="str">
        <f>'Short NIS'!B42</f>
        <v>0095402818</v>
      </c>
      <c r="E42" s="175" t="str">
        <f t="shared" si="1"/>
        <v>102519565 /   0095402818</v>
      </c>
      <c r="F42" s="217" t="str">
        <f>'Short NIS'!C42</f>
        <v>ALLMIRA AELISA AGUSTINA</v>
      </c>
      <c r="G42" s="218" t="str">
        <f>'Short NIS'!D42</f>
        <v>P</v>
      </c>
      <c r="H42" s="218" t="str">
        <f>'Short NIS'!E42</f>
        <v>X KA 2</v>
      </c>
      <c r="I42" s="219" t="s">
        <v>384</v>
      </c>
      <c r="J42" s="175">
        <v>5</v>
      </c>
      <c r="K42" s="175"/>
    </row>
    <row r="43" spans="1:11" x14ac:dyDescent="0.25">
      <c r="A43" s="175" t="str">
        <f t="shared" si="0"/>
        <v>X KA 2</v>
      </c>
      <c r="B43" s="175"/>
      <c r="C43" s="215">
        <f>'Short NIS'!A43</f>
        <v>102519566</v>
      </c>
      <c r="D43" s="216" t="str">
        <f>'Short NIS'!B43</f>
        <v>0094245722</v>
      </c>
      <c r="E43" s="175" t="str">
        <f t="shared" si="1"/>
        <v>102519566 /   0094245722</v>
      </c>
      <c r="F43" s="217" t="str">
        <f>'Short NIS'!C43</f>
        <v>ARYASATYA FAWWAZ PUTRA PANGESTU</v>
      </c>
      <c r="G43" s="218" t="str">
        <f>'Short NIS'!D43</f>
        <v>L</v>
      </c>
      <c r="H43" s="218" t="str">
        <f>'Short NIS'!E43</f>
        <v>X KA 2</v>
      </c>
      <c r="I43" s="219" t="s">
        <v>384</v>
      </c>
      <c r="J43" s="175">
        <v>6</v>
      </c>
      <c r="K43" s="175"/>
    </row>
    <row r="44" spans="1:11" x14ac:dyDescent="0.25">
      <c r="A44" s="175" t="str">
        <f t="shared" si="0"/>
        <v>X KA 2</v>
      </c>
      <c r="B44" s="175"/>
      <c r="C44" s="215">
        <f>'Short NIS'!A44</f>
        <v>102519567</v>
      </c>
      <c r="D44" s="216" t="str">
        <f>'Short NIS'!B44</f>
        <v>0104185984</v>
      </c>
      <c r="E44" s="175" t="str">
        <f t="shared" si="1"/>
        <v>102519567 /   0104185984</v>
      </c>
      <c r="F44" s="217" t="str">
        <f>'Short NIS'!C44</f>
        <v>ASYIFA NUR ZAHRA</v>
      </c>
      <c r="G44" s="218" t="str">
        <f>'Short NIS'!D44</f>
        <v>P</v>
      </c>
      <c r="H44" s="218" t="str">
        <f>'Short NIS'!E44</f>
        <v>X KA 2</v>
      </c>
      <c r="I44" s="219" t="s">
        <v>384</v>
      </c>
      <c r="J44" s="175">
        <v>7</v>
      </c>
      <c r="K44" s="175"/>
    </row>
    <row r="45" spans="1:11" x14ac:dyDescent="0.25">
      <c r="A45" s="175" t="str">
        <f t="shared" si="0"/>
        <v>X KA 2</v>
      </c>
      <c r="B45" s="175"/>
      <c r="C45" s="215">
        <f>'Short NIS'!A45</f>
        <v>102519568</v>
      </c>
      <c r="D45" s="216" t="str">
        <f>'Short NIS'!B45</f>
        <v>0101112058</v>
      </c>
      <c r="E45" s="175" t="str">
        <f t="shared" si="1"/>
        <v>102519568 /   0101112058</v>
      </c>
      <c r="F45" s="217" t="str">
        <f>'Short NIS'!C45</f>
        <v>AULIYA PUTRI AFIYANTI</v>
      </c>
      <c r="G45" s="218" t="str">
        <f>'Short NIS'!D45</f>
        <v>P</v>
      </c>
      <c r="H45" s="218" t="str">
        <f>'Short NIS'!E45</f>
        <v>X KA 2</v>
      </c>
      <c r="I45" s="219" t="s">
        <v>384</v>
      </c>
      <c r="J45" s="175">
        <v>8</v>
      </c>
      <c r="K45" s="175"/>
    </row>
    <row r="46" spans="1:11" x14ac:dyDescent="0.25">
      <c r="A46" s="175" t="str">
        <f t="shared" si="0"/>
        <v>X KA 2</v>
      </c>
      <c r="B46" s="175"/>
      <c r="C46" s="215">
        <f>'Short NIS'!A46</f>
        <v>102519569</v>
      </c>
      <c r="D46" s="216" t="str">
        <f>'Short NIS'!B46</f>
        <v>3096564585</v>
      </c>
      <c r="E46" s="175" t="str">
        <f t="shared" si="1"/>
        <v>102519569 /   3096564585</v>
      </c>
      <c r="F46" s="217" t="str">
        <f>'Short NIS'!C46</f>
        <v>AURAEL SEILA MUTMAINAH</v>
      </c>
      <c r="G46" s="218" t="str">
        <f>'Short NIS'!D46</f>
        <v>P</v>
      </c>
      <c r="H46" s="218" t="str">
        <f>'Short NIS'!E46</f>
        <v>X KA 2</v>
      </c>
      <c r="I46" s="219" t="s">
        <v>384</v>
      </c>
      <c r="J46" s="175">
        <v>9</v>
      </c>
      <c r="K46" s="175"/>
    </row>
    <row r="47" spans="1:11" x14ac:dyDescent="0.25">
      <c r="A47" s="175" t="str">
        <f t="shared" si="0"/>
        <v>X KA 2</v>
      </c>
      <c r="B47" s="175"/>
      <c r="C47" s="215">
        <f>'Short NIS'!A47</f>
        <v>102519570</v>
      </c>
      <c r="D47" s="216" t="str">
        <f>'Short NIS'!B47</f>
        <v>0093214471</v>
      </c>
      <c r="E47" s="175" t="str">
        <f t="shared" si="1"/>
        <v>102519570 /   0093214471</v>
      </c>
      <c r="F47" s="217" t="str">
        <f>'Short NIS'!C47</f>
        <v>BELA RAMADHANI</v>
      </c>
      <c r="G47" s="218" t="str">
        <f>'Short NIS'!D47</f>
        <v>P</v>
      </c>
      <c r="H47" s="218" t="str">
        <f>'Short NIS'!E47</f>
        <v>X KA 2</v>
      </c>
      <c r="I47" s="219" t="s">
        <v>384</v>
      </c>
      <c r="J47" s="175">
        <v>10</v>
      </c>
      <c r="K47" s="175"/>
    </row>
    <row r="48" spans="1:11" x14ac:dyDescent="0.25">
      <c r="A48" s="175" t="str">
        <f t="shared" si="0"/>
        <v>X KA 2</v>
      </c>
      <c r="B48" s="175"/>
      <c r="C48" s="215">
        <f>'Short NIS'!A48</f>
        <v>102519571</v>
      </c>
      <c r="D48" s="216" t="str">
        <f>'Short NIS'!B48</f>
        <v>0093888701</v>
      </c>
      <c r="E48" s="175" t="str">
        <f t="shared" si="1"/>
        <v>102519571 /   0093888701</v>
      </c>
      <c r="F48" s="217" t="str">
        <f>'Short NIS'!C48</f>
        <v>DEVINA KAYSYA</v>
      </c>
      <c r="G48" s="218" t="str">
        <f>'Short NIS'!D48</f>
        <v>P</v>
      </c>
      <c r="H48" s="218" t="str">
        <f>'Short NIS'!E48</f>
        <v>X KA 2</v>
      </c>
      <c r="I48" s="219" t="s">
        <v>384</v>
      </c>
      <c r="J48" s="175">
        <v>11</v>
      </c>
      <c r="K48" s="175"/>
    </row>
    <row r="49" spans="1:11" x14ac:dyDescent="0.25">
      <c r="A49" s="175" t="str">
        <f t="shared" si="0"/>
        <v>X KA 2</v>
      </c>
      <c r="B49" s="175"/>
      <c r="C49" s="215">
        <f>'Short NIS'!A49</f>
        <v>102519572</v>
      </c>
      <c r="D49" s="216" t="str">
        <f>'Short NIS'!B49</f>
        <v>0093347836</v>
      </c>
      <c r="E49" s="175" t="str">
        <f t="shared" si="1"/>
        <v>102519572 /   0093347836</v>
      </c>
      <c r="F49" s="217" t="str">
        <f>'Short NIS'!C49</f>
        <v>ELVINA VALENCIA JASMINE</v>
      </c>
      <c r="G49" s="218" t="str">
        <f>'Short NIS'!D49</f>
        <v>P</v>
      </c>
      <c r="H49" s="218" t="str">
        <f>'Short NIS'!E49</f>
        <v>X KA 2</v>
      </c>
      <c r="I49" s="219" t="s">
        <v>384</v>
      </c>
      <c r="J49" s="175">
        <v>12</v>
      </c>
      <c r="K49" s="175"/>
    </row>
    <row r="50" spans="1:11" x14ac:dyDescent="0.25">
      <c r="A50" s="175" t="str">
        <f t="shared" si="0"/>
        <v>X KA 2</v>
      </c>
      <c r="B50" s="175"/>
      <c r="C50" s="215">
        <f>'Short NIS'!A50</f>
        <v>102519573</v>
      </c>
      <c r="D50" s="216" t="str">
        <f>'Short NIS'!B50</f>
        <v>0094277190</v>
      </c>
      <c r="E50" s="175" t="str">
        <f t="shared" si="1"/>
        <v>102519573 /   0094277190</v>
      </c>
      <c r="F50" s="217" t="str">
        <f>'Short NIS'!C50</f>
        <v>ERKAN NAUFAL SETIAWAN</v>
      </c>
      <c r="G50" s="218" t="str">
        <f>'Short NIS'!D50</f>
        <v>L</v>
      </c>
      <c r="H50" s="218" t="str">
        <f>'Short NIS'!E50</f>
        <v>X KA 2</v>
      </c>
      <c r="I50" s="219" t="s">
        <v>384</v>
      </c>
      <c r="J50" s="175">
        <v>13</v>
      </c>
      <c r="K50" s="175"/>
    </row>
    <row r="51" spans="1:11" x14ac:dyDescent="0.25">
      <c r="A51" s="175" t="str">
        <f t="shared" si="0"/>
        <v>X KA 2</v>
      </c>
      <c r="B51" s="175"/>
      <c r="C51" s="215">
        <f>'Short NIS'!A51</f>
        <v>102519574</v>
      </c>
      <c r="D51" s="216" t="str">
        <f>'Short NIS'!B51</f>
        <v>0094171813</v>
      </c>
      <c r="E51" s="175" t="str">
        <f t="shared" si="1"/>
        <v>102519574 /   0094171813</v>
      </c>
      <c r="F51" s="217" t="str">
        <f>'Short NIS'!C51</f>
        <v>FATHIA ADZRA LATIFAH</v>
      </c>
      <c r="G51" s="218" t="str">
        <f>'Short NIS'!D51</f>
        <v>P</v>
      </c>
      <c r="H51" s="218" t="str">
        <f>'Short NIS'!E51</f>
        <v>X KA 2</v>
      </c>
      <c r="I51" s="219" t="s">
        <v>384</v>
      </c>
      <c r="J51" s="175">
        <v>14</v>
      </c>
      <c r="K51" s="175"/>
    </row>
    <row r="52" spans="1:11" x14ac:dyDescent="0.25">
      <c r="A52" s="175" t="str">
        <f t="shared" si="0"/>
        <v>X KA 2</v>
      </c>
      <c r="B52" s="175"/>
      <c r="C52" s="215">
        <f>'Short NIS'!A52</f>
        <v>102519575</v>
      </c>
      <c r="D52" s="216" t="str">
        <f>'Short NIS'!B52</f>
        <v>0103371172</v>
      </c>
      <c r="E52" s="175" t="str">
        <f t="shared" si="1"/>
        <v>102519575 /   0103371172</v>
      </c>
      <c r="F52" s="217" t="str">
        <f>'Short NIS'!C52</f>
        <v>FERA MAULIDA SAKHI</v>
      </c>
      <c r="G52" s="218" t="str">
        <f>'Short NIS'!D52</f>
        <v>P</v>
      </c>
      <c r="H52" s="218" t="str">
        <f>'Short NIS'!E52</f>
        <v>X KA 2</v>
      </c>
      <c r="I52" s="219" t="s">
        <v>384</v>
      </c>
      <c r="J52" s="175">
        <v>15</v>
      </c>
      <c r="K52" s="175"/>
    </row>
    <row r="53" spans="1:11" x14ac:dyDescent="0.25">
      <c r="A53" s="175" t="str">
        <f t="shared" si="0"/>
        <v>X KA 2</v>
      </c>
      <c r="B53" s="175"/>
      <c r="C53" s="215">
        <f>'Short NIS'!A53</f>
        <v>102519576</v>
      </c>
      <c r="D53" s="216" t="str">
        <f>'Short NIS'!B53</f>
        <v>0109837686</v>
      </c>
      <c r="E53" s="175" t="str">
        <f t="shared" si="1"/>
        <v>102519576 /   0109837686</v>
      </c>
      <c r="F53" s="217" t="str">
        <f>'Short NIS'!C53</f>
        <v>GEMA ABDUL FATTAH</v>
      </c>
      <c r="G53" s="218" t="str">
        <f>'Short NIS'!D53</f>
        <v>L</v>
      </c>
      <c r="H53" s="218" t="str">
        <f>'Short NIS'!E53</f>
        <v>X KA 2</v>
      </c>
      <c r="I53" s="219" t="s">
        <v>384</v>
      </c>
      <c r="J53" s="175">
        <v>16</v>
      </c>
      <c r="K53" s="175"/>
    </row>
    <row r="54" spans="1:11" x14ac:dyDescent="0.25">
      <c r="A54" s="175" t="str">
        <f t="shared" si="0"/>
        <v>X KA 2</v>
      </c>
      <c r="B54" s="175"/>
      <c r="C54" s="215">
        <f>'Short NIS'!A54</f>
        <v>102519577</v>
      </c>
      <c r="D54" s="216" t="str">
        <f>'Short NIS'!B54</f>
        <v>0107888386</v>
      </c>
      <c r="E54" s="175" t="str">
        <f t="shared" si="1"/>
        <v>102519577 /   0107888386</v>
      </c>
      <c r="F54" s="217" t="str">
        <f>'Short NIS'!C54</f>
        <v>GENDIS NAYLA NUGROHO</v>
      </c>
      <c r="G54" s="218" t="str">
        <f>'Short NIS'!D54</f>
        <v>P</v>
      </c>
      <c r="H54" s="218" t="str">
        <f>'Short NIS'!E54</f>
        <v>X KA 2</v>
      </c>
      <c r="I54" s="219" t="s">
        <v>384</v>
      </c>
      <c r="J54" s="175">
        <v>17</v>
      </c>
      <c r="K54" s="175"/>
    </row>
    <row r="55" spans="1:11" x14ac:dyDescent="0.25">
      <c r="A55" s="175" t="str">
        <f t="shared" si="0"/>
        <v>X KA 2</v>
      </c>
      <c r="B55" s="175"/>
      <c r="C55" s="215">
        <f>'Short NIS'!A55</f>
        <v>102519578</v>
      </c>
      <c r="D55" s="216" t="str">
        <f>'Short NIS'!B55</f>
        <v>0098509677</v>
      </c>
      <c r="E55" s="175" t="str">
        <f t="shared" si="1"/>
        <v>102519578 /   0098509677</v>
      </c>
      <c r="F55" s="217" t="str">
        <f>'Short NIS'!C55</f>
        <v>IMAYESI</v>
      </c>
      <c r="G55" s="218" t="str">
        <f>'Short NIS'!D55</f>
        <v>P</v>
      </c>
      <c r="H55" s="218" t="str">
        <f>'Short NIS'!E55</f>
        <v>X KA 2</v>
      </c>
      <c r="I55" s="219" t="s">
        <v>384</v>
      </c>
      <c r="J55" s="175">
        <v>18</v>
      </c>
      <c r="K55" s="175"/>
    </row>
    <row r="56" spans="1:11" x14ac:dyDescent="0.25">
      <c r="A56" s="175" t="str">
        <f t="shared" si="0"/>
        <v>X KA 2</v>
      </c>
      <c r="B56" s="175"/>
      <c r="C56" s="215">
        <f>'Short NIS'!A56</f>
        <v>102519579</v>
      </c>
      <c r="D56" s="216" t="str">
        <f>'Short NIS'!B56</f>
        <v>0101334010</v>
      </c>
      <c r="E56" s="175" t="str">
        <f t="shared" si="1"/>
        <v>102519579 /   0101334010</v>
      </c>
      <c r="F56" s="217" t="str">
        <f>'Short NIS'!C56</f>
        <v>INTAN PUSPITASARI</v>
      </c>
      <c r="G56" s="218" t="str">
        <f>'Short NIS'!D56</f>
        <v>P</v>
      </c>
      <c r="H56" s="218" t="str">
        <f>'Short NIS'!E56</f>
        <v>X KA 2</v>
      </c>
      <c r="I56" s="219" t="s">
        <v>384</v>
      </c>
      <c r="J56" s="175">
        <v>19</v>
      </c>
      <c r="K56" s="175"/>
    </row>
    <row r="57" spans="1:11" x14ac:dyDescent="0.25">
      <c r="A57" s="175" t="str">
        <f t="shared" si="0"/>
        <v>X KA 2</v>
      </c>
      <c r="B57" s="175"/>
      <c r="C57" s="215">
        <f>'Short NIS'!A57</f>
        <v>102519580</v>
      </c>
      <c r="D57" s="216" t="str">
        <f>'Short NIS'!B57</f>
        <v>0096773379</v>
      </c>
      <c r="E57" s="175" t="str">
        <f t="shared" si="1"/>
        <v>102519580 /   0096773379</v>
      </c>
      <c r="F57" s="217" t="str">
        <f>'Short NIS'!C57</f>
        <v>KANIA DWI OKTARIANI</v>
      </c>
      <c r="G57" s="218" t="str">
        <f>'Short NIS'!D57</f>
        <v>P</v>
      </c>
      <c r="H57" s="218" t="str">
        <f>'Short NIS'!E57</f>
        <v>X KA 2</v>
      </c>
      <c r="I57" s="219" t="s">
        <v>384</v>
      </c>
      <c r="J57" s="175">
        <v>20</v>
      </c>
      <c r="K57" s="175"/>
    </row>
    <row r="58" spans="1:11" x14ac:dyDescent="0.25">
      <c r="A58" s="175" t="str">
        <f t="shared" si="0"/>
        <v>X KA 2</v>
      </c>
      <c r="B58" s="175"/>
      <c r="C58" s="215">
        <f>'Short NIS'!A58</f>
        <v>102519581</v>
      </c>
      <c r="D58" s="216" t="str">
        <f>'Short NIS'!B58</f>
        <v>0099011455</v>
      </c>
      <c r="E58" s="175" t="str">
        <f t="shared" si="1"/>
        <v>102519581 /   0099011455</v>
      </c>
      <c r="F58" s="217" t="str">
        <f>'Short NIS'!C58</f>
        <v>KAREENA NOVAYANI SOLIHAH</v>
      </c>
      <c r="G58" s="218" t="str">
        <f>'Short NIS'!D58</f>
        <v>P</v>
      </c>
      <c r="H58" s="218" t="str">
        <f>'Short NIS'!E58</f>
        <v>X KA 2</v>
      </c>
      <c r="I58" s="219" t="s">
        <v>384</v>
      </c>
      <c r="J58" s="175">
        <v>21</v>
      </c>
      <c r="K58" s="175"/>
    </row>
    <row r="59" spans="1:11" x14ac:dyDescent="0.25">
      <c r="A59" s="175" t="str">
        <f t="shared" si="0"/>
        <v>X KA 2</v>
      </c>
      <c r="B59" s="175"/>
      <c r="C59" s="215">
        <f>'Short NIS'!A59</f>
        <v>102519582</v>
      </c>
      <c r="D59" s="216" t="str">
        <f>'Short NIS'!B59</f>
        <v>0091241571</v>
      </c>
      <c r="E59" s="175" t="str">
        <f t="shared" si="1"/>
        <v>102519582 /   0091241571</v>
      </c>
      <c r="F59" s="217" t="str">
        <f>'Short NIS'!C59</f>
        <v>KEYLA RAHMA SEPTRIANI</v>
      </c>
      <c r="G59" s="218" t="str">
        <f>'Short NIS'!D59</f>
        <v>P</v>
      </c>
      <c r="H59" s="218" t="str">
        <f>'Short NIS'!E59</f>
        <v>X KA 2</v>
      </c>
      <c r="I59" s="219" t="s">
        <v>384</v>
      </c>
      <c r="J59" s="175">
        <v>22</v>
      </c>
      <c r="K59" s="175"/>
    </row>
    <row r="60" spans="1:11" x14ac:dyDescent="0.25">
      <c r="A60" s="175" t="str">
        <f t="shared" si="0"/>
        <v>X KA 2</v>
      </c>
      <c r="B60" s="175"/>
      <c r="C60" s="215">
        <f>'Short NIS'!A60</f>
        <v>102519583</v>
      </c>
      <c r="D60" s="216" t="str">
        <f>'Short NIS'!B60</f>
        <v>0107094496</v>
      </c>
      <c r="E60" s="175" t="str">
        <f t="shared" si="1"/>
        <v>102519583 /   0107094496</v>
      </c>
      <c r="F60" s="217" t="str">
        <f>'Short NIS'!C60</f>
        <v>MAWAR YUSI ZHULIYANTI</v>
      </c>
      <c r="G60" s="218" t="str">
        <f>'Short NIS'!D60</f>
        <v>P</v>
      </c>
      <c r="H60" s="218" t="str">
        <f>'Short NIS'!E60</f>
        <v>X KA 2</v>
      </c>
      <c r="I60" s="219" t="s">
        <v>384</v>
      </c>
      <c r="J60" s="175">
        <v>23</v>
      </c>
      <c r="K60" s="175"/>
    </row>
    <row r="61" spans="1:11" x14ac:dyDescent="0.25">
      <c r="A61" s="175" t="str">
        <f t="shared" si="0"/>
        <v>X KA 2</v>
      </c>
      <c r="B61" s="175"/>
      <c r="C61" s="215">
        <f>'Short NIS'!A61</f>
        <v>102519584</v>
      </c>
      <c r="D61" s="216" t="str">
        <f>'Short NIS'!B61</f>
        <v>0107613744</v>
      </c>
      <c r="E61" s="175" t="str">
        <f t="shared" si="1"/>
        <v>102519584 /   0107613744</v>
      </c>
      <c r="F61" s="217" t="str">
        <f>'Short NIS'!C61</f>
        <v>MOHAMAD AZZAM HADRIAN</v>
      </c>
      <c r="G61" s="218" t="str">
        <f>'Short NIS'!D61</f>
        <v>L</v>
      </c>
      <c r="H61" s="218" t="str">
        <f>'Short NIS'!E61</f>
        <v>X KA 2</v>
      </c>
      <c r="I61" s="219" t="s">
        <v>384</v>
      </c>
      <c r="J61" s="175">
        <v>24</v>
      </c>
      <c r="K61" s="175"/>
    </row>
    <row r="62" spans="1:11" x14ac:dyDescent="0.25">
      <c r="A62" s="175" t="str">
        <f t="shared" si="0"/>
        <v>X KA 2</v>
      </c>
      <c r="B62" s="175"/>
      <c r="C62" s="215">
        <f>'Short NIS'!A62</f>
        <v>102519585</v>
      </c>
      <c r="D62" s="216" t="str">
        <f>'Short NIS'!B62</f>
        <v>0093347342</v>
      </c>
      <c r="E62" s="175" t="str">
        <f t="shared" si="1"/>
        <v>102519585 /   0093347342</v>
      </c>
      <c r="F62" s="217" t="str">
        <f>'Short NIS'!C62</f>
        <v>MUHAMMAD ALFARIZI KOMARA</v>
      </c>
      <c r="G62" s="218" t="str">
        <f>'Short NIS'!D62</f>
        <v>L</v>
      </c>
      <c r="H62" s="218" t="str">
        <f>'Short NIS'!E62</f>
        <v>X KA 2</v>
      </c>
      <c r="I62" s="219" t="s">
        <v>384</v>
      </c>
      <c r="J62" s="175">
        <v>25</v>
      </c>
      <c r="K62" s="175"/>
    </row>
    <row r="63" spans="1:11" x14ac:dyDescent="0.25">
      <c r="A63" s="175" t="str">
        <f t="shared" si="0"/>
        <v>X KA 2</v>
      </c>
      <c r="B63" s="175"/>
      <c r="C63" s="215">
        <f>'Short NIS'!A63</f>
        <v>102519586</v>
      </c>
      <c r="D63" s="216" t="str">
        <f>'Short NIS'!B63</f>
        <v>0093634483</v>
      </c>
      <c r="E63" s="175" t="str">
        <f t="shared" si="1"/>
        <v>102519586 /   0093634483</v>
      </c>
      <c r="F63" s="217" t="str">
        <f>'Short NIS'!C63</f>
        <v>MUHAMMAD GILANG RAMADHAN</v>
      </c>
      <c r="G63" s="218" t="str">
        <f>'Short NIS'!D63</f>
        <v>L</v>
      </c>
      <c r="H63" s="218" t="str">
        <f>'Short NIS'!E63</f>
        <v>X KA 2</v>
      </c>
      <c r="I63" s="219" t="s">
        <v>384</v>
      </c>
      <c r="J63" s="175">
        <v>26</v>
      </c>
      <c r="K63" s="175"/>
    </row>
    <row r="64" spans="1:11" x14ac:dyDescent="0.25">
      <c r="A64" s="175" t="str">
        <f t="shared" si="0"/>
        <v>X KA 2</v>
      </c>
      <c r="B64" s="175"/>
      <c r="C64" s="215">
        <f>'Short NIS'!A64</f>
        <v>102519587</v>
      </c>
      <c r="D64" s="216" t="str">
        <f>'Short NIS'!B64</f>
        <v>0091423127</v>
      </c>
      <c r="E64" s="175" t="str">
        <f t="shared" si="1"/>
        <v>102519587 /   0091423127</v>
      </c>
      <c r="F64" s="217" t="str">
        <f>'Short NIS'!C64</f>
        <v>MUHAMMAD ILHAM RAMADHAN</v>
      </c>
      <c r="G64" s="218" t="str">
        <f>'Short NIS'!D64</f>
        <v>L</v>
      </c>
      <c r="H64" s="218" t="str">
        <f>'Short NIS'!E64</f>
        <v>X KA 2</v>
      </c>
      <c r="I64" s="219" t="s">
        <v>384</v>
      </c>
      <c r="J64" s="175">
        <v>27</v>
      </c>
      <c r="K64" s="175"/>
    </row>
    <row r="65" spans="1:11" x14ac:dyDescent="0.25">
      <c r="A65" s="175" t="str">
        <f t="shared" si="0"/>
        <v>X KA 2</v>
      </c>
      <c r="B65" s="175"/>
      <c r="C65" s="215">
        <f>'Short NIS'!A65</f>
        <v>102519588</v>
      </c>
      <c r="D65" s="216">
        <f>'Short NIS'!B65</f>
        <v>0</v>
      </c>
      <c r="E65" s="175" t="str">
        <f t="shared" si="1"/>
        <v>102519588 /   0</v>
      </c>
      <c r="F65" s="217" t="str">
        <f>'Short NIS'!C65</f>
        <v>MUHAMMAD ILYAS</v>
      </c>
      <c r="G65" s="218" t="str">
        <f>'Short NIS'!D65</f>
        <v>L</v>
      </c>
      <c r="H65" s="218" t="str">
        <f>'Short NIS'!E65</f>
        <v>X KA 2</v>
      </c>
      <c r="I65" s="219" t="s">
        <v>384</v>
      </c>
      <c r="J65" s="175">
        <v>28</v>
      </c>
      <c r="K65" s="175"/>
    </row>
    <row r="66" spans="1:11" x14ac:dyDescent="0.25">
      <c r="A66" s="175" t="str">
        <f t="shared" ref="A66:A130" si="2">H66&amp;B66</f>
        <v>X KA 2</v>
      </c>
      <c r="B66" s="175"/>
      <c r="C66" s="215">
        <f>'Short NIS'!A66</f>
        <v>102519589</v>
      </c>
      <c r="D66" s="216" t="str">
        <f>'Short NIS'!B66</f>
        <v>0098960363</v>
      </c>
      <c r="E66" s="175" t="str">
        <f t="shared" si="1"/>
        <v>102519589 /   0098960363</v>
      </c>
      <c r="F66" s="217" t="str">
        <f>'Short NIS'!C66</f>
        <v>MUHAMMAD RADITYA ALFARAZEL SULTON</v>
      </c>
      <c r="G66" s="218" t="str">
        <f>'Short NIS'!D66</f>
        <v>L</v>
      </c>
      <c r="H66" s="218" t="str">
        <f>'Short NIS'!E66</f>
        <v>X KA 2</v>
      </c>
      <c r="I66" s="219" t="s">
        <v>384</v>
      </c>
      <c r="J66" s="175">
        <v>29</v>
      </c>
      <c r="K66" s="175"/>
    </row>
    <row r="67" spans="1:11" x14ac:dyDescent="0.25">
      <c r="A67" s="175" t="str">
        <f t="shared" si="2"/>
        <v>X KA 2</v>
      </c>
      <c r="B67" s="175"/>
      <c r="C67" s="215">
        <f>'Short NIS'!A67</f>
        <v>102519590</v>
      </c>
      <c r="D67" s="216" t="str">
        <f>'Short NIS'!B67</f>
        <v>0091205573</v>
      </c>
      <c r="E67" s="175" t="str">
        <f t="shared" ref="E67:E130" si="3">C67&amp;" /   "&amp;D67</f>
        <v>102519590 /   0091205573</v>
      </c>
      <c r="F67" s="217" t="str">
        <f>'Short NIS'!C67</f>
        <v>MUHAMMAD ZIYAD ARYA SUNDAYA</v>
      </c>
      <c r="G67" s="218" t="str">
        <f>'Short NIS'!D67</f>
        <v>L</v>
      </c>
      <c r="H67" s="218" t="str">
        <f>'Short NIS'!E67</f>
        <v>X KA 2</v>
      </c>
      <c r="I67" s="219" t="s">
        <v>384</v>
      </c>
      <c r="J67" s="175">
        <v>30</v>
      </c>
      <c r="K67" s="175"/>
    </row>
    <row r="68" spans="1:11" x14ac:dyDescent="0.25">
      <c r="A68" s="175" t="str">
        <f t="shared" si="2"/>
        <v>X KA 2</v>
      </c>
      <c r="B68" s="175"/>
      <c r="C68" s="215">
        <f>'Short NIS'!A68</f>
        <v>102519591</v>
      </c>
      <c r="D68" s="216" t="str">
        <f>'Short NIS'!B68</f>
        <v>0104435384</v>
      </c>
      <c r="E68" s="175" t="str">
        <f t="shared" si="3"/>
        <v>102519591 /   0104435384</v>
      </c>
      <c r="F68" s="217" t="str">
        <f>'Short NIS'!C68</f>
        <v>NEYSA ZHARIFA ANEIRA</v>
      </c>
      <c r="G68" s="218" t="str">
        <f>'Short NIS'!D68</f>
        <v>P</v>
      </c>
      <c r="H68" s="218" t="str">
        <f>'Short NIS'!E68</f>
        <v>X KA 2</v>
      </c>
      <c r="I68" s="219" t="s">
        <v>384</v>
      </c>
      <c r="J68" s="175">
        <v>31</v>
      </c>
      <c r="K68" s="175"/>
    </row>
    <row r="69" spans="1:11" x14ac:dyDescent="0.25">
      <c r="A69" s="175" t="str">
        <f t="shared" si="2"/>
        <v>X KA 2</v>
      </c>
      <c r="B69" s="175"/>
      <c r="C69" s="215">
        <f>'Short NIS'!A69</f>
        <v>102519592</v>
      </c>
      <c r="D69" s="216" t="str">
        <f>'Short NIS'!B69</f>
        <v>0097789543</v>
      </c>
      <c r="E69" s="175" t="str">
        <f t="shared" si="3"/>
        <v>102519592 /   0097789543</v>
      </c>
      <c r="F69" s="217" t="str">
        <f>'Short NIS'!C69</f>
        <v>NUR HAUNA ANINDITA</v>
      </c>
      <c r="G69" s="218" t="str">
        <f>'Short NIS'!D69</f>
        <v>P</v>
      </c>
      <c r="H69" s="218" t="str">
        <f>'Short NIS'!E69</f>
        <v>X KA 2</v>
      </c>
      <c r="I69" s="219" t="s">
        <v>384</v>
      </c>
      <c r="J69" s="175">
        <v>32</v>
      </c>
      <c r="K69" s="175"/>
    </row>
    <row r="70" spans="1:11" x14ac:dyDescent="0.25">
      <c r="A70" s="175" t="str">
        <f t="shared" si="2"/>
        <v>X KA 2</v>
      </c>
      <c r="B70" s="175"/>
      <c r="C70" s="215">
        <f>'Short NIS'!A70</f>
        <v>102519593</v>
      </c>
      <c r="D70" s="216" t="str">
        <f>'Short NIS'!B70</f>
        <v>0091135785</v>
      </c>
      <c r="E70" s="175" t="str">
        <f t="shared" si="3"/>
        <v>102519593 /   0091135785</v>
      </c>
      <c r="F70" s="217" t="str">
        <f>'Short NIS'!C70</f>
        <v>RAFIE DWI ARDHANI</v>
      </c>
      <c r="G70" s="218" t="str">
        <f>'Short NIS'!D70</f>
        <v>L</v>
      </c>
      <c r="H70" s="218" t="str">
        <f>'Short NIS'!E70</f>
        <v>X KA 2</v>
      </c>
      <c r="I70" s="219" t="s">
        <v>384</v>
      </c>
      <c r="J70" s="175">
        <v>33</v>
      </c>
      <c r="K70" s="175"/>
    </row>
    <row r="71" spans="1:11" x14ac:dyDescent="0.25">
      <c r="A71" s="175" t="str">
        <f t="shared" si="2"/>
        <v>X KA 2</v>
      </c>
      <c r="B71" s="175"/>
      <c r="C71" s="215">
        <f>'Short NIS'!A71</f>
        <v>102519594</v>
      </c>
      <c r="D71" s="216" t="str">
        <f>'Short NIS'!B71</f>
        <v>0105413853</v>
      </c>
      <c r="E71" s="175" t="str">
        <f t="shared" si="3"/>
        <v>102519594 /   0105413853</v>
      </c>
      <c r="F71" s="217" t="str">
        <f>'Short NIS'!C71</f>
        <v>RASYA AYASKARA MORELLO</v>
      </c>
      <c r="G71" s="218" t="str">
        <f>'Short NIS'!D71</f>
        <v>L</v>
      </c>
      <c r="H71" s="218" t="str">
        <f>'Short NIS'!E71</f>
        <v>X KA 2</v>
      </c>
      <c r="I71" s="219" t="s">
        <v>384</v>
      </c>
      <c r="J71" s="175">
        <v>34</v>
      </c>
      <c r="K71" s="175"/>
    </row>
    <row r="72" spans="1:11" x14ac:dyDescent="0.25">
      <c r="A72" s="175" t="str">
        <f t="shared" si="2"/>
        <v>X KA 2</v>
      </c>
      <c r="B72" s="175"/>
      <c r="C72" s="215">
        <f>'Short NIS'!A72</f>
        <v>102519595</v>
      </c>
      <c r="D72" s="216" t="str">
        <f>'Short NIS'!B72</f>
        <v>0099437692</v>
      </c>
      <c r="E72" s="175" t="str">
        <f t="shared" si="3"/>
        <v>102519595 /   0099437692</v>
      </c>
      <c r="F72" s="217" t="str">
        <f>'Short NIS'!C72</f>
        <v>REZKY FADILAH</v>
      </c>
      <c r="G72" s="218" t="str">
        <f>'Short NIS'!D72</f>
        <v>L</v>
      </c>
      <c r="H72" s="218" t="str">
        <f>'Short NIS'!E72</f>
        <v>X KA 2</v>
      </c>
      <c r="I72" s="219" t="s">
        <v>384</v>
      </c>
      <c r="J72" s="175">
        <v>35</v>
      </c>
      <c r="K72" s="175"/>
    </row>
    <row r="73" spans="1:11" x14ac:dyDescent="0.25">
      <c r="A73" s="175" t="str">
        <f t="shared" si="2"/>
        <v>X KA 2</v>
      </c>
      <c r="B73" s="175"/>
      <c r="C73" s="215">
        <f>'Short NIS'!A73</f>
        <v>102519596</v>
      </c>
      <c r="D73" s="216" t="str">
        <f>'Short NIS'!B73</f>
        <v>0091322913</v>
      </c>
      <c r="E73" s="175" t="str">
        <f t="shared" si="3"/>
        <v>102519596 /   0091322913</v>
      </c>
      <c r="F73" s="217" t="str">
        <f>'Short NIS'!C73</f>
        <v>RIDWAN PATHUR ROHMAN</v>
      </c>
      <c r="G73" s="218" t="str">
        <f>'Short NIS'!D73</f>
        <v>L</v>
      </c>
      <c r="H73" s="218" t="str">
        <f>'Short NIS'!E73</f>
        <v>X KA 2</v>
      </c>
      <c r="I73" s="219" t="s">
        <v>384</v>
      </c>
      <c r="J73" s="175">
        <v>36</v>
      </c>
      <c r="K73" s="175"/>
    </row>
    <row r="74" spans="1:11" x14ac:dyDescent="0.25">
      <c r="A74" s="175" t="str">
        <f t="shared" si="2"/>
        <v>X KA 2</v>
      </c>
      <c r="B74" s="175"/>
      <c r="C74" s="215">
        <f>'Short NIS'!A74</f>
        <v>102519597</v>
      </c>
      <c r="D74" s="216" t="str">
        <f>'Short NIS'!B74</f>
        <v>0094657337</v>
      </c>
      <c r="E74" s="175" t="str">
        <f t="shared" si="3"/>
        <v>102519597 /   0094657337</v>
      </c>
      <c r="F74" s="217" t="str">
        <f>'Short NIS'!C74</f>
        <v>SAFIRA TRIANDINI SAKTI</v>
      </c>
      <c r="G74" s="218" t="str">
        <f>'Short NIS'!D74</f>
        <v>P</v>
      </c>
      <c r="H74" s="218" t="str">
        <f>'Short NIS'!E74</f>
        <v>X KA 2</v>
      </c>
      <c r="I74" s="219" t="s">
        <v>387</v>
      </c>
      <c r="J74" s="175">
        <v>1</v>
      </c>
      <c r="K74" s="175"/>
    </row>
    <row r="75" spans="1:11" x14ac:dyDescent="0.25">
      <c r="A75" s="175" t="str">
        <f t="shared" si="2"/>
        <v>X KA 2</v>
      </c>
      <c r="B75" s="175"/>
      <c r="C75" s="215">
        <f>'Short NIS'!A75</f>
        <v>102519598</v>
      </c>
      <c r="D75" s="216" t="str">
        <f>'Short NIS'!B75</f>
        <v>0101880869</v>
      </c>
      <c r="E75" s="175" t="str">
        <f t="shared" si="3"/>
        <v>102519598 /   0101880869</v>
      </c>
      <c r="F75" s="217" t="str">
        <f>'Short NIS'!C75</f>
        <v>SHIFA'U ZAHRA</v>
      </c>
      <c r="G75" s="218" t="str">
        <f>'Short NIS'!D75</f>
        <v>P</v>
      </c>
      <c r="H75" s="218" t="str">
        <f>'Short NIS'!E75</f>
        <v>X KA 2</v>
      </c>
      <c r="I75" s="219" t="s">
        <v>387</v>
      </c>
      <c r="J75" s="175">
        <v>2</v>
      </c>
      <c r="K75" s="175"/>
    </row>
    <row r="76" spans="1:11" x14ac:dyDescent="0.25">
      <c r="A76" s="175" t="str">
        <f t="shared" si="2"/>
        <v>X KA 2</v>
      </c>
      <c r="B76" s="175"/>
      <c r="C76" s="215">
        <f>'Short NIS'!A76</f>
        <v>102519599</v>
      </c>
      <c r="D76" s="216" t="str">
        <f>'Short NIS'!B76</f>
        <v>0093633149</v>
      </c>
      <c r="E76" s="175" t="str">
        <f t="shared" si="3"/>
        <v>102519599 /   0093633149</v>
      </c>
      <c r="F76" s="217" t="str">
        <f>'Short NIS'!C76</f>
        <v>SYEILLA CANTIKA MUTHMAINAH</v>
      </c>
      <c r="G76" s="218" t="str">
        <f>'Short NIS'!D76</f>
        <v>P</v>
      </c>
      <c r="H76" s="218" t="str">
        <f>'Short NIS'!E76</f>
        <v>X KA 2</v>
      </c>
      <c r="I76" s="219" t="s">
        <v>387</v>
      </c>
      <c r="J76" s="175">
        <v>3</v>
      </c>
      <c r="K76" s="175"/>
    </row>
    <row r="77" spans="1:11" x14ac:dyDescent="0.25">
      <c r="A77" s="175" t="str">
        <f t="shared" si="2"/>
        <v>X KA 2</v>
      </c>
      <c r="B77" s="175"/>
      <c r="C77" s="215">
        <f>'Short NIS'!A77</f>
        <v>102519600</v>
      </c>
      <c r="D77" s="216" t="str">
        <f>'Short NIS'!B77</f>
        <v>0107585237</v>
      </c>
      <c r="E77" s="175" t="str">
        <f t="shared" si="3"/>
        <v>102519600 /   0107585237</v>
      </c>
      <c r="F77" s="217" t="str">
        <f>'Short NIS'!C77</f>
        <v>ZULFANI ALEA PUTRI</v>
      </c>
      <c r="G77" s="218" t="str">
        <f>'Short NIS'!D77</f>
        <v>P</v>
      </c>
      <c r="H77" s="218" t="str">
        <f>'Short NIS'!E77</f>
        <v>X KA 2</v>
      </c>
      <c r="I77" s="219" t="s">
        <v>387</v>
      </c>
      <c r="J77" s="175">
        <v>4</v>
      </c>
      <c r="K77" s="175"/>
    </row>
    <row r="78" spans="1:11" x14ac:dyDescent="0.25">
      <c r="A78" s="175" t="str">
        <f t="shared" si="2"/>
        <v>X KA 3</v>
      </c>
      <c r="B78" s="175"/>
      <c r="C78" s="215">
        <f>'Short NIS'!A78</f>
        <v>102519601</v>
      </c>
      <c r="D78" s="216" t="str">
        <f>'Short NIS'!B78</f>
        <v>0098965430</v>
      </c>
      <c r="E78" s="175" t="str">
        <f t="shared" si="3"/>
        <v>102519601 /   0098965430</v>
      </c>
      <c r="F78" s="217" t="str">
        <f>'Short NIS'!C78</f>
        <v>ADINDA SITI ZUMAIRAH</v>
      </c>
      <c r="G78" s="218" t="str">
        <f>'Short NIS'!D78</f>
        <v>P</v>
      </c>
      <c r="H78" s="218" t="str">
        <f>'Short NIS'!E78</f>
        <v>X KA 3</v>
      </c>
      <c r="I78" s="219" t="s">
        <v>387</v>
      </c>
      <c r="J78" s="175">
        <v>5</v>
      </c>
      <c r="K78" s="175"/>
    </row>
    <row r="79" spans="1:11" x14ac:dyDescent="0.25">
      <c r="A79" s="175" t="str">
        <f t="shared" si="2"/>
        <v>X KA 3</v>
      </c>
      <c r="B79" s="175"/>
      <c r="C79" s="215">
        <f>'Short NIS'!A79</f>
        <v>102519602</v>
      </c>
      <c r="D79" s="216" t="str">
        <f>'Short NIS'!B79</f>
        <v>0088948338</v>
      </c>
      <c r="E79" s="175" t="str">
        <f t="shared" si="3"/>
        <v>102519602 /   0088948338</v>
      </c>
      <c r="F79" s="217" t="str">
        <f>'Short NIS'!C79</f>
        <v>AGRA SATRIA NOVAL NUGRAHA</v>
      </c>
      <c r="G79" s="218" t="str">
        <f>'Short NIS'!D79</f>
        <v>L</v>
      </c>
      <c r="H79" s="218" t="str">
        <f>'Short NIS'!E79</f>
        <v>X KA 3</v>
      </c>
      <c r="I79" s="219" t="s">
        <v>387</v>
      </c>
      <c r="J79" s="175">
        <v>6</v>
      </c>
      <c r="K79" s="175"/>
    </row>
    <row r="80" spans="1:11" x14ac:dyDescent="0.25">
      <c r="A80" s="175" t="str">
        <f t="shared" si="2"/>
        <v>X KA 3</v>
      </c>
      <c r="B80" s="175"/>
      <c r="C80" s="215">
        <f>'Short NIS'!A80</f>
        <v>102519603</v>
      </c>
      <c r="D80" s="216" t="str">
        <f>'Short NIS'!B80</f>
        <v>0096003284</v>
      </c>
      <c r="E80" s="175" t="str">
        <f t="shared" si="3"/>
        <v>102519603 /   0096003284</v>
      </c>
      <c r="F80" s="217" t="str">
        <f>'Short NIS'!C80</f>
        <v>ALTDEL NAAZNEEN APRILLA</v>
      </c>
      <c r="G80" s="218" t="str">
        <f>'Short NIS'!D80</f>
        <v>P</v>
      </c>
      <c r="H80" s="218" t="str">
        <f>'Short NIS'!E80</f>
        <v>X KA 3</v>
      </c>
      <c r="I80" s="219" t="s">
        <v>387</v>
      </c>
      <c r="J80" s="175">
        <v>7</v>
      </c>
      <c r="K80" s="175"/>
    </row>
    <row r="81" spans="1:11" x14ac:dyDescent="0.25">
      <c r="A81" s="175" t="str">
        <f t="shared" si="2"/>
        <v>X KA 3</v>
      </c>
      <c r="B81" s="175"/>
      <c r="C81" s="215">
        <f>'Short NIS'!A81</f>
        <v>102519604</v>
      </c>
      <c r="D81" s="216" t="str">
        <f>'Short NIS'!B81</f>
        <v>0096824481</v>
      </c>
      <c r="E81" s="175" t="str">
        <f t="shared" si="3"/>
        <v>102519604 /   0096824481</v>
      </c>
      <c r="F81" s="217" t="str">
        <f>'Short NIS'!C81</f>
        <v>AULIA KHOEROTUNNISA NURYANI</v>
      </c>
      <c r="G81" s="218" t="str">
        <f>'Short NIS'!D81</f>
        <v>P</v>
      </c>
      <c r="H81" s="218" t="str">
        <f>'Short NIS'!E81</f>
        <v>X KA 3</v>
      </c>
      <c r="I81" s="219" t="s">
        <v>387</v>
      </c>
      <c r="J81" s="175">
        <v>8</v>
      </c>
      <c r="K81" s="175"/>
    </row>
    <row r="82" spans="1:11" x14ac:dyDescent="0.25">
      <c r="A82" s="175" t="str">
        <f t="shared" si="2"/>
        <v>X KA 3</v>
      </c>
      <c r="B82" s="175"/>
      <c r="C82" s="215">
        <f>'Short NIS'!A82</f>
        <v>102519605</v>
      </c>
      <c r="D82" s="216" t="str">
        <f>'Short NIS'!B82</f>
        <v>0105404598</v>
      </c>
      <c r="E82" s="175" t="str">
        <f t="shared" si="3"/>
        <v>102519605 /   0105404598</v>
      </c>
      <c r="F82" s="217" t="str">
        <f>'Short NIS'!C82</f>
        <v>AVRILIA INDRIANI</v>
      </c>
      <c r="G82" s="218" t="str">
        <f>'Short NIS'!D82</f>
        <v>P</v>
      </c>
      <c r="H82" s="218" t="str">
        <f>'Short NIS'!E82</f>
        <v>X KA 3</v>
      </c>
      <c r="I82" s="219" t="s">
        <v>387</v>
      </c>
      <c r="J82" s="175">
        <v>9</v>
      </c>
      <c r="K82" s="175"/>
    </row>
    <row r="83" spans="1:11" x14ac:dyDescent="0.25">
      <c r="A83" s="175" t="str">
        <f t="shared" si="2"/>
        <v>X KA 3</v>
      </c>
      <c r="B83" s="175"/>
      <c r="C83" s="215">
        <f>'Short NIS'!A83</f>
        <v>102519606</v>
      </c>
      <c r="D83" s="216" t="str">
        <f>'Short NIS'!B83</f>
        <v>0096302436</v>
      </c>
      <c r="E83" s="175" t="str">
        <f t="shared" si="3"/>
        <v>102519606 /   0096302436</v>
      </c>
      <c r="F83" s="217" t="str">
        <f>'Short NIS'!C83</f>
        <v>AZZARQO NAJMALAILA</v>
      </c>
      <c r="G83" s="218" t="str">
        <f>'Short NIS'!D83</f>
        <v>P</v>
      </c>
      <c r="H83" s="218" t="str">
        <f>'Short NIS'!E83</f>
        <v>X KA 3</v>
      </c>
      <c r="I83" s="219" t="s">
        <v>387</v>
      </c>
      <c r="J83" s="175">
        <v>10</v>
      </c>
      <c r="K83" s="175"/>
    </row>
    <row r="84" spans="1:11" x14ac:dyDescent="0.25">
      <c r="A84" s="175" t="str">
        <f t="shared" si="2"/>
        <v>X KA 3</v>
      </c>
      <c r="B84" s="175"/>
      <c r="C84" s="215">
        <f>'Short NIS'!A84</f>
        <v>102519607</v>
      </c>
      <c r="D84" s="216" t="str">
        <f>'Short NIS'!B84</f>
        <v>0098884018</v>
      </c>
      <c r="E84" s="175" t="str">
        <f t="shared" si="3"/>
        <v>102519607 /   0098884018</v>
      </c>
      <c r="F84" s="217" t="str">
        <f>'Short NIS'!C84</f>
        <v>BAHAGIA SVETLANA AISHA FARHANA</v>
      </c>
      <c r="G84" s="218" t="str">
        <f>'Short NIS'!D84</f>
        <v>P</v>
      </c>
      <c r="H84" s="218" t="str">
        <f>'Short NIS'!E84</f>
        <v>X KA 3</v>
      </c>
      <c r="I84" s="219" t="s">
        <v>387</v>
      </c>
      <c r="J84" s="175">
        <v>11</v>
      </c>
      <c r="K84" s="175"/>
    </row>
    <row r="85" spans="1:11" x14ac:dyDescent="0.25">
      <c r="A85" s="175" t="str">
        <f t="shared" si="2"/>
        <v>X KA 3</v>
      </c>
      <c r="B85" s="175"/>
      <c r="C85" s="215">
        <f>'Short NIS'!A85</f>
        <v>102519608</v>
      </c>
      <c r="D85" s="216" t="str">
        <f>'Short NIS'!B85</f>
        <v>0108173807</v>
      </c>
      <c r="E85" s="175" t="str">
        <f t="shared" si="3"/>
        <v>102519608 /   0108173807</v>
      </c>
      <c r="F85" s="217" t="str">
        <f>'Short NIS'!C85</f>
        <v>BUNGA AURA NUR HASANAH</v>
      </c>
      <c r="G85" s="218" t="str">
        <f>'Short NIS'!D85</f>
        <v>P</v>
      </c>
      <c r="H85" s="218" t="str">
        <f>'Short NIS'!E85</f>
        <v>X KA 3</v>
      </c>
      <c r="I85" s="219" t="s">
        <v>387</v>
      </c>
      <c r="J85" s="175">
        <v>12</v>
      </c>
      <c r="K85" s="175"/>
    </row>
    <row r="86" spans="1:11" x14ac:dyDescent="0.25">
      <c r="A86" s="175" t="str">
        <f>H86&amp;B86</f>
        <v>X KA 3</v>
      </c>
      <c r="B86" s="175"/>
      <c r="C86" s="215">
        <f>'Short NIS'!A86</f>
        <v>102519609</v>
      </c>
      <c r="D86" s="216">
        <f>'Short NIS'!B86</f>
        <v>0</v>
      </c>
      <c r="E86" s="175" t="str">
        <f t="shared" si="3"/>
        <v>102519609 /   0</v>
      </c>
      <c r="F86" s="217" t="str">
        <f>'Short NIS'!C86</f>
        <v>DELLA SANTI</v>
      </c>
      <c r="G86" s="218" t="str">
        <f>'Short NIS'!D86</f>
        <v>P</v>
      </c>
      <c r="H86" s="218" t="str">
        <f>'Short NIS'!E86</f>
        <v>X KA 3</v>
      </c>
      <c r="I86" s="219" t="s">
        <v>387</v>
      </c>
      <c r="J86" s="175">
        <v>13</v>
      </c>
      <c r="K86" s="175"/>
    </row>
    <row r="87" spans="1:11" x14ac:dyDescent="0.25">
      <c r="A87" s="175" t="str">
        <f t="shared" si="2"/>
        <v>X KA 3</v>
      </c>
      <c r="B87" s="175"/>
      <c r="C87" s="215">
        <f>'Short NIS'!A87</f>
        <v>102519610</v>
      </c>
      <c r="D87" s="216" t="str">
        <f>'Short NIS'!B87</f>
        <v>0092513749</v>
      </c>
      <c r="E87" s="175" t="str">
        <f t="shared" si="3"/>
        <v>102519610 /   0092513749</v>
      </c>
      <c r="F87" s="217" t="str">
        <f>'Short NIS'!C87</f>
        <v>DIAN CITRA SAYYIDINA</v>
      </c>
      <c r="G87" s="218" t="str">
        <f>'Short NIS'!D87</f>
        <v>P</v>
      </c>
      <c r="H87" s="218" t="str">
        <f>'Short NIS'!E87</f>
        <v>X KA 3</v>
      </c>
      <c r="I87" s="219" t="s">
        <v>387</v>
      </c>
      <c r="J87" s="175">
        <v>14</v>
      </c>
      <c r="K87" s="175"/>
    </row>
    <row r="88" spans="1:11" x14ac:dyDescent="0.25">
      <c r="A88" s="175" t="str">
        <f t="shared" si="2"/>
        <v>X KA 3</v>
      </c>
      <c r="B88" s="175"/>
      <c r="C88" s="215">
        <f>'Short NIS'!A88</f>
        <v>102519611</v>
      </c>
      <c r="D88" s="216" t="str">
        <f>'Short NIS'!B88</f>
        <v>3097236145</v>
      </c>
      <c r="E88" s="175" t="str">
        <f t="shared" si="3"/>
        <v>102519611 /   3097236145</v>
      </c>
      <c r="F88" s="217" t="str">
        <f>'Short NIS'!C88</f>
        <v>FADILLAH</v>
      </c>
      <c r="G88" s="218" t="str">
        <f>'Short NIS'!D88</f>
        <v>P</v>
      </c>
      <c r="H88" s="218" t="str">
        <f>'Short NIS'!E88</f>
        <v>X KA 3</v>
      </c>
      <c r="I88" s="219" t="s">
        <v>387</v>
      </c>
      <c r="J88" s="175">
        <v>15</v>
      </c>
      <c r="K88" s="175"/>
    </row>
    <row r="89" spans="1:11" x14ac:dyDescent="0.25">
      <c r="A89" s="175" t="str">
        <f t="shared" si="2"/>
        <v>X KA 3</v>
      </c>
      <c r="B89" s="175"/>
      <c r="C89" s="215">
        <f>'Short NIS'!A89</f>
        <v>102519612</v>
      </c>
      <c r="D89" s="216" t="str">
        <f>'Short NIS'!B89</f>
        <v>0108082657</v>
      </c>
      <c r="E89" s="175" t="str">
        <f t="shared" si="3"/>
        <v>102519612 /   0108082657</v>
      </c>
      <c r="F89" s="217" t="str">
        <f>'Short NIS'!C89</f>
        <v>FITRIA SYAFA NURRAHMAH</v>
      </c>
      <c r="G89" s="218" t="str">
        <f>'Short NIS'!D89</f>
        <v>P</v>
      </c>
      <c r="H89" s="218" t="str">
        <f>'Short NIS'!E89</f>
        <v>X KA 3</v>
      </c>
      <c r="I89" s="219" t="s">
        <v>387</v>
      </c>
      <c r="J89" s="175">
        <v>16</v>
      </c>
      <c r="K89" s="175"/>
    </row>
    <row r="90" spans="1:11" x14ac:dyDescent="0.25">
      <c r="A90" s="175" t="str">
        <f t="shared" si="2"/>
        <v>X KA 3</v>
      </c>
      <c r="B90" s="175"/>
      <c r="C90" s="215">
        <f>'Short NIS'!A90</f>
        <v>102519613</v>
      </c>
      <c r="D90" s="216" t="str">
        <f>'Short NIS'!B90</f>
        <v>0103107288</v>
      </c>
      <c r="E90" s="175" t="str">
        <f t="shared" si="3"/>
        <v>102519613 /   0103107288</v>
      </c>
      <c r="F90" s="217" t="str">
        <f>'Short NIS'!C90</f>
        <v>GHATY ASTRY PUTRYAN</v>
      </c>
      <c r="G90" s="218" t="str">
        <f>'Short NIS'!D90</f>
        <v>P</v>
      </c>
      <c r="H90" s="218" t="str">
        <f>'Short NIS'!E90</f>
        <v>X KA 3</v>
      </c>
      <c r="I90" s="219" t="s">
        <v>387</v>
      </c>
      <c r="J90" s="175">
        <v>17</v>
      </c>
      <c r="K90" s="175"/>
    </row>
    <row r="91" spans="1:11" x14ac:dyDescent="0.25">
      <c r="A91" s="175" t="str">
        <f t="shared" si="2"/>
        <v>X KA 3</v>
      </c>
      <c r="B91" s="175"/>
      <c r="C91" s="215">
        <f>'Short NIS'!A91</f>
        <v>102519614</v>
      </c>
      <c r="D91" s="216" t="str">
        <f>'Short NIS'!B91</f>
        <v>0106234035</v>
      </c>
      <c r="E91" s="175" t="str">
        <f t="shared" si="3"/>
        <v>102519614 /   0106234035</v>
      </c>
      <c r="F91" s="217" t="str">
        <f>'Short NIS'!C91</f>
        <v>GICELA NERA APRILIA</v>
      </c>
      <c r="G91" s="218" t="str">
        <f>'Short NIS'!D91</f>
        <v>P</v>
      </c>
      <c r="H91" s="218" t="str">
        <f>'Short NIS'!E91</f>
        <v>X KA 3</v>
      </c>
      <c r="I91" s="219" t="s">
        <v>387</v>
      </c>
      <c r="J91" s="175">
        <v>18</v>
      </c>
      <c r="K91" s="175"/>
    </row>
    <row r="92" spans="1:11" x14ac:dyDescent="0.25">
      <c r="A92" s="175" t="str">
        <f t="shared" si="2"/>
        <v>X KA 3</v>
      </c>
      <c r="B92" s="175"/>
      <c r="C92" s="215">
        <f>'Short NIS'!A92</f>
        <v>102519615</v>
      </c>
      <c r="D92" s="216">
        <f>'Short NIS'!B92</f>
        <v>0</v>
      </c>
      <c r="E92" s="175" t="str">
        <f t="shared" si="3"/>
        <v>102519615 /   0</v>
      </c>
      <c r="F92" s="217" t="str">
        <f>'Short NIS'!C92</f>
        <v>IMAN RAMADANI</v>
      </c>
      <c r="G92" s="218" t="str">
        <f>'Short NIS'!D92</f>
        <v>L</v>
      </c>
      <c r="H92" s="218" t="str">
        <f>'Short NIS'!E92</f>
        <v>X KA 3</v>
      </c>
      <c r="I92" s="219" t="s">
        <v>387</v>
      </c>
      <c r="J92" s="175">
        <v>19</v>
      </c>
      <c r="K92" s="175"/>
    </row>
    <row r="93" spans="1:11" x14ac:dyDescent="0.25">
      <c r="A93" s="175" t="str">
        <f t="shared" si="2"/>
        <v>X KA 3</v>
      </c>
      <c r="B93" s="175"/>
      <c r="C93" s="215">
        <f>'Short NIS'!A93</f>
        <v>102519616</v>
      </c>
      <c r="D93" s="216" t="str">
        <f>'Short NIS'!B93</f>
        <v>0108780804</v>
      </c>
      <c r="E93" s="175" t="str">
        <f t="shared" si="3"/>
        <v>102519616 /   0108780804</v>
      </c>
      <c r="F93" s="217" t="str">
        <f>'Short NIS'!C93</f>
        <v>JESSICA CHARISMA AVRILIA SIRAIT</v>
      </c>
      <c r="G93" s="218" t="str">
        <f>'Short NIS'!D93</f>
        <v>P</v>
      </c>
      <c r="H93" s="218" t="str">
        <f>'Short NIS'!E93</f>
        <v>X KA 3</v>
      </c>
      <c r="I93" s="219" t="s">
        <v>387</v>
      </c>
      <c r="J93" s="175">
        <v>20</v>
      </c>
      <c r="K93" s="175"/>
    </row>
    <row r="94" spans="1:11" x14ac:dyDescent="0.25">
      <c r="A94" s="175" t="str">
        <f t="shared" si="2"/>
        <v>X KA 3</v>
      </c>
      <c r="B94" s="175"/>
      <c r="C94" s="215">
        <f>'Short NIS'!A94</f>
        <v>102519617</v>
      </c>
      <c r="D94" s="216" t="str">
        <f>'Short NIS'!B94</f>
        <v>0092231355</v>
      </c>
      <c r="E94" s="175" t="str">
        <f t="shared" si="3"/>
        <v>102519617 /   0092231355</v>
      </c>
      <c r="F94" s="217" t="str">
        <f>'Short NIS'!C94</f>
        <v>KATRINA NUR KAMILA NISA</v>
      </c>
      <c r="G94" s="218" t="str">
        <f>'Short NIS'!D94</f>
        <v>P</v>
      </c>
      <c r="H94" s="218" t="str">
        <f>'Short NIS'!E94</f>
        <v>X KA 3</v>
      </c>
      <c r="I94" s="219" t="s">
        <v>387</v>
      </c>
      <c r="J94" s="175">
        <v>21</v>
      </c>
      <c r="K94" s="175"/>
    </row>
    <row r="95" spans="1:11" x14ac:dyDescent="0.25">
      <c r="A95" s="175" t="str">
        <f t="shared" si="2"/>
        <v>X KA 3</v>
      </c>
      <c r="B95" s="175"/>
      <c r="C95" s="215">
        <f>'Short NIS'!A95</f>
        <v>102519618</v>
      </c>
      <c r="D95" s="216" t="str">
        <f>'Short NIS'!B95</f>
        <v>0099753272</v>
      </c>
      <c r="E95" s="175" t="str">
        <f t="shared" si="3"/>
        <v>102519618 /   0099753272</v>
      </c>
      <c r="F95" s="217" t="str">
        <f>'Short NIS'!C95</f>
        <v>KELVIN RAHMADHANI</v>
      </c>
      <c r="G95" s="218" t="str">
        <f>'Short NIS'!D95</f>
        <v>L</v>
      </c>
      <c r="H95" s="218" t="str">
        <f>'Short NIS'!E95</f>
        <v>X KA 3</v>
      </c>
      <c r="I95" s="219" t="s">
        <v>387</v>
      </c>
      <c r="J95" s="175">
        <v>22</v>
      </c>
      <c r="K95" s="175"/>
    </row>
    <row r="96" spans="1:11" x14ac:dyDescent="0.25">
      <c r="A96" s="175" t="str">
        <f t="shared" si="2"/>
        <v>X KA 3</v>
      </c>
      <c r="B96" s="175"/>
      <c r="C96" s="215">
        <f>'Short NIS'!A96</f>
        <v>102519619</v>
      </c>
      <c r="D96" s="216" t="str">
        <f>'Short NIS'!B96</f>
        <v>0103461903</v>
      </c>
      <c r="E96" s="175" t="str">
        <f t="shared" si="3"/>
        <v>102519619 /   0103461903</v>
      </c>
      <c r="F96" s="217" t="str">
        <f>'Short NIS'!C96</f>
        <v>KHOERUL ZIDNI AL IKHSAN</v>
      </c>
      <c r="G96" s="218" t="str">
        <f>'Short NIS'!D96</f>
        <v>L</v>
      </c>
      <c r="H96" s="218" t="str">
        <f>'Short NIS'!E96</f>
        <v>X KA 3</v>
      </c>
      <c r="I96" s="219" t="s">
        <v>387</v>
      </c>
      <c r="J96" s="175">
        <v>23</v>
      </c>
      <c r="K96" s="175"/>
    </row>
    <row r="97" spans="1:11" x14ac:dyDescent="0.25">
      <c r="A97" s="175" t="str">
        <f t="shared" si="2"/>
        <v>X KA 3</v>
      </c>
      <c r="B97" s="175"/>
      <c r="C97" s="215">
        <f>'Short NIS'!A97</f>
        <v>102519620</v>
      </c>
      <c r="D97" s="216" t="str">
        <f>'Short NIS'!B97</f>
        <v>0095351588</v>
      </c>
      <c r="E97" s="175" t="str">
        <f t="shared" si="3"/>
        <v>102519620 /   0095351588</v>
      </c>
      <c r="F97" s="217" t="str">
        <f>'Short NIS'!C97</f>
        <v>LANI PERMANA</v>
      </c>
      <c r="G97" s="218" t="str">
        <f>'Short NIS'!D97</f>
        <v>P</v>
      </c>
      <c r="H97" s="218" t="str">
        <f>'Short NIS'!E97</f>
        <v>X KA 3</v>
      </c>
      <c r="I97" s="219" t="s">
        <v>387</v>
      </c>
      <c r="J97" s="175">
        <v>24</v>
      </c>
      <c r="K97" s="175"/>
    </row>
    <row r="98" spans="1:11" x14ac:dyDescent="0.25">
      <c r="A98" s="175" t="str">
        <f t="shared" si="2"/>
        <v>X KA 3</v>
      </c>
      <c r="B98" s="175"/>
      <c r="C98" s="215">
        <f>'Short NIS'!A98</f>
        <v>102519621</v>
      </c>
      <c r="D98" s="216" t="str">
        <f>'Short NIS'!B98</f>
        <v>0092251465</v>
      </c>
      <c r="E98" s="175" t="str">
        <f t="shared" si="3"/>
        <v>102519621 /   0092251465</v>
      </c>
      <c r="F98" s="217" t="str">
        <f>'Short NIS'!C98</f>
        <v>MELINDA SHAQILA PUTRI</v>
      </c>
      <c r="G98" s="218" t="str">
        <f>'Short NIS'!D98</f>
        <v>P</v>
      </c>
      <c r="H98" s="218" t="str">
        <f>'Short NIS'!E98</f>
        <v>X KA 3</v>
      </c>
      <c r="I98" s="219" t="s">
        <v>387</v>
      </c>
      <c r="J98" s="175">
        <v>25</v>
      </c>
      <c r="K98" s="175"/>
    </row>
    <row r="99" spans="1:11" x14ac:dyDescent="0.25">
      <c r="A99" s="175" t="str">
        <f t="shared" si="2"/>
        <v>X KA 3</v>
      </c>
      <c r="B99" s="175"/>
      <c r="C99" s="215">
        <f>'Short NIS'!A99</f>
        <v>102519622</v>
      </c>
      <c r="D99" s="216" t="str">
        <f>'Short NIS'!B99</f>
        <v>0099326880</v>
      </c>
      <c r="E99" s="175" t="str">
        <f t="shared" si="3"/>
        <v>102519622 /   0099326880</v>
      </c>
      <c r="F99" s="217" t="str">
        <f>'Short NIS'!C99</f>
        <v>MOCHAMAD FEBRIAN ALFARIDZKI</v>
      </c>
      <c r="G99" s="218" t="str">
        <f>'Short NIS'!D99</f>
        <v>L</v>
      </c>
      <c r="H99" s="218" t="str">
        <f>'Short NIS'!E99</f>
        <v>X KA 3</v>
      </c>
      <c r="I99" s="219" t="s">
        <v>387</v>
      </c>
      <c r="J99" s="175">
        <v>26</v>
      </c>
      <c r="K99" s="175"/>
    </row>
    <row r="100" spans="1:11" x14ac:dyDescent="0.25">
      <c r="A100" s="175" t="str">
        <f t="shared" si="2"/>
        <v>X KA 3</v>
      </c>
      <c r="B100" s="175"/>
      <c r="C100" s="215">
        <f>'Short NIS'!A100</f>
        <v>102519623</v>
      </c>
      <c r="D100" s="216" t="str">
        <f>'Short NIS'!B100</f>
        <v>0108146969</v>
      </c>
      <c r="E100" s="175" t="str">
        <f t="shared" si="3"/>
        <v>102519623 /   0108146969</v>
      </c>
      <c r="F100" s="217" t="str">
        <f>'Short NIS'!C100</f>
        <v>MUHAMAD RIZKY FIRDAUS</v>
      </c>
      <c r="G100" s="218" t="str">
        <f>'Short NIS'!D100</f>
        <v>L</v>
      </c>
      <c r="H100" s="218" t="str">
        <f>'Short NIS'!E100</f>
        <v>X KA 3</v>
      </c>
      <c r="I100" s="219" t="s">
        <v>387</v>
      </c>
      <c r="J100" s="175">
        <v>27</v>
      </c>
      <c r="K100" s="175"/>
    </row>
    <row r="101" spans="1:11" x14ac:dyDescent="0.25">
      <c r="A101" s="175" t="str">
        <f t="shared" si="2"/>
        <v>X KA 3</v>
      </c>
      <c r="B101" s="175"/>
      <c r="C101" s="215">
        <f>'Short NIS'!A101</f>
        <v>102519624</v>
      </c>
      <c r="D101" s="216" t="str">
        <f>'Short NIS'!B101</f>
        <v>0083553020</v>
      </c>
      <c r="E101" s="175" t="str">
        <f t="shared" si="3"/>
        <v>102519624 /   0083553020</v>
      </c>
      <c r="F101" s="217" t="str">
        <f>'Short NIS'!C101</f>
        <v>MUHAMAD YUDA PRATAMA</v>
      </c>
      <c r="G101" s="218" t="str">
        <f>'Short NIS'!D101</f>
        <v>L</v>
      </c>
      <c r="H101" s="218" t="str">
        <f>'Short NIS'!E101</f>
        <v>X KA 3</v>
      </c>
      <c r="I101" s="219" t="s">
        <v>387</v>
      </c>
      <c r="J101" s="175">
        <v>28</v>
      </c>
      <c r="K101" s="175"/>
    </row>
    <row r="102" spans="1:11" x14ac:dyDescent="0.25">
      <c r="A102" s="175" t="str">
        <f t="shared" si="2"/>
        <v>X KA 3</v>
      </c>
      <c r="B102" s="175"/>
      <c r="C102" s="215">
        <f>'Short NIS'!A102</f>
        <v>102519625</v>
      </c>
      <c r="D102" s="216" t="str">
        <f>'Short NIS'!B102</f>
        <v>0091012636</v>
      </c>
      <c r="E102" s="175" t="str">
        <f t="shared" si="3"/>
        <v>102519625 /   0091012636</v>
      </c>
      <c r="F102" s="217" t="str">
        <f>'Short NIS'!C102</f>
        <v>MUHAMMAD HIKAM ALHALIM</v>
      </c>
      <c r="G102" s="218" t="str">
        <f>'Short NIS'!D102</f>
        <v>L</v>
      </c>
      <c r="H102" s="218" t="str">
        <f>'Short NIS'!E102</f>
        <v>X KA 3</v>
      </c>
      <c r="I102" s="219" t="s">
        <v>387</v>
      </c>
      <c r="J102" s="175">
        <v>29</v>
      </c>
      <c r="K102" s="175"/>
    </row>
    <row r="103" spans="1:11" x14ac:dyDescent="0.25">
      <c r="A103" s="175" t="str">
        <f t="shared" si="2"/>
        <v>X KA 3</v>
      </c>
      <c r="B103" s="175"/>
      <c r="C103" s="215">
        <f>'Short NIS'!A103</f>
        <v>102519626</v>
      </c>
      <c r="D103" s="216" t="str">
        <f>'Short NIS'!B103</f>
        <v>0098929004</v>
      </c>
      <c r="E103" s="175" t="str">
        <f t="shared" si="3"/>
        <v>102519626 /   0098929004</v>
      </c>
      <c r="F103" s="217" t="str">
        <f>'Short NIS'!C103</f>
        <v>MUHAMMAD JAHFAL ABDURROUF</v>
      </c>
      <c r="G103" s="218" t="str">
        <f>'Short NIS'!D103</f>
        <v>L</v>
      </c>
      <c r="H103" s="218" t="str">
        <f>'Short NIS'!E103</f>
        <v>X KA 3</v>
      </c>
      <c r="I103" s="219" t="s">
        <v>387</v>
      </c>
      <c r="J103" s="175">
        <v>30</v>
      </c>
      <c r="K103" s="175"/>
    </row>
    <row r="104" spans="1:11" x14ac:dyDescent="0.25">
      <c r="A104" s="175" t="str">
        <f t="shared" si="2"/>
        <v>X KA 3</v>
      </c>
      <c r="B104" s="175"/>
      <c r="C104" s="215">
        <f>'Short NIS'!A104</f>
        <v>102519627</v>
      </c>
      <c r="D104" s="216" t="str">
        <f>'Short NIS'!B104</f>
        <v>0107863983</v>
      </c>
      <c r="E104" s="175" t="str">
        <f t="shared" si="3"/>
        <v>102519627 /   0107863983</v>
      </c>
      <c r="F104" s="217" t="str">
        <f>'Short NIS'!C104</f>
        <v>NADIFFA NUR KAMIL</v>
      </c>
      <c r="G104" s="218" t="str">
        <f>'Short NIS'!D104</f>
        <v>P</v>
      </c>
      <c r="H104" s="218" t="str">
        <f>'Short NIS'!E104</f>
        <v>X KA 3</v>
      </c>
      <c r="I104" s="219" t="s">
        <v>387</v>
      </c>
      <c r="J104" s="175">
        <v>31</v>
      </c>
      <c r="K104" s="175"/>
    </row>
    <row r="105" spans="1:11" x14ac:dyDescent="0.25">
      <c r="A105" s="175" t="str">
        <f t="shared" si="2"/>
        <v>X KA 3</v>
      </c>
      <c r="B105" s="175"/>
      <c r="C105" s="215">
        <f>'Short NIS'!A105</f>
        <v>102519628</v>
      </c>
      <c r="D105" s="216" t="str">
        <f>'Short NIS'!B105</f>
        <v>0104666281</v>
      </c>
      <c r="E105" s="175" t="str">
        <f t="shared" si="3"/>
        <v>102519628 /   0104666281</v>
      </c>
      <c r="F105" s="217" t="str">
        <f>'Short NIS'!C105</f>
        <v>NADRIL SIDIK HIKMATULOH</v>
      </c>
      <c r="G105" s="218" t="str">
        <f>'Short NIS'!D105</f>
        <v>L</v>
      </c>
      <c r="H105" s="218" t="str">
        <f>'Short NIS'!E105</f>
        <v>X KA 3</v>
      </c>
      <c r="I105" s="219" t="s">
        <v>387</v>
      </c>
      <c r="J105" s="175">
        <v>32</v>
      </c>
      <c r="K105" s="175"/>
    </row>
    <row r="106" spans="1:11" x14ac:dyDescent="0.25">
      <c r="A106" s="175" t="str">
        <f t="shared" si="2"/>
        <v>X KA 3</v>
      </c>
      <c r="B106" s="175"/>
      <c r="C106" s="215">
        <f>'Short NIS'!A106</f>
        <v>102519629</v>
      </c>
      <c r="D106" s="216" t="str">
        <f>'Short NIS'!B106</f>
        <v>3096228230</v>
      </c>
      <c r="E106" s="175" t="str">
        <f t="shared" si="3"/>
        <v>102519629 /   3096228230</v>
      </c>
      <c r="F106" s="217" t="str">
        <f>'Short NIS'!C106</f>
        <v>NAUFAL OCTAVIANSYAH</v>
      </c>
      <c r="G106" s="218" t="str">
        <f>'Short NIS'!D106</f>
        <v>L</v>
      </c>
      <c r="H106" s="218" t="str">
        <f>'Short NIS'!E106</f>
        <v>X KA 3</v>
      </c>
      <c r="I106" s="219" t="s">
        <v>387</v>
      </c>
      <c r="J106" s="175">
        <v>33</v>
      </c>
      <c r="K106" s="175"/>
    </row>
    <row r="107" spans="1:11" x14ac:dyDescent="0.25">
      <c r="A107" s="175" t="str">
        <f t="shared" si="2"/>
        <v>X KA 3</v>
      </c>
      <c r="B107" s="175"/>
      <c r="C107" s="215">
        <f>'Short NIS'!A107</f>
        <v>102519630</v>
      </c>
      <c r="D107" s="216" t="str">
        <f>'Short NIS'!B107</f>
        <v>0103099759</v>
      </c>
      <c r="E107" s="175" t="str">
        <f t="shared" si="3"/>
        <v>102519630 /   0103099759</v>
      </c>
      <c r="F107" s="217" t="str">
        <f>'Short NIS'!C107</f>
        <v>POPPY ADELIA FHATARANI</v>
      </c>
      <c r="G107" s="218" t="str">
        <f>'Short NIS'!D107</f>
        <v>P</v>
      </c>
      <c r="H107" s="218" t="str">
        <f>'Short NIS'!E107</f>
        <v>X KA 3</v>
      </c>
      <c r="I107" s="219" t="s">
        <v>387</v>
      </c>
      <c r="J107" s="175">
        <v>34</v>
      </c>
      <c r="K107" s="175"/>
    </row>
    <row r="108" spans="1:11" x14ac:dyDescent="0.25">
      <c r="A108" s="175" t="str">
        <f t="shared" si="2"/>
        <v>X KA 3</v>
      </c>
      <c r="B108" s="175"/>
      <c r="C108" s="215">
        <f>'Short NIS'!A108</f>
        <v>102519631</v>
      </c>
      <c r="D108" s="216" t="str">
        <f>'Short NIS'!B108</f>
        <v>0096026696</v>
      </c>
      <c r="E108" s="175" t="str">
        <f t="shared" si="3"/>
        <v>102519631 /   0096026696</v>
      </c>
      <c r="F108" s="217" t="str">
        <f>'Short NIS'!C108</f>
        <v>PUTRI AULYA</v>
      </c>
      <c r="G108" s="218" t="str">
        <f>'Short NIS'!D108</f>
        <v>P</v>
      </c>
      <c r="H108" s="218" t="str">
        <f>'Short NIS'!E108</f>
        <v>X KA 3</v>
      </c>
      <c r="I108" s="219" t="s">
        <v>387</v>
      </c>
      <c r="J108" s="175">
        <v>35</v>
      </c>
      <c r="K108" s="175"/>
    </row>
    <row r="109" spans="1:11" x14ac:dyDescent="0.25">
      <c r="A109" s="175" t="str">
        <f t="shared" si="2"/>
        <v>X KA 3</v>
      </c>
      <c r="B109" s="175"/>
      <c r="C109" s="215">
        <f>'Short NIS'!A109</f>
        <v>102519632</v>
      </c>
      <c r="D109" s="216" t="str">
        <f>'Short NIS'!B109</f>
        <v>0109419111</v>
      </c>
      <c r="E109" s="175" t="str">
        <f t="shared" si="3"/>
        <v>102519632 /   0109419111</v>
      </c>
      <c r="F109" s="217" t="str">
        <f>'Short NIS'!C109</f>
        <v>RAMA HAFIDZHAN HERLANGGA  IRZA</v>
      </c>
      <c r="G109" s="218" t="str">
        <f>'Short NIS'!D109</f>
        <v>L</v>
      </c>
      <c r="H109" s="218" t="str">
        <f>'Short NIS'!E109</f>
        <v>X KA 3</v>
      </c>
      <c r="I109" s="219" t="s">
        <v>387</v>
      </c>
      <c r="J109" s="175">
        <v>36</v>
      </c>
      <c r="K109" s="175"/>
    </row>
    <row r="110" spans="1:11" x14ac:dyDescent="0.25">
      <c r="A110" s="175" t="str">
        <f t="shared" si="2"/>
        <v>X KA 3</v>
      </c>
      <c r="B110" s="175"/>
      <c r="C110" s="215">
        <f>'Short NIS'!A110</f>
        <v>102519633</v>
      </c>
      <c r="D110" s="216" t="str">
        <f>'Short NIS'!B110</f>
        <v>0087684621</v>
      </c>
      <c r="E110" s="175" t="str">
        <f t="shared" si="3"/>
        <v>102519633 /   0087684621</v>
      </c>
      <c r="F110" s="217" t="str">
        <f>'Short NIS'!C110</f>
        <v>RIZKI PUTRA SARIPULOH</v>
      </c>
      <c r="G110" s="218" t="str">
        <f>'Short NIS'!D110</f>
        <v>L</v>
      </c>
      <c r="H110" s="218" t="str">
        <f>'Short NIS'!E110</f>
        <v>X KA 3</v>
      </c>
      <c r="I110" s="219" t="s">
        <v>391</v>
      </c>
      <c r="J110" s="175">
        <v>1</v>
      </c>
      <c r="K110" s="175"/>
    </row>
    <row r="111" spans="1:11" x14ac:dyDescent="0.25">
      <c r="A111" s="175" t="str">
        <f t="shared" si="2"/>
        <v>X KA 3</v>
      </c>
      <c r="B111" s="175"/>
      <c r="C111" s="215">
        <f>'Short NIS'!A111</f>
        <v>102519634</v>
      </c>
      <c r="D111" s="216" t="str">
        <f>'Short NIS'!B111</f>
        <v>0107555740</v>
      </c>
      <c r="E111" s="175" t="str">
        <f t="shared" si="3"/>
        <v>102519634 /   0107555740</v>
      </c>
      <c r="F111" s="217" t="str">
        <f>'Short NIS'!C111</f>
        <v>SAFNA ZAHIRA ALIANSYAH</v>
      </c>
      <c r="G111" s="218" t="str">
        <f>'Short NIS'!D111</f>
        <v>P</v>
      </c>
      <c r="H111" s="218" t="str">
        <f>'Short NIS'!E111</f>
        <v>X KA 3</v>
      </c>
      <c r="I111" s="219" t="s">
        <v>391</v>
      </c>
      <c r="J111" s="175">
        <v>2</v>
      </c>
      <c r="K111" s="175"/>
    </row>
    <row r="112" spans="1:11" x14ac:dyDescent="0.25">
      <c r="A112" s="175" t="str">
        <f t="shared" si="2"/>
        <v>X KA 3</v>
      </c>
      <c r="B112" s="175"/>
      <c r="C112" s="215">
        <f>'Short NIS'!A112</f>
        <v>102519635</v>
      </c>
      <c r="D112" s="216" t="str">
        <f>'Short NIS'!B112</f>
        <v>0092746027</v>
      </c>
      <c r="E112" s="175" t="str">
        <f t="shared" si="3"/>
        <v>102519635 /   0092746027</v>
      </c>
      <c r="F112" s="217" t="str">
        <f>'Short NIS'!C112</f>
        <v>SALMAN MOCHAMMAD FAISHAL</v>
      </c>
      <c r="G112" s="218" t="str">
        <f>'Short NIS'!D112</f>
        <v>L</v>
      </c>
      <c r="H112" s="218" t="str">
        <f>'Short NIS'!E112</f>
        <v>X KA 3</v>
      </c>
      <c r="I112" s="219" t="s">
        <v>391</v>
      </c>
      <c r="J112" s="175">
        <v>3</v>
      </c>
      <c r="K112" s="175"/>
    </row>
    <row r="113" spans="1:11" x14ac:dyDescent="0.25">
      <c r="A113" s="175" t="str">
        <f t="shared" si="2"/>
        <v>X KA 3</v>
      </c>
      <c r="B113" s="175"/>
      <c r="C113" s="215">
        <f>'Short NIS'!A113</f>
        <v>102519636</v>
      </c>
      <c r="D113" s="216" t="str">
        <f>'Short NIS'!B113</f>
        <v>0096880275</v>
      </c>
      <c r="E113" s="175" t="str">
        <f t="shared" si="3"/>
        <v>102519636 /   0096880275</v>
      </c>
      <c r="F113" s="217" t="str">
        <f>'Short NIS'!C113</f>
        <v>SASCIA WULANDARI</v>
      </c>
      <c r="G113" s="218" t="str">
        <f>'Short NIS'!D113</f>
        <v>P</v>
      </c>
      <c r="H113" s="218" t="str">
        <f>'Short NIS'!E113</f>
        <v>X KA 3</v>
      </c>
      <c r="I113" s="219" t="s">
        <v>391</v>
      </c>
      <c r="J113" s="175">
        <v>4</v>
      </c>
      <c r="K113" s="175"/>
    </row>
    <row r="114" spans="1:11" x14ac:dyDescent="0.25">
      <c r="A114" s="175" t="str">
        <f t="shared" si="2"/>
        <v>X KA 3</v>
      </c>
      <c r="B114" s="175"/>
      <c r="C114" s="215">
        <f>'Short NIS'!A114</f>
        <v>102519637</v>
      </c>
      <c r="D114" s="216" t="str">
        <f>'Short NIS'!B114</f>
        <v>0093469475</v>
      </c>
      <c r="E114" s="175" t="str">
        <f t="shared" si="3"/>
        <v>102519637 /   0093469475</v>
      </c>
      <c r="F114" s="217" t="str">
        <f>'Short NIS'!C114</f>
        <v>SYARIFANADYA</v>
      </c>
      <c r="G114" s="218" t="str">
        <f>'Short NIS'!D114</f>
        <v>P</v>
      </c>
      <c r="H114" s="218" t="str">
        <f>'Short NIS'!E114</f>
        <v>X KA 3</v>
      </c>
      <c r="I114" s="219" t="s">
        <v>391</v>
      </c>
      <c r="J114" s="175">
        <v>5</v>
      </c>
      <c r="K114" s="175"/>
    </row>
    <row r="115" spans="1:11" x14ac:dyDescent="0.25">
      <c r="A115" s="175" t="str">
        <f t="shared" si="2"/>
        <v>X KA 3</v>
      </c>
      <c r="B115" s="175"/>
      <c r="C115" s="215">
        <f>'Short NIS'!A115</f>
        <v>102519638</v>
      </c>
      <c r="D115" s="216" t="str">
        <f>'Short NIS'!B115</f>
        <v>0092735910</v>
      </c>
      <c r="E115" s="175" t="str">
        <f t="shared" si="3"/>
        <v>102519638 /   0092735910</v>
      </c>
      <c r="F115" s="217" t="str">
        <f>'Short NIS'!C115</f>
        <v>VIVIE VIRELLA SANTOSO</v>
      </c>
      <c r="G115" s="218" t="str">
        <f>'Short NIS'!D115</f>
        <v>P</v>
      </c>
      <c r="H115" s="218" t="str">
        <f>'Short NIS'!E115</f>
        <v>X KA 3</v>
      </c>
      <c r="I115" s="219" t="s">
        <v>391</v>
      </c>
      <c r="J115" s="175">
        <v>6</v>
      </c>
      <c r="K115" s="175"/>
    </row>
    <row r="116" spans="1:11" x14ac:dyDescent="0.25">
      <c r="A116" s="175" t="str">
        <f t="shared" si="2"/>
        <v>X KA 4</v>
      </c>
      <c r="B116" s="175"/>
      <c r="C116" s="215">
        <f>'Short NIS'!A116</f>
        <v>102519639</v>
      </c>
      <c r="D116" s="216" t="str">
        <f>'Short NIS'!B116</f>
        <v>0092132678</v>
      </c>
      <c r="E116" s="175" t="str">
        <f t="shared" si="3"/>
        <v>102519639 /   0092132678</v>
      </c>
      <c r="F116" s="217" t="str">
        <f>'Short NIS'!C116</f>
        <v>ADENA ARYADIN PUTRA</v>
      </c>
      <c r="G116" s="218" t="str">
        <f>'Short NIS'!D116</f>
        <v>L</v>
      </c>
      <c r="H116" s="218" t="str">
        <f>'Short NIS'!E116</f>
        <v>X KA 4</v>
      </c>
      <c r="I116" s="219" t="s">
        <v>391</v>
      </c>
      <c r="J116" s="175">
        <v>7</v>
      </c>
      <c r="K116" s="175"/>
    </row>
    <row r="117" spans="1:11" x14ac:dyDescent="0.25">
      <c r="A117" s="175" t="str">
        <f t="shared" si="2"/>
        <v>X KA 4</v>
      </c>
      <c r="B117" s="175"/>
      <c r="C117" s="215">
        <f>'Short NIS'!A117</f>
        <v>102519640</v>
      </c>
      <c r="D117" s="216" t="str">
        <f>'Short NIS'!B117</f>
        <v>0102799422</v>
      </c>
      <c r="E117" s="175" t="str">
        <f t="shared" si="3"/>
        <v>102519640 /   0102799422</v>
      </c>
      <c r="F117" s="217" t="str">
        <f>'Short NIS'!C117</f>
        <v>AIYLA APRILIYA</v>
      </c>
      <c r="G117" s="218" t="str">
        <f>'Short NIS'!D117</f>
        <v>P</v>
      </c>
      <c r="H117" s="218" t="str">
        <f>'Short NIS'!E117</f>
        <v>X KA 4</v>
      </c>
      <c r="I117" s="219" t="s">
        <v>391</v>
      </c>
      <c r="J117" s="175">
        <v>8</v>
      </c>
      <c r="K117" s="175"/>
    </row>
    <row r="118" spans="1:11" x14ac:dyDescent="0.25">
      <c r="A118" s="175" t="str">
        <f t="shared" si="2"/>
        <v>X KA 4</v>
      </c>
      <c r="B118" s="175"/>
      <c r="C118" s="215">
        <f>'Short NIS'!A118</f>
        <v>102519641</v>
      </c>
      <c r="D118" s="216" t="str">
        <f>'Short NIS'!B118</f>
        <v>3102046267</v>
      </c>
      <c r="E118" s="175" t="str">
        <f t="shared" si="3"/>
        <v>102519641 /   3102046267</v>
      </c>
      <c r="F118" s="217" t="str">
        <f>'Short NIS'!C118</f>
        <v>AMEEIRA FAEZIA ZAHWA</v>
      </c>
      <c r="G118" s="218" t="str">
        <f>'Short NIS'!D118</f>
        <v>P</v>
      </c>
      <c r="H118" s="218" t="str">
        <f>'Short NIS'!E118</f>
        <v>X KA 4</v>
      </c>
      <c r="I118" s="219" t="s">
        <v>391</v>
      </c>
      <c r="J118" s="175">
        <v>9</v>
      </c>
      <c r="K118" s="175"/>
    </row>
    <row r="119" spans="1:11" x14ac:dyDescent="0.25">
      <c r="A119" s="175" t="str">
        <f t="shared" si="2"/>
        <v>X KA 4</v>
      </c>
      <c r="B119" s="175"/>
      <c r="C119" s="215">
        <f>'Short NIS'!A119</f>
        <v>102519642</v>
      </c>
      <c r="D119" s="216">
        <f>'Short NIS'!B119</f>
        <v>0</v>
      </c>
      <c r="E119" s="175" t="str">
        <f t="shared" si="3"/>
        <v>102519642 /   0</v>
      </c>
      <c r="F119" s="217" t="str">
        <f>'Short NIS'!C119</f>
        <v>ASA GHASIYAH</v>
      </c>
      <c r="G119" s="218" t="str">
        <f>'Short NIS'!D119</f>
        <v>P</v>
      </c>
      <c r="H119" s="218" t="str">
        <f>'Short NIS'!E119</f>
        <v>X KA 4</v>
      </c>
      <c r="I119" s="219" t="s">
        <v>391</v>
      </c>
      <c r="J119" s="175">
        <v>10</v>
      </c>
      <c r="K119" s="175"/>
    </row>
    <row r="120" spans="1:11" x14ac:dyDescent="0.25">
      <c r="A120" s="175" t="str">
        <f t="shared" si="2"/>
        <v>X KA 4</v>
      </c>
      <c r="B120" s="175"/>
      <c r="C120" s="215">
        <f>'Short NIS'!A120</f>
        <v>102519643</v>
      </c>
      <c r="D120" s="216" t="str">
        <f>'Short NIS'!B120</f>
        <v>0098798478</v>
      </c>
      <c r="E120" s="175" t="str">
        <f t="shared" si="3"/>
        <v>102519643 /   0098798478</v>
      </c>
      <c r="F120" s="217" t="str">
        <f>'Short NIS'!C120</f>
        <v>AZAZHIRA TAZRIYAH</v>
      </c>
      <c r="G120" s="218" t="str">
        <f>'Short NIS'!D120</f>
        <v>P</v>
      </c>
      <c r="H120" s="218" t="str">
        <f>'Short NIS'!E120</f>
        <v>X KA 4</v>
      </c>
      <c r="I120" s="220" t="s">
        <v>391</v>
      </c>
      <c r="J120" s="175">
        <v>11</v>
      </c>
      <c r="K120" s="175"/>
    </row>
    <row r="121" spans="1:11" x14ac:dyDescent="0.25">
      <c r="A121" s="175" t="str">
        <f t="shared" si="2"/>
        <v>X KA 4</v>
      </c>
      <c r="B121" s="175"/>
      <c r="C121" s="215">
        <f>'Short NIS'!A121</f>
        <v>102519644</v>
      </c>
      <c r="D121" s="216" t="str">
        <f>'Short NIS'!B121</f>
        <v>0091161399</v>
      </c>
      <c r="E121" s="175" t="str">
        <f t="shared" si="3"/>
        <v>102519644 /   0091161399</v>
      </c>
      <c r="F121" s="217" t="str">
        <f>'Short NIS'!C121</f>
        <v>BERYL ALVARO JULIANSYAH</v>
      </c>
      <c r="G121" s="218" t="str">
        <f>'Short NIS'!D121</f>
        <v>L</v>
      </c>
      <c r="H121" s="218" t="str">
        <f>'Short NIS'!E121</f>
        <v>X KA 4</v>
      </c>
      <c r="I121" s="219" t="s">
        <v>391</v>
      </c>
      <c r="J121" s="175">
        <v>12</v>
      </c>
      <c r="K121" s="175"/>
    </row>
    <row r="122" spans="1:11" x14ac:dyDescent="0.25">
      <c r="A122" s="175" t="str">
        <f t="shared" si="2"/>
        <v>X KA 4</v>
      </c>
      <c r="B122" s="175"/>
      <c r="C122" s="215">
        <f>'Short NIS'!A122</f>
        <v>102519645</v>
      </c>
      <c r="D122" s="216" t="str">
        <f>'Short NIS'!B122</f>
        <v>0094421048</v>
      </c>
      <c r="E122" s="175" t="str">
        <f t="shared" si="3"/>
        <v>102519645 /   0094421048</v>
      </c>
      <c r="F122" s="217" t="str">
        <f>'Short NIS'!C122</f>
        <v>CHANTIKA AMALIA FAIRUNISA</v>
      </c>
      <c r="G122" s="218" t="str">
        <f>'Short NIS'!D122</f>
        <v>P</v>
      </c>
      <c r="H122" s="218" t="str">
        <f>'Short NIS'!E122</f>
        <v>X KA 4</v>
      </c>
      <c r="I122" s="219" t="s">
        <v>391</v>
      </c>
      <c r="J122" s="175">
        <v>13</v>
      </c>
      <c r="K122" s="175"/>
    </row>
    <row r="123" spans="1:11" x14ac:dyDescent="0.25">
      <c r="A123" s="175" t="str">
        <f t="shared" si="2"/>
        <v>X KA 4</v>
      </c>
      <c r="B123" s="175"/>
      <c r="C123" s="215">
        <f>'Short NIS'!A123</f>
        <v>102519646</v>
      </c>
      <c r="D123" s="216" t="str">
        <f>'Short NIS'!B123</f>
        <v>0095417292</v>
      </c>
      <c r="E123" s="175" t="str">
        <f t="shared" si="3"/>
        <v>102519646 /   0095417292</v>
      </c>
      <c r="F123" s="217" t="str">
        <f>'Short NIS'!C123</f>
        <v>CLEONISA AZKA WIBAWA</v>
      </c>
      <c r="G123" s="218" t="str">
        <f>'Short NIS'!D123</f>
        <v>P</v>
      </c>
      <c r="H123" s="218" t="str">
        <f>'Short NIS'!E123</f>
        <v>X KA 4</v>
      </c>
      <c r="I123" s="219" t="s">
        <v>391</v>
      </c>
      <c r="J123" s="175">
        <v>14</v>
      </c>
      <c r="K123" s="175"/>
    </row>
    <row r="124" spans="1:11" x14ac:dyDescent="0.25">
      <c r="A124" s="175" t="str">
        <f t="shared" si="2"/>
        <v>X KA 4</v>
      </c>
      <c r="B124" s="175"/>
      <c r="C124" s="215">
        <f>'Short NIS'!A124</f>
        <v>102519647</v>
      </c>
      <c r="D124" s="216" t="str">
        <f>'Short NIS'!B124</f>
        <v>0092514261</v>
      </c>
      <c r="E124" s="175" t="str">
        <f t="shared" si="3"/>
        <v>102519647 /   0092514261</v>
      </c>
      <c r="F124" s="217" t="str">
        <f>'Short NIS'!C124</f>
        <v>DHENAS RAYHAN FAHREZI</v>
      </c>
      <c r="G124" s="218" t="str">
        <f>'Short NIS'!D124</f>
        <v>L</v>
      </c>
      <c r="H124" s="218" t="str">
        <f>'Short NIS'!E124</f>
        <v>X KA 4</v>
      </c>
      <c r="I124" s="219" t="s">
        <v>391</v>
      </c>
      <c r="J124" s="175">
        <v>15</v>
      </c>
      <c r="K124" s="175"/>
    </row>
    <row r="125" spans="1:11" x14ac:dyDescent="0.25">
      <c r="A125" s="175" t="str">
        <f t="shared" si="2"/>
        <v>X KA 4</v>
      </c>
      <c r="B125" s="175"/>
      <c r="C125" s="215">
        <f>'Short NIS'!A125</f>
        <v>102519648</v>
      </c>
      <c r="D125" s="216" t="str">
        <f>'Short NIS'!B125</f>
        <v>0108142704</v>
      </c>
      <c r="E125" s="175" t="str">
        <f t="shared" si="3"/>
        <v>102519648 /   0108142704</v>
      </c>
      <c r="F125" s="217" t="str">
        <f>'Short NIS'!C125</f>
        <v>DIVANA RABBINA PUTRI</v>
      </c>
      <c r="G125" s="218" t="str">
        <f>'Short NIS'!D125</f>
        <v>P</v>
      </c>
      <c r="H125" s="218" t="str">
        <f>'Short NIS'!E125</f>
        <v>X KA 4</v>
      </c>
      <c r="I125" s="219" t="s">
        <v>391</v>
      </c>
      <c r="J125" s="175">
        <v>16</v>
      </c>
      <c r="K125" s="175"/>
    </row>
    <row r="126" spans="1:11" x14ac:dyDescent="0.25">
      <c r="A126" s="175" t="str">
        <f t="shared" si="2"/>
        <v>X KA 4</v>
      </c>
      <c r="B126" s="175"/>
      <c r="C126" s="215">
        <f>'Short NIS'!A126</f>
        <v>102519649</v>
      </c>
      <c r="D126" s="216" t="str">
        <f>'Short NIS'!B126</f>
        <v>0101365266</v>
      </c>
      <c r="E126" s="175" t="str">
        <f t="shared" si="3"/>
        <v>102519649 /   0101365266</v>
      </c>
      <c r="F126" s="217" t="str">
        <f>'Short NIS'!C126</f>
        <v>FADILLAH DWI PRATIWI</v>
      </c>
      <c r="G126" s="218" t="str">
        <f>'Short NIS'!D126</f>
        <v>P</v>
      </c>
      <c r="H126" s="218" t="str">
        <f>'Short NIS'!E126</f>
        <v>X KA 4</v>
      </c>
      <c r="I126" s="219" t="s">
        <v>391</v>
      </c>
      <c r="J126" s="175">
        <v>17</v>
      </c>
      <c r="K126" s="175"/>
    </row>
    <row r="127" spans="1:11" x14ac:dyDescent="0.25">
      <c r="A127" s="175" t="str">
        <f t="shared" si="2"/>
        <v>X KA 4</v>
      </c>
      <c r="B127" s="175"/>
      <c r="C127" s="215">
        <f>'Short NIS'!A127</f>
        <v>102519650</v>
      </c>
      <c r="D127" s="216" t="str">
        <f>'Short NIS'!B127</f>
        <v>0094219855</v>
      </c>
      <c r="E127" s="175" t="str">
        <f t="shared" si="3"/>
        <v>102519650 /   0094219855</v>
      </c>
      <c r="F127" s="217" t="str">
        <f>'Short NIS'!C127</f>
        <v>GALANG SANGKARA</v>
      </c>
      <c r="G127" s="218" t="str">
        <f>'Short NIS'!D127</f>
        <v>L</v>
      </c>
      <c r="H127" s="218" t="str">
        <f>'Short NIS'!E127</f>
        <v>X KA 4</v>
      </c>
      <c r="I127" s="219" t="s">
        <v>391</v>
      </c>
      <c r="J127" s="175">
        <v>18</v>
      </c>
      <c r="K127" s="175"/>
    </row>
    <row r="128" spans="1:11" x14ac:dyDescent="0.25">
      <c r="A128" s="175" t="str">
        <f t="shared" si="2"/>
        <v>X KA 4</v>
      </c>
      <c r="B128" s="175"/>
      <c r="C128" s="215">
        <f>'Short NIS'!A128</f>
        <v>102519651</v>
      </c>
      <c r="D128" s="216" t="str">
        <f>'Short NIS'!B128</f>
        <v>0108728560</v>
      </c>
      <c r="E128" s="175" t="str">
        <f t="shared" si="3"/>
        <v>102519651 /   0108728560</v>
      </c>
      <c r="F128" s="217" t="str">
        <f>'Short NIS'!C128</f>
        <v>GHAUS LUTFI HAKIM</v>
      </c>
      <c r="G128" s="218" t="str">
        <f>'Short NIS'!D128</f>
        <v>L</v>
      </c>
      <c r="H128" s="218" t="str">
        <f>'Short NIS'!E128</f>
        <v>X KA 4</v>
      </c>
      <c r="I128" s="219" t="s">
        <v>391</v>
      </c>
      <c r="J128" s="175">
        <v>19</v>
      </c>
      <c r="K128" s="175"/>
    </row>
    <row r="129" spans="1:11" x14ac:dyDescent="0.25">
      <c r="A129" s="175" t="str">
        <f t="shared" si="2"/>
        <v>X KA 4</v>
      </c>
      <c r="B129" s="175"/>
      <c r="C129" s="215">
        <f>'Short NIS'!A129</f>
        <v>102519652</v>
      </c>
      <c r="D129" s="216" t="str">
        <f>'Short NIS'!B129</f>
        <v>0093707369</v>
      </c>
      <c r="E129" s="175" t="str">
        <f t="shared" si="3"/>
        <v>102519652 /   0093707369</v>
      </c>
      <c r="F129" s="217" t="str">
        <f>'Short NIS'!C129</f>
        <v>HAFIIDH RAMADHAN PUTRA</v>
      </c>
      <c r="G129" s="218" t="str">
        <f>'Short NIS'!D129</f>
        <v>L</v>
      </c>
      <c r="H129" s="218" t="str">
        <f>'Short NIS'!E129</f>
        <v>X KA 4</v>
      </c>
      <c r="I129" s="219" t="s">
        <v>391</v>
      </c>
      <c r="J129" s="175">
        <v>20</v>
      </c>
      <c r="K129" s="175"/>
    </row>
    <row r="130" spans="1:11" x14ac:dyDescent="0.25">
      <c r="A130" s="175" t="str">
        <f t="shared" si="2"/>
        <v>X KA 4</v>
      </c>
      <c r="B130" s="175"/>
      <c r="C130" s="215">
        <f>'Short NIS'!A130</f>
        <v>102519653</v>
      </c>
      <c r="D130" s="216" t="str">
        <f>'Short NIS'!B130</f>
        <v>0101341034</v>
      </c>
      <c r="E130" s="175" t="str">
        <f t="shared" si="3"/>
        <v>102519653 /   0101341034</v>
      </c>
      <c r="F130" s="217" t="str">
        <f>'Short NIS'!C130</f>
        <v>JINAN AZ-ZAHRA</v>
      </c>
      <c r="G130" s="218" t="str">
        <f>'Short NIS'!D130</f>
        <v>P</v>
      </c>
      <c r="H130" s="218" t="str">
        <f>'Short NIS'!E130</f>
        <v>X KA 4</v>
      </c>
      <c r="I130" s="219" t="s">
        <v>391</v>
      </c>
      <c r="J130" s="175">
        <v>21</v>
      </c>
      <c r="K130" s="175"/>
    </row>
    <row r="131" spans="1:11" x14ac:dyDescent="0.25">
      <c r="A131" s="175" t="str">
        <f t="shared" ref="A131:A194" si="4">H131&amp;B131</f>
        <v>X KA 4</v>
      </c>
      <c r="B131" s="175"/>
      <c r="C131" s="215">
        <f>'Short NIS'!A131</f>
        <v>102519654</v>
      </c>
      <c r="D131" s="216" t="str">
        <f>'Short NIS'!B131</f>
        <v>0098721132</v>
      </c>
      <c r="E131" s="175" t="str">
        <f t="shared" ref="E131:E194" si="5">C131&amp;" /   "&amp;D131</f>
        <v>102519654 /   0098721132</v>
      </c>
      <c r="F131" s="217" t="str">
        <f>'Short NIS'!C131</f>
        <v>JOHAR TAUFIQ</v>
      </c>
      <c r="G131" s="218" t="str">
        <f>'Short NIS'!D131</f>
        <v>L</v>
      </c>
      <c r="H131" s="218" t="str">
        <f>'Short NIS'!E131</f>
        <v>X KA 4</v>
      </c>
      <c r="I131" s="219" t="s">
        <v>391</v>
      </c>
      <c r="J131" s="175">
        <v>22</v>
      </c>
      <c r="K131" s="175"/>
    </row>
    <row r="132" spans="1:11" x14ac:dyDescent="0.25">
      <c r="A132" s="175" t="str">
        <f t="shared" si="4"/>
        <v>X KA 4</v>
      </c>
      <c r="B132" s="175"/>
      <c r="C132" s="215">
        <f>'Short NIS'!A132</f>
        <v>102519655</v>
      </c>
      <c r="D132" s="216" t="str">
        <f>'Short NIS'!B132</f>
        <v>0097216819</v>
      </c>
      <c r="E132" s="175" t="str">
        <f t="shared" si="5"/>
        <v>102519655 /   0097216819</v>
      </c>
      <c r="F132" s="217" t="str">
        <f>'Short NIS'!C132</f>
        <v>KHANIA DEWI</v>
      </c>
      <c r="G132" s="218" t="str">
        <f>'Short NIS'!D132</f>
        <v>P</v>
      </c>
      <c r="H132" s="218" t="str">
        <f>'Short NIS'!E132</f>
        <v>X KA 4</v>
      </c>
      <c r="I132" s="219" t="s">
        <v>391</v>
      </c>
      <c r="J132" s="175">
        <v>23</v>
      </c>
      <c r="K132" s="175"/>
    </row>
    <row r="133" spans="1:11" x14ac:dyDescent="0.25">
      <c r="A133" s="175" t="str">
        <f t="shared" si="4"/>
        <v>X KA 4</v>
      </c>
      <c r="B133" s="175"/>
      <c r="C133" s="215">
        <f>'Short NIS'!A133</f>
        <v>102519656</v>
      </c>
      <c r="D133" s="216" t="str">
        <f>'Short NIS'!B133</f>
        <v>0092139460</v>
      </c>
      <c r="E133" s="175" t="str">
        <f t="shared" si="5"/>
        <v>102519656 /   0092139460</v>
      </c>
      <c r="F133" s="217" t="str">
        <f>'Short NIS'!C133</f>
        <v>KHANSA LAYLA RAMADHAN</v>
      </c>
      <c r="G133" s="218" t="str">
        <f>'Short NIS'!D133</f>
        <v>P</v>
      </c>
      <c r="H133" s="218" t="str">
        <f>'Short NIS'!E133</f>
        <v>X KA 4</v>
      </c>
      <c r="I133" s="219" t="s">
        <v>391</v>
      </c>
      <c r="J133" s="175">
        <v>24</v>
      </c>
      <c r="K133" s="175"/>
    </row>
    <row r="134" spans="1:11" x14ac:dyDescent="0.25">
      <c r="A134" s="175" t="str">
        <f t="shared" si="4"/>
        <v>X KA 4</v>
      </c>
      <c r="B134" s="175"/>
      <c r="C134" s="215">
        <f>'Short NIS'!A134</f>
        <v>102519657</v>
      </c>
      <c r="D134" s="216" t="str">
        <f>'Short NIS'!B134</f>
        <v>0105838745</v>
      </c>
      <c r="E134" s="175" t="str">
        <f t="shared" si="5"/>
        <v>102519657 /   0105838745</v>
      </c>
      <c r="F134" s="217" t="str">
        <f>'Short NIS'!C134</f>
        <v>LULA CAESSARIA AZZAHRA</v>
      </c>
      <c r="G134" s="218" t="str">
        <f>'Short NIS'!D134</f>
        <v>P</v>
      </c>
      <c r="H134" s="218" t="str">
        <f>'Short NIS'!E134</f>
        <v>X KA 4</v>
      </c>
      <c r="I134" s="219" t="s">
        <v>391</v>
      </c>
      <c r="J134" s="175">
        <v>25</v>
      </c>
      <c r="K134" s="175"/>
    </row>
    <row r="135" spans="1:11" x14ac:dyDescent="0.25">
      <c r="A135" s="175" t="str">
        <f t="shared" si="4"/>
        <v>X KA 4</v>
      </c>
      <c r="B135" s="175"/>
      <c r="C135" s="215">
        <f>'Short NIS'!A135</f>
        <v>102519658</v>
      </c>
      <c r="D135" s="216" t="str">
        <f>'Short NIS'!B135</f>
        <v>0103541677</v>
      </c>
      <c r="E135" s="175" t="str">
        <f t="shared" si="5"/>
        <v>102519658 /   0103541677</v>
      </c>
      <c r="F135" s="217" t="str">
        <f>'Short NIS'!C135</f>
        <v>MICHELLE APRIANIE PUTRI SONJAYA</v>
      </c>
      <c r="G135" s="218" t="str">
        <f>'Short NIS'!D135</f>
        <v>P</v>
      </c>
      <c r="H135" s="218" t="str">
        <f>'Short NIS'!E135</f>
        <v>X KA 4</v>
      </c>
      <c r="I135" s="219" t="s">
        <v>391</v>
      </c>
      <c r="J135" s="175">
        <v>26</v>
      </c>
      <c r="K135" s="175"/>
    </row>
    <row r="136" spans="1:11" x14ac:dyDescent="0.25">
      <c r="A136" s="175" t="str">
        <f t="shared" ref="A136:A146" si="6">H136&amp;B136</f>
        <v>X KA 4</v>
      </c>
      <c r="B136" s="175"/>
      <c r="C136" s="215">
        <f>'Short NIS'!A136</f>
        <v>102519659</v>
      </c>
      <c r="D136" s="216" t="str">
        <f>'Short NIS'!B136</f>
        <v>0098479396</v>
      </c>
      <c r="E136" s="175" t="str">
        <f t="shared" si="5"/>
        <v>102519659 /   0098479396</v>
      </c>
      <c r="F136" s="217" t="str">
        <f>'Short NIS'!C136</f>
        <v>MUHAMMAD ANDRA NUGRAHA</v>
      </c>
      <c r="G136" s="218" t="str">
        <f>'Short NIS'!D136</f>
        <v>L</v>
      </c>
      <c r="H136" s="218" t="str">
        <f>'Short NIS'!E136</f>
        <v>X KA 4</v>
      </c>
      <c r="I136" s="219" t="s">
        <v>391</v>
      </c>
      <c r="J136" s="175">
        <v>27</v>
      </c>
      <c r="K136" s="175"/>
    </row>
    <row r="137" spans="1:11" x14ac:dyDescent="0.25">
      <c r="A137" s="175" t="str">
        <f t="shared" si="6"/>
        <v>X KA 4</v>
      </c>
      <c r="B137" s="175"/>
      <c r="C137" s="215">
        <f>'Short NIS'!A137</f>
        <v>102519660</v>
      </c>
      <c r="D137" s="216" t="str">
        <f>'Short NIS'!B137</f>
        <v>0102229715</v>
      </c>
      <c r="E137" s="175" t="str">
        <f t="shared" si="5"/>
        <v>102519660 /   0102229715</v>
      </c>
      <c r="F137" s="217" t="str">
        <f>'Short NIS'!C137</f>
        <v>MUHAMMAD HASBI SAEFULLOH</v>
      </c>
      <c r="G137" s="218" t="str">
        <f>'Short NIS'!D137</f>
        <v>L</v>
      </c>
      <c r="H137" s="218" t="str">
        <f>'Short NIS'!E137</f>
        <v>X KA 4</v>
      </c>
      <c r="I137" s="219" t="s">
        <v>391</v>
      </c>
      <c r="J137" s="175">
        <v>28</v>
      </c>
      <c r="K137" s="175"/>
    </row>
    <row r="138" spans="1:11" x14ac:dyDescent="0.25">
      <c r="A138" s="175" t="str">
        <f t="shared" si="6"/>
        <v>X KA 4</v>
      </c>
      <c r="B138" s="175"/>
      <c r="C138" s="215">
        <f>'Short NIS'!A138</f>
        <v>102519661</v>
      </c>
      <c r="D138" s="216" t="str">
        <f>'Short NIS'!B138</f>
        <v>3100350874</v>
      </c>
      <c r="E138" s="175" t="str">
        <f t="shared" si="5"/>
        <v>102519661 /   3100350874</v>
      </c>
      <c r="F138" s="217" t="str">
        <f>'Short NIS'!C138</f>
        <v>MUHAMMAD KENZIE ARSYAD PILIANG</v>
      </c>
      <c r="G138" s="218" t="str">
        <f>'Short NIS'!D138</f>
        <v>L</v>
      </c>
      <c r="H138" s="218" t="str">
        <f>'Short NIS'!E138</f>
        <v>X KA 4</v>
      </c>
      <c r="I138" s="219" t="s">
        <v>391</v>
      </c>
      <c r="J138" s="175">
        <v>29</v>
      </c>
      <c r="K138" s="175"/>
    </row>
    <row r="139" spans="1:11" x14ac:dyDescent="0.25">
      <c r="A139" s="175" t="str">
        <f t="shared" si="6"/>
        <v>X KA 4</v>
      </c>
      <c r="B139" s="175"/>
      <c r="C139" s="215">
        <f>'Short NIS'!A139</f>
        <v>102519662</v>
      </c>
      <c r="D139" s="216" t="str">
        <f>'Short NIS'!B139</f>
        <v>3107677341</v>
      </c>
      <c r="E139" s="175" t="str">
        <f t="shared" si="5"/>
        <v>102519662 /   3107677341</v>
      </c>
      <c r="F139" s="217" t="str">
        <f>'Short NIS'!C139</f>
        <v>NABILA INGIT SUKMAWATI</v>
      </c>
      <c r="G139" s="218" t="str">
        <f>'Short NIS'!D139</f>
        <v>P</v>
      </c>
      <c r="H139" s="218" t="str">
        <f>'Short NIS'!E139</f>
        <v>X KA 4</v>
      </c>
      <c r="I139" s="219" t="s">
        <v>391</v>
      </c>
      <c r="J139" s="175">
        <v>30</v>
      </c>
      <c r="K139" s="175"/>
    </row>
    <row r="140" spans="1:11" x14ac:dyDescent="0.25">
      <c r="A140" s="175" t="str">
        <f t="shared" si="6"/>
        <v>X KA 4</v>
      </c>
      <c r="B140" s="175"/>
      <c r="C140" s="215">
        <f>'Short NIS'!A140</f>
        <v>102519663</v>
      </c>
      <c r="D140" s="216" t="str">
        <f>'Short NIS'!B140</f>
        <v>3093307456</v>
      </c>
      <c r="E140" s="175" t="str">
        <f t="shared" si="5"/>
        <v>102519663 /   3093307456</v>
      </c>
      <c r="F140" s="217" t="str">
        <f>'Short NIS'!C140</f>
        <v>NEVITA ZAHRA</v>
      </c>
      <c r="G140" s="218" t="str">
        <f>'Short NIS'!D140</f>
        <v>P</v>
      </c>
      <c r="H140" s="218" t="str">
        <f>'Short NIS'!E140</f>
        <v>X KA 4</v>
      </c>
      <c r="I140" s="219" t="s">
        <v>391</v>
      </c>
      <c r="J140" s="175">
        <v>31</v>
      </c>
      <c r="K140" s="175"/>
    </row>
    <row r="141" spans="1:11" x14ac:dyDescent="0.25">
      <c r="A141" s="175" t="str">
        <f t="shared" si="6"/>
        <v>X KA 4</v>
      </c>
      <c r="B141" s="175"/>
      <c r="C141" s="215">
        <f>'Short NIS'!A141</f>
        <v>102519664</v>
      </c>
      <c r="D141" s="216" t="str">
        <f>'Short NIS'!B141</f>
        <v>0109926646</v>
      </c>
      <c r="E141" s="175" t="str">
        <f t="shared" si="5"/>
        <v>102519664 /   0109926646</v>
      </c>
      <c r="F141" s="217" t="str">
        <f>'Short NIS'!C141</f>
        <v>NUR AFNI MAULIDA</v>
      </c>
      <c r="G141" s="218" t="str">
        <f>'Short NIS'!D141</f>
        <v>P</v>
      </c>
      <c r="H141" s="218" t="str">
        <f>'Short NIS'!E141</f>
        <v>X KA 4</v>
      </c>
      <c r="I141" s="219" t="s">
        <v>391</v>
      </c>
      <c r="J141" s="175">
        <v>32</v>
      </c>
      <c r="K141" s="175"/>
    </row>
    <row r="142" spans="1:11" x14ac:dyDescent="0.25">
      <c r="A142" s="175" t="str">
        <f t="shared" si="6"/>
        <v>X KA 4</v>
      </c>
      <c r="B142" s="175"/>
      <c r="C142" s="215">
        <f>'Short NIS'!A142</f>
        <v>102519665</v>
      </c>
      <c r="D142" s="216" t="str">
        <f>'Short NIS'!B142</f>
        <v>0098274743</v>
      </c>
      <c r="E142" s="175" t="str">
        <f t="shared" si="5"/>
        <v>102519665 /   0098274743</v>
      </c>
      <c r="F142" s="217" t="str">
        <f>'Short NIS'!C142</f>
        <v>PUTRI AZKA HANDAYANI</v>
      </c>
      <c r="G142" s="218" t="str">
        <f>'Short NIS'!D142</f>
        <v>P</v>
      </c>
      <c r="H142" s="218" t="str">
        <f>'Short NIS'!E142</f>
        <v>X KA 4</v>
      </c>
      <c r="I142" s="219" t="s">
        <v>391</v>
      </c>
      <c r="J142" s="175">
        <v>33</v>
      </c>
      <c r="K142" s="175"/>
    </row>
    <row r="143" spans="1:11" x14ac:dyDescent="0.25">
      <c r="A143" s="175" t="str">
        <f t="shared" si="6"/>
        <v>X KA 4</v>
      </c>
      <c r="B143" s="175"/>
      <c r="C143" s="215">
        <f>'Short NIS'!A143</f>
        <v>102519666</v>
      </c>
      <c r="D143" s="216" t="str">
        <f>'Short NIS'!B143</f>
        <v>0109879796</v>
      </c>
      <c r="E143" s="175" t="str">
        <f t="shared" si="5"/>
        <v>102519666 /   0109879796</v>
      </c>
      <c r="F143" s="217" t="str">
        <f>'Short NIS'!C143</f>
        <v>RAGIL TRIADI JULIAN</v>
      </c>
      <c r="G143" s="218" t="str">
        <f>'Short NIS'!D143</f>
        <v>L</v>
      </c>
      <c r="H143" s="218" t="str">
        <f>'Short NIS'!E143</f>
        <v>X KA 4</v>
      </c>
      <c r="I143" s="219" t="s">
        <v>391</v>
      </c>
      <c r="J143" s="175">
        <v>34</v>
      </c>
      <c r="K143" s="175"/>
    </row>
    <row r="144" spans="1:11" x14ac:dyDescent="0.25">
      <c r="A144" s="175" t="str">
        <f t="shared" si="6"/>
        <v>X KA 4</v>
      </c>
      <c r="B144" s="175"/>
      <c r="C144" s="215">
        <f>'Short NIS'!A144</f>
        <v>102519667</v>
      </c>
      <c r="D144" s="216" t="str">
        <f>'Short NIS'!B144</f>
        <v>0107457275</v>
      </c>
      <c r="E144" s="175" t="str">
        <f t="shared" si="5"/>
        <v>102519667 /   0107457275</v>
      </c>
      <c r="F144" s="217" t="str">
        <f>'Short NIS'!C144</f>
        <v>RAHMA NISPIA</v>
      </c>
      <c r="G144" s="218" t="str">
        <f>'Short NIS'!D144</f>
        <v>P</v>
      </c>
      <c r="H144" s="218" t="str">
        <f>'Short NIS'!E144</f>
        <v>X KA 4</v>
      </c>
      <c r="I144" s="219" t="s">
        <v>391</v>
      </c>
      <c r="J144" s="175">
        <v>35</v>
      </c>
      <c r="K144" s="175"/>
    </row>
    <row r="145" spans="1:14" x14ac:dyDescent="0.25">
      <c r="A145" s="175" t="str">
        <f t="shared" si="6"/>
        <v>X KA 4</v>
      </c>
      <c r="B145" s="175"/>
      <c r="C145" s="215">
        <f>'Short NIS'!A145</f>
        <v>102519668</v>
      </c>
      <c r="D145" s="216" t="str">
        <f>'Short NIS'!B145</f>
        <v>0097595425</v>
      </c>
      <c r="E145" s="175" t="str">
        <f t="shared" si="5"/>
        <v>102519668 /   0097595425</v>
      </c>
      <c r="F145" s="217" t="str">
        <f>'Short NIS'!C145</f>
        <v>RASYA ADI PUTRA</v>
      </c>
      <c r="G145" s="218" t="str">
        <f>'Short NIS'!D145</f>
        <v>L</v>
      </c>
      <c r="H145" s="218" t="str">
        <f>'Short NIS'!E145</f>
        <v>X KA 4</v>
      </c>
      <c r="I145" s="219" t="s">
        <v>391</v>
      </c>
      <c r="J145" s="175">
        <v>36</v>
      </c>
      <c r="K145" s="175"/>
    </row>
    <row r="146" spans="1:14" x14ac:dyDescent="0.25">
      <c r="A146" s="175" t="str">
        <f t="shared" si="6"/>
        <v>X KA 4</v>
      </c>
      <c r="B146" s="175"/>
      <c r="C146" s="215">
        <f>'Short NIS'!A146</f>
        <v>102519669</v>
      </c>
      <c r="D146" s="216" t="str">
        <f>'Short NIS'!B146</f>
        <v>0105925226</v>
      </c>
      <c r="E146" s="175" t="str">
        <f t="shared" si="5"/>
        <v>102519669 /   0105925226</v>
      </c>
      <c r="F146" s="217" t="str">
        <f>'Short NIS'!C146</f>
        <v>SALAMPESSY FIRMAN CHATERAY</v>
      </c>
      <c r="G146" s="218" t="str">
        <f>'Short NIS'!D146</f>
        <v>L</v>
      </c>
      <c r="H146" s="218" t="str">
        <f>'Short NIS'!E146</f>
        <v>X KA 4</v>
      </c>
      <c r="I146" s="221" t="s">
        <v>394</v>
      </c>
      <c r="J146" s="175">
        <v>37</v>
      </c>
      <c r="K146" s="175"/>
    </row>
    <row r="147" spans="1:14" x14ac:dyDescent="0.25">
      <c r="A147" s="175" t="str">
        <f t="shared" si="4"/>
        <v>X KA 4</v>
      </c>
      <c r="B147" s="175"/>
      <c r="C147" s="215">
        <f>'Short NIS'!A147</f>
        <v>102519670</v>
      </c>
      <c r="D147" s="216" t="str">
        <f>'Short NIS'!B147</f>
        <v>0098380073</v>
      </c>
      <c r="E147" s="175" t="str">
        <f t="shared" si="5"/>
        <v>102519670 /   0098380073</v>
      </c>
      <c r="F147" s="217" t="str">
        <f>'Short NIS'!C147</f>
        <v>SEPIYA AULIA RAHMADANI</v>
      </c>
      <c r="G147" s="218" t="str">
        <f>'Short NIS'!D147</f>
        <v>P</v>
      </c>
      <c r="H147" s="218" t="str">
        <f>'Short NIS'!E147</f>
        <v>X KA 4</v>
      </c>
      <c r="I147" s="219" t="s">
        <v>394</v>
      </c>
      <c r="J147" s="175">
        <v>1</v>
      </c>
      <c r="K147" s="175"/>
    </row>
    <row r="148" spans="1:14" x14ac:dyDescent="0.25">
      <c r="A148" s="175" t="str">
        <f t="shared" si="4"/>
        <v>X KA 4</v>
      </c>
      <c r="B148" s="175"/>
      <c r="C148" s="215">
        <f>'Short NIS'!A148</f>
        <v>102519671</v>
      </c>
      <c r="D148" s="216" t="str">
        <f>'Short NIS'!B148</f>
        <v>0098524442</v>
      </c>
      <c r="E148" s="175" t="str">
        <f t="shared" si="5"/>
        <v>102519671 /   0098524442</v>
      </c>
      <c r="F148" s="217" t="str">
        <f>'Short NIS'!C148</f>
        <v>SHALSA RADHA NOVIANTI</v>
      </c>
      <c r="G148" s="218" t="str">
        <f>'Short NIS'!D148</f>
        <v>P</v>
      </c>
      <c r="H148" s="218" t="str">
        <f>'Short NIS'!E148</f>
        <v>X KA 4</v>
      </c>
      <c r="I148" s="219" t="s">
        <v>394</v>
      </c>
      <c r="J148" s="175">
        <v>2</v>
      </c>
      <c r="K148" s="175"/>
    </row>
    <row r="149" spans="1:14" x14ac:dyDescent="0.25">
      <c r="A149" s="175" t="str">
        <f t="shared" si="4"/>
        <v>X KA 4</v>
      </c>
      <c r="B149" s="175"/>
      <c r="C149" s="215">
        <f>'Short NIS'!A149</f>
        <v>102519672</v>
      </c>
      <c r="D149" s="216" t="str">
        <f>'Short NIS'!B149</f>
        <v>0093779191</v>
      </c>
      <c r="E149" s="175" t="str">
        <f t="shared" si="5"/>
        <v>102519672 /   0093779191</v>
      </c>
      <c r="F149" s="217" t="str">
        <f>'Short NIS'!C149</f>
        <v>SHERYL SHEFIRA PRIATNA PUTRI</v>
      </c>
      <c r="G149" s="218" t="str">
        <f>'Short NIS'!D149</f>
        <v>P</v>
      </c>
      <c r="H149" s="218" t="str">
        <f>'Short NIS'!E149</f>
        <v>X KA 4</v>
      </c>
      <c r="I149" s="219" t="s">
        <v>394</v>
      </c>
      <c r="J149" s="175">
        <v>3</v>
      </c>
      <c r="K149" s="175"/>
    </row>
    <row r="150" spans="1:14" x14ac:dyDescent="0.25">
      <c r="A150" s="175" t="str">
        <f t="shared" si="4"/>
        <v>X KA 4</v>
      </c>
      <c r="B150" s="175"/>
      <c r="C150" s="215">
        <f>'Short NIS'!A150</f>
        <v>102519673</v>
      </c>
      <c r="D150" s="216" t="str">
        <f>'Short NIS'!B150</f>
        <v>0102736697</v>
      </c>
      <c r="E150" s="175" t="str">
        <f t="shared" si="5"/>
        <v>102519673 /   0102736697</v>
      </c>
      <c r="F150" s="217" t="str">
        <f>'Short NIS'!C150</f>
        <v>SYAHRAZ RIZQA MUZTAHIDAH</v>
      </c>
      <c r="G150" s="218" t="str">
        <f>'Short NIS'!D150</f>
        <v>P</v>
      </c>
      <c r="H150" s="218" t="str">
        <f>'Short NIS'!E150</f>
        <v>X KA 4</v>
      </c>
      <c r="I150" s="219" t="s">
        <v>394</v>
      </c>
      <c r="J150" s="175">
        <v>4</v>
      </c>
      <c r="K150" s="175"/>
    </row>
    <row r="151" spans="1:14" x14ac:dyDescent="0.25">
      <c r="A151" s="175" t="str">
        <f t="shared" si="4"/>
        <v>X KA 4</v>
      </c>
      <c r="B151" s="175"/>
      <c r="C151" s="215">
        <f>'Short NIS'!A151</f>
        <v>102519674</v>
      </c>
      <c r="D151" s="216" t="str">
        <f>'Short NIS'!B151</f>
        <v>0096868684</v>
      </c>
      <c r="E151" s="175" t="str">
        <f t="shared" si="5"/>
        <v>102519674 /   0096868684</v>
      </c>
      <c r="F151" s="217" t="str">
        <f>'Short NIS'!C151</f>
        <v>SYIFA APRILIA</v>
      </c>
      <c r="G151" s="218" t="str">
        <f>'Short NIS'!D151</f>
        <v>P</v>
      </c>
      <c r="H151" s="218" t="str">
        <f>'Short NIS'!E151</f>
        <v>X KA 4</v>
      </c>
      <c r="I151" s="219" t="s">
        <v>394</v>
      </c>
      <c r="J151" s="175">
        <v>5</v>
      </c>
      <c r="K151" s="175"/>
    </row>
    <row r="152" spans="1:14" x14ac:dyDescent="0.25">
      <c r="A152" s="175" t="str">
        <f t="shared" si="4"/>
        <v>X KA 4</v>
      </c>
      <c r="B152" s="175"/>
      <c r="C152" s="215">
        <f>'Short NIS'!A152</f>
        <v>102519675</v>
      </c>
      <c r="D152" s="216" t="str">
        <f>'Short NIS'!B152</f>
        <v>0091089769</v>
      </c>
      <c r="E152" s="175" t="str">
        <f t="shared" si="5"/>
        <v>102519675 /   0091089769</v>
      </c>
      <c r="F152" s="217" t="str">
        <f>'Short NIS'!C152</f>
        <v>TUBAGUS SIGIT ARIF WIBOWO</v>
      </c>
      <c r="G152" s="218" t="str">
        <f>'Short NIS'!D152</f>
        <v>L</v>
      </c>
      <c r="H152" s="218" t="str">
        <f>'Short NIS'!E152</f>
        <v>X KA 4</v>
      </c>
      <c r="I152" s="219" t="s">
        <v>394</v>
      </c>
      <c r="J152" s="175">
        <v>6</v>
      </c>
      <c r="K152" s="175"/>
    </row>
    <row r="153" spans="1:14" x14ac:dyDescent="0.25">
      <c r="A153" s="175" t="str">
        <f t="shared" si="4"/>
        <v>X KA 4</v>
      </c>
      <c r="B153" s="175"/>
      <c r="C153" s="215">
        <f>'Short NIS'!A153</f>
        <v>102519676</v>
      </c>
      <c r="D153" s="216" t="str">
        <f>'Short NIS'!B153</f>
        <v>0104648436</v>
      </c>
      <c r="E153" s="175" t="str">
        <f t="shared" si="5"/>
        <v>102519676 /   0104648436</v>
      </c>
      <c r="F153" s="217" t="str">
        <f>'Short NIS'!C153</f>
        <v>ZASKY NUR AZIZAH</v>
      </c>
      <c r="G153" s="218" t="str">
        <f>'Short NIS'!D153</f>
        <v>P</v>
      </c>
      <c r="H153" s="218" t="str">
        <f>'Short NIS'!E153</f>
        <v>X KA 4</v>
      </c>
      <c r="I153" s="219" t="s">
        <v>394</v>
      </c>
      <c r="J153" s="175">
        <v>7</v>
      </c>
      <c r="K153" s="175"/>
    </row>
    <row r="154" spans="1:14" x14ac:dyDescent="0.25">
      <c r="A154" s="175" t="str">
        <f t="shared" si="4"/>
        <v>X KA 5</v>
      </c>
      <c r="B154" s="175"/>
      <c r="C154" s="215">
        <f>'Short NIS'!A154</f>
        <v>102519677</v>
      </c>
      <c r="D154" s="216" t="str">
        <f>'Short NIS'!B154</f>
        <v>0096271969</v>
      </c>
      <c r="E154" s="175" t="str">
        <f t="shared" si="5"/>
        <v>102519677 /   0096271969</v>
      </c>
      <c r="F154" s="217" t="str">
        <f>'Short NIS'!C154</f>
        <v>ALIKA PUTRI</v>
      </c>
      <c r="G154" s="218" t="str">
        <f>'Short NIS'!D154</f>
        <v>P</v>
      </c>
      <c r="H154" s="218" t="str">
        <f>'Short NIS'!E154</f>
        <v>X KA 5</v>
      </c>
      <c r="I154" s="219" t="s">
        <v>394</v>
      </c>
      <c r="J154" s="175">
        <v>8</v>
      </c>
      <c r="K154" s="175"/>
    </row>
    <row r="155" spans="1:14" x14ac:dyDescent="0.25">
      <c r="A155" s="175" t="str">
        <f t="shared" si="4"/>
        <v>X KA 5</v>
      </c>
      <c r="B155" s="175"/>
      <c r="C155" s="215">
        <f>'Short NIS'!A155</f>
        <v>102519678</v>
      </c>
      <c r="D155" s="216" t="str">
        <f>'Short NIS'!B155</f>
        <v>0101738447</v>
      </c>
      <c r="E155" s="175" t="str">
        <f t="shared" si="5"/>
        <v>102519678 /   0101738447</v>
      </c>
      <c r="F155" s="217" t="str">
        <f>'Short NIS'!C155</f>
        <v>ANDRA ADITYA NURBANI</v>
      </c>
      <c r="G155" s="218" t="str">
        <f>'Short NIS'!D155</f>
        <v>L</v>
      </c>
      <c r="H155" s="218" t="str">
        <f>'Short NIS'!E155</f>
        <v>X KA 5</v>
      </c>
      <c r="I155" s="219" t="s">
        <v>394</v>
      </c>
      <c r="J155" s="175">
        <v>9</v>
      </c>
      <c r="K155" s="175"/>
    </row>
    <row r="156" spans="1:14" x14ac:dyDescent="0.25">
      <c r="A156" s="175" t="str">
        <f t="shared" si="4"/>
        <v>X KA 5</v>
      </c>
      <c r="B156" s="175"/>
      <c r="C156" s="215">
        <f>'Short NIS'!A156</f>
        <v>102519679</v>
      </c>
      <c r="D156" s="216" t="str">
        <f>'Short NIS'!B156</f>
        <v>0093276315</v>
      </c>
      <c r="E156" s="175" t="str">
        <f t="shared" si="5"/>
        <v>102519679 /   0093276315</v>
      </c>
      <c r="F156" s="217" t="str">
        <f>'Short NIS'!C156</f>
        <v>ANDRIANT BAYU BASKORO</v>
      </c>
      <c r="G156" s="218" t="str">
        <f>'Short NIS'!D156</f>
        <v>L</v>
      </c>
      <c r="H156" s="218" t="str">
        <f>'Short NIS'!E156</f>
        <v>X KA 5</v>
      </c>
      <c r="I156" s="219" t="s">
        <v>394</v>
      </c>
      <c r="J156" s="175">
        <v>10</v>
      </c>
      <c r="K156" s="175"/>
    </row>
    <row r="157" spans="1:14" x14ac:dyDescent="0.25">
      <c r="A157" s="175" t="str">
        <f t="shared" si="4"/>
        <v>X KA 5</v>
      </c>
      <c r="B157" s="175"/>
      <c r="C157" s="215">
        <f>'Short NIS'!A157</f>
        <v>102519680</v>
      </c>
      <c r="D157" s="216" t="str">
        <f>'Short NIS'!B157</f>
        <v>0102061786</v>
      </c>
      <c r="E157" s="175" t="str">
        <f t="shared" si="5"/>
        <v>102519680 /   0102061786</v>
      </c>
      <c r="F157" s="217" t="str">
        <f>'Short NIS'!C157</f>
        <v>ARKA NAYAKA RABBANI</v>
      </c>
      <c r="G157" s="218" t="str">
        <f>'Short NIS'!D157</f>
        <v>L</v>
      </c>
      <c r="H157" s="218" t="str">
        <f>'Short NIS'!E157</f>
        <v>X KA 5</v>
      </c>
      <c r="I157" s="219" t="s">
        <v>394</v>
      </c>
      <c r="J157" s="175">
        <v>11</v>
      </c>
      <c r="K157" s="175"/>
    </row>
    <row r="158" spans="1:14" x14ac:dyDescent="0.25">
      <c r="A158" s="175" t="str">
        <f t="shared" si="4"/>
        <v>X KA 5</v>
      </c>
      <c r="B158" s="175"/>
      <c r="C158" s="215">
        <f>'Short NIS'!A158</f>
        <v>102519681</v>
      </c>
      <c r="D158" s="216" t="str">
        <f>'Short NIS'!B158</f>
        <v>0104656986</v>
      </c>
      <c r="E158" s="175" t="str">
        <f t="shared" si="5"/>
        <v>102519681 /   0104656986</v>
      </c>
      <c r="F158" s="217" t="str">
        <f>'Short NIS'!C158</f>
        <v>AZKIRA HUMAIRAH SOPIAN</v>
      </c>
      <c r="G158" s="218" t="str">
        <f>'Short NIS'!D158</f>
        <v>P</v>
      </c>
      <c r="H158" s="218" t="str">
        <f>'Short NIS'!E158</f>
        <v>X KA 5</v>
      </c>
      <c r="I158" s="219" t="s">
        <v>394</v>
      </c>
      <c r="J158" s="175">
        <v>12</v>
      </c>
      <c r="K158" s="175"/>
    </row>
    <row r="159" spans="1:14" x14ac:dyDescent="0.25">
      <c r="A159" s="175" t="str">
        <f t="shared" si="4"/>
        <v>X KA 5</v>
      </c>
      <c r="B159" s="175"/>
      <c r="C159" s="215">
        <f>'Short NIS'!A159</f>
        <v>102519682</v>
      </c>
      <c r="D159" s="216" t="str">
        <f>'Short NIS'!B159</f>
        <v>0095290875</v>
      </c>
      <c r="E159" s="175" t="str">
        <f t="shared" si="5"/>
        <v>102519682 /   0095290875</v>
      </c>
      <c r="F159" s="217" t="str">
        <f>'Short NIS'!C159</f>
        <v>DHEA IRFANI</v>
      </c>
      <c r="G159" s="218" t="str">
        <f>'Short NIS'!D159</f>
        <v>P</v>
      </c>
      <c r="H159" s="218" t="str">
        <f>'Short NIS'!E159</f>
        <v>X KA 5</v>
      </c>
      <c r="I159" s="219" t="s">
        <v>394</v>
      </c>
      <c r="J159" s="175">
        <v>13</v>
      </c>
      <c r="K159" s="175"/>
      <c r="N159" s="49" t="s">
        <v>428</v>
      </c>
    </row>
    <row r="160" spans="1:14" x14ac:dyDescent="0.25">
      <c r="A160" s="175" t="str">
        <f t="shared" si="4"/>
        <v>X KA 5</v>
      </c>
      <c r="B160" s="175"/>
      <c r="C160" s="215">
        <f>'Short NIS'!A160</f>
        <v>102519683</v>
      </c>
      <c r="D160" s="216">
        <f>'Short NIS'!B160</f>
        <v>0</v>
      </c>
      <c r="E160" s="175" t="str">
        <f t="shared" si="5"/>
        <v>102519683 /   0</v>
      </c>
      <c r="F160" s="217" t="str">
        <f>'Short NIS'!C160</f>
        <v>DHEANA ZAINA RAISSA</v>
      </c>
      <c r="G160" s="218" t="str">
        <f>'Short NIS'!D160</f>
        <v>P</v>
      </c>
      <c r="H160" s="218" t="str">
        <f>'Short NIS'!E160</f>
        <v>X KA 5</v>
      </c>
      <c r="I160" s="219" t="s">
        <v>394</v>
      </c>
      <c r="J160" s="175">
        <v>14</v>
      </c>
      <c r="K160" s="175"/>
    </row>
    <row r="161" spans="1:11" x14ac:dyDescent="0.25">
      <c r="A161" s="175" t="str">
        <f t="shared" si="4"/>
        <v>X KA 5</v>
      </c>
      <c r="B161" s="175"/>
      <c r="C161" s="215">
        <f>'Short NIS'!A161</f>
        <v>102519684</v>
      </c>
      <c r="D161" s="216" t="str">
        <f>'Short NIS'!B161</f>
        <v>0095512649</v>
      </c>
      <c r="E161" s="175" t="str">
        <f t="shared" si="5"/>
        <v>102519684 /   0095512649</v>
      </c>
      <c r="F161" s="217" t="str">
        <f>'Short NIS'!C161</f>
        <v>FACHTIRA JULIYANSYAH YULISTIAWAN</v>
      </c>
      <c r="G161" s="218" t="str">
        <f>'Short NIS'!D161</f>
        <v>L</v>
      </c>
      <c r="H161" s="218" t="str">
        <f>'Short NIS'!E161</f>
        <v>X KA 5</v>
      </c>
      <c r="I161" s="219" t="s">
        <v>394</v>
      </c>
      <c r="J161" s="175">
        <v>15</v>
      </c>
      <c r="K161" s="175"/>
    </row>
    <row r="162" spans="1:11" x14ac:dyDescent="0.25">
      <c r="A162" s="175" t="str">
        <f t="shared" si="4"/>
        <v>X KA 5</v>
      </c>
      <c r="B162" s="175"/>
      <c r="C162" s="215">
        <f>'Short NIS'!A162</f>
        <v>102519685</v>
      </c>
      <c r="D162" s="216" t="str">
        <f>'Short NIS'!B162</f>
        <v>0099154065</v>
      </c>
      <c r="E162" s="175" t="str">
        <f t="shared" si="5"/>
        <v>102519685 /   0099154065</v>
      </c>
      <c r="F162" s="217" t="str">
        <f>'Short NIS'!C162</f>
        <v>FAHRI RAMADHAN</v>
      </c>
      <c r="G162" s="218" t="str">
        <f>'Short NIS'!D162</f>
        <v>L</v>
      </c>
      <c r="H162" s="218" t="str">
        <f>'Short NIS'!E162</f>
        <v>X KA 5</v>
      </c>
      <c r="I162" s="219" t="s">
        <v>394</v>
      </c>
      <c r="J162" s="175">
        <v>16</v>
      </c>
      <c r="K162" s="175"/>
    </row>
    <row r="163" spans="1:11" x14ac:dyDescent="0.25">
      <c r="A163" s="175" t="str">
        <f t="shared" si="4"/>
        <v>X KA 5</v>
      </c>
      <c r="B163" s="175"/>
      <c r="C163" s="215">
        <f>'Short NIS'!A163</f>
        <v>102519686</v>
      </c>
      <c r="D163" s="216" t="str">
        <f>'Short NIS'!B163</f>
        <v>0094145271</v>
      </c>
      <c r="E163" s="175" t="str">
        <f t="shared" si="5"/>
        <v>102519686 /   0094145271</v>
      </c>
      <c r="F163" s="217" t="str">
        <f>'Short NIS'!C163</f>
        <v>FATHI RIZKY MADANI</v>
      </c>
      <c r="G163" s="218" t="str">
        <f>'Short NIS'!D163</f>
        <v>L</v>
      </c>
      <c r="H163" s="218" t="str">
        <f>'Short NIS'!E163</f>
        <v>X KA 5</v>
      </c>
      <c r="I163" s="219" t="s">
        <v>394</v>
      </c>
      <c r="J163" s="175">
        <v>17</v>
      </c>
      <c r="K163" s="175"/>
    </row>
    <row r="164" spans="1:11" x14ac:dyDescent="0.25">
      <c r="A164" s="175" t="str">
        <f t="shared" si="4"/>
        <v>X KA 5</v>
      </c>
      <c r="B164" s="175"/>
      <c r="C164" s="215">
        <f>'Short NIS'!A164</f>
        <v>102519687</v>
      </c>
      <c r="D164" s="216" t="str">
        <f>'Short NIS'!B164</f>
        <v>0108567925</v>
      </c>
      <c r="E164" s="175" t="str">
        <f t="shared" si="5"/>
        <v>102519687 /   0108567925</v>
      </c>
      <c r="F164" s="217" t="str">
        <f>'Short NIS'!C164</f>
        <v>FIRMAN NURRAYYAN</v>
      </c>
      <c r="G164" s="218" t="str">
        <f>'Short NIS'!D164</f>
        <v>L</v>
      </c>
      <c r="H164" s="218" t="str">
        <f>'Short NIS'!E164</f>
        <v>X KA 5</v>
      </c>
      <c r="I164" s="219" t="s">
        <v>394</v>
      </c>
      <c r="J164" s="175">
        <v>18</v>
      </c>
      <c r="K164" s="175"/>
    </row>
    <row r="165" spans="1:11" x14ac:dyDescent="0.25">
      <c r="A165" s="175" t="str">
        <f t="shared" si="4"/>
        <v>X KA 5</v>
      </c>
      <c r="B165" s="175"/>
      <c r="C165" s="215">
        <f>'Short NIS'!A165</f>
        <v>102519688</v>
      </c>
      <c r="D165" s="216" t="str">
        <f>'Short NIS'!B165</f>
        <v>0103249974</v>
      </c>
      <c r="E165" s="175" t="str">
        <f t="shared" si="5"/>
        <v>102519688 /   0103249974</v>
      </c>
      <c r="F165" s="217" t="str">
        <f>'Short NIS'!C165</f>
        <v>FRISILIA PUTRI</v>
      </c>
      <c r="G165" s="218" t="str">
        <f>'Short NIS'!D165</f>
        <v>P</v>
      </c>
      <c r="H165" s="218" t="str">
        <f>'Short NIS'!E165</f>
        <v>X KA 5</v>
      </c>
      <c r="I165" s="219" t="s">
        <v>394</v>
      </c>
      <c r="J165" s="175">
        <v>19</v>
      </c>
      <c r="K165" s="175"/>
    </row>
    <row r="166" spans="1:11" x14ac:dyDescent="0.25">
      <c r="A166" s="175" t="str">
        <f t="shared" si="4"/>
        <v>X KA 5</v>
      </c>
      <c r="B166" s="175"/>
      <c r="C166" s="215">
        <f>'Short NIS'!A166</f>
        <v>102519689</v>
      </c>
      <c r="D166" s="216" t="str">
        <f>'Short NIS'!B166</f>
        <v>0094762588</v>
      </c>
      <c r="E166" s="175" t="str">
        <f t="shared" si="5"/>
        <v>102519689 /   0094762588</v>
      </c>
      <c r="F166" s="217" t="str">
        <f>'Short NIS'!C166</f>
        <v>GALIH SAPUTRA</v>
      </c>
      <c r="G166" s="218" t="str">
        <f>'Short NIS'!D166</f>
        <v>L</v>
      </c>
      <c r="H166" s="218" t="str">
        <f>'Short NIS'!E166</f>
        <v>X KA 5</v>
      </c>
      <c r="I166" s="219" t="s">
        <v>394</v>
      </c>
      <c r="J166" s="175">
        <v>20</v>
      </c>
      <c r="K166" s="175"/>
    </row>
    <row r="167" spans="1:11" x14ac:dyDescent="0.25">
      <c r="A167" s="175" t="str">
        <f t="shared" si="4"/>
        <v>X KA 5</v>
      </c>
      <c r="B167" s="175"/>
      <c r="C167" s="215">
        <f>'Short NIS'!A167</f>
        <v>102519690</v>
      </c>
      <c r="D167" s="216" t="str">
        <f>'Short NIS'!B167</f>
        <v>0102695868</v>
      </c>
      <c r="E167" s="175" t="str">
        <f t="shared" si="5"/>
        <v>102519690 /   0102695868</v>
      </c>
      <c r="F167" s="217" t="str">
        <f>'Short NIS'!C167</f>
        <v>HASNA NURUL AZKIYA</v>
      </c>
      <c r="G167" s="218" t="str">
        <f>'Short NIS'!D167</f>
        <v>P</v>
      </c>
      <c r="H167" s="218" t="str">
        <f>'Short NIS'!E167</f>
        <v>X KA 5</v>
      </c>
      <c r="I167" s="219" t="s">
        <v>394</v>
      </c>
      <c r="J167" s="175">
        <v>21</v>
      </c>
      <c r="K167" s="175"/>
    </row>
    <row r="168" spans="1:11" x14ac:dyDescent="0.25">
      <c r="A168" s="175" t="str">
        <f t="shared" si="4"/>
        <v>X KA 5</v>
      </c>
      <c r="B168" s="175"/>
      <c r="C168" s="215">
        <f>'Short NIS'!A168</f>
        <v>102519691</v>
      </c>
      <c r="D168" s="216" t="str">
        <f>'Short NIS'!B168</f>
        <v>0096461480</v>
      </c>
      <c r="E168" s="175" t="str">
        <f t="shared" si="5"/>
        <v>102519691 /   0096461480</v>
      </c>
      <c r="F168" s="217" t="str">
        <f>'Short NIS'!C168</f>
        <v>INDAH FITRIA HARUM</v>
      </c>
      <c r="G168" s="218" t="str">
        <f>'Short NIS'!D168</f>
        <v>P</v>
      </c>
      <c r="H168" s="218" t="str">
        <f>'Short NIS'!E168</f>
        <v>X KA 5</v>
      </c>
      <c r="I168" s="219" t="s">
        <v>394</v>
      </c>
      <c r="J168" s="175">
        <v>22</v>
      </c>
      <c r="K168" s="175"/>
    </row>
    <row r="169" spans="1:11" x14ac:dyDescent="0.25">
      <c r="A169" s="175" t="str">
        <f t="shared" si="4"/>
        <v>X KA 5</v>
      </c>
      <c r="B169" s="175"/>
      <c r="C169" s="215">
        <f>'Short NIS'!A169</f>
        <v>102519692</v>
      </c>
      <c r="D169" s="216" t="str">
        <f>'Short NIS'!B169</f>
        <v>0102879514</v>
      </c>
      <c r="E169" s="175" t="str">
        <f t="shared" si="5"/>
        <v>102519692 /   0102879514</v>
      </c>
      <c r="F169" s="217" t="str">
        <f>'Short NIS'!C169</f>
        <v>KEYLA ADITYA PUTRI</v>
      </c>
      <c r="G169" s="218" t="str">
        <f>'Short NIS'!D169</f>
        <v>P</v>
      </c>
      <c r="H169" s="218" t="str">
        <f>'Short NIS'!E169</f>
        <v>X KA 5</v>
      </c>
      <c r="I169" s="219" t="s">
        <v>394</v>
      </c>
      <c r="J169" s="175">
        <v>23</v>
      </c>
      <c r="K169" s="175"/>
    </row>
    <row r="170" spans="1:11" x14ac:dyDescent="0.25">
      <c r="A170" s="175" t="str">
        <f t="shared" si="4"/>
        <v>X KA 5</v>
      </c>
      <c r="B170" s="175"/>
      <c r="C170" s="215">
        <f>'Short NIS'!A170</f>
        <v>102519693</v>
      </c>
      <c r="D170" s="216" t="str">
        <f>'Short NIS'!B170</f>
        <v>0098038591</v>
      </c>
      <c r="E170" s="175" t="str">
        <f t="shared" si="5"/>
        <v>102519693 /   0098038591</v>
      </c>
      <c r="F170" s="217" t="str">
        <f>'Short NIS'!C170</f>
        <v>KIARA ANGELIA CONDOLIZA</v>
      </c>
      <c r="G170" s="218" t="str">
        <f>'Short NIS'!D170</f>
        <v>P</v>
      </c>
      <c r="H170" s="218" t="str">
        <f>'Short NIS'!E170</f>
        <v>X KA 5</v>
      </c>
      <c r="I170" s="219" t="s">
        <v>394</v>
      </c>
      <c r="J170" s="175">
        <v>24</v>
      </c>
      <c r="K170" s="175"/>
    </row>
    <row r="171" spans="1:11" x14ac:dyDescent="0.25">
      <c r="A171" s="175" t="str">
        <f t="shared" si="4"/>
        <v>X KA 5</v>
      </c>
      <c r="B171" s="175"/>
      <c r="C171" s="215">
        <f>'Short NIS'!A171</f>
        <v>102519694</v>
      </c>
      <c r="D171" s="216" t="str">
        <f>'Short NIS'!B171</f>
        <v>0101627775</v>
      </c>
      <c r="E171" s="175" t="str">
        <f t="shared" si="5"/>
        <v>102519694 /   0101627775</v>
      </c>
      <c r="F171" s="217" t="str">
        <f>'Short NIS'!C171</f>
        <v>LANGIT RAJA ATTALLA CANAECCARA</v>
      </c>
      <c r="G171" s="218" t="str">
        <f>'Short NIS'!D171</f>
        <v>L</v>
      </c>
      <c r="H171" s="218" t="str">
        <f>'Short NIS'!E171</f>
        <v>X KA 5</v>
      </c>
      <c r="I171" s="219" t="s">
        <v>394</v>
      </c>
      <c r="J171" s="175">
        <v>25</v>
      </c>
      <c r="K171" s="175"/>
    </row>
    <row r="172" spans="1:11" x14ac:dyDescent="0.25">
      <c r="A172" s="175" t="str">
        <f t="shared" si="4"/>
        <v>X KA 5</v>
      </c>
      <c r="B172" s="175"/>
      <c r="C172" s="215">
        <f>'Short NIS'!A172</f>
        <v>102519695</v>
      </c>
      <c r="D172" s="216" t="str">
        <f>'Short NIS'!B172</f>
        <v>0109966707</v>
      </c>
      <c r="E172" s="175" t="str">
        <f t="shared" si="5"/>
        <v>102519695 /   0109966707</v>
      </c>
      <c r="F172" s="217" t="str">
        <f>'Short NIS'!C172</f>
        <v>MARSYA LUTVI NUR'AENI</v>
      </c>
      <c r="G172" s="218" t="str">
        <f>'Short NIS'!D172</f>
        <v>P</v>
      </c>
      <c r="H172" s="218" t="str">
        <f>'Short NIS'!E172</f>
        <v>X KA 5</v>
      </c>
      <c r="I172" s="219" t="s">
        <v>394</v>
      </c>
      <c r="J172" s="175">
        <v>26</v>
      </c>
      <c r="K172" s="175"/>
    </row>
    <row r="173" spans="1:11" x14ac:dyDescent="0.25">
      <c r="A173" s="175" t="str">
        <f t="shared" si="4"/>
        <v>X KA 5</v>
      </c>
      <c r="B173" s="175"/>
      <c r="C173" s="215">
        <f>'Short NIS'!A173</f>
        <v>102519696</v>
      </c>
      <c r="D173" s="216" t="str">
        <f>'Short NIS'!B173</f>
        <v>0108029992</v>
      </c>
      <c r="E173" s="175" t="str">
        <f t="shared" si="5"/>
        <v>102519696 /   0108029992</v>
      </c>
      <c r="F173" s="217" t="str">
        <f>'Short NIS'!C173</f>
        <v>MOUZZA KHAILA FATIHA GUNAWAN</v>
      </c>
      <c r="G173" s="218" t="str">
        <f>'Short NIS'!D173</f>
        <v>P</v>
      </c>
      <c r="H173" s="218" t="str">
        <f>'Short NIS'!E173</f>
        <v>X KA 5</v>
      </c>
      <c r="I173" s="219" t="s">
        <v>394</v>
      </c>
      <c r="J173" s="175">
        <v>27</v>
      </c>
      <c r="K173" s="175"/>
    </row>
    <row r="174" spans="1:11" x14ac:dyDescent="0.25">
      <c r="A174" s="175" t="str">
        <f t="shared" si="4"/>
        <v>X KA 5</v>
      </c>
      <c r="B174" s="175"/>
      <c r="C174" s="215">
        <f>'Short NIS'!A174</f>
        <v>102519697</v>
      </c>
      <c r="D174" s="216" t="str">
        <f>'Short NIS'!B174</f>
        <v>0099850277</v>
      </c>
      <c r="E174" s="175" t="str">
        <f t="shared" si="5"/>
        <v>102519697 /   0099850277</v>
      </c>
      <c r="F174" s="217" t="str">
        <f>'Short NIS'!C174</f>
        <v>MUHAMAD RIDWAN</v>
      </c>
      <c r="G174" s="218" t="str">
        <f>'Short NIS'!D174</f>
        <v>L</v>
      </c>
      <c r="H174" s="218" t="str">
        <f>'Short NIS'!E174</f>
        <v>X KA 5</v>
      </c>
      <c r="I174" s="219" t="s">
        <v>394</v>
      </c>
      <c r="J174" s="175">
        <v>28</v>
      </c>
      <c r="K174" s="175"/>
    </row>
    <row r="175" spans="1:11" x14ac:dyDescent="0.25">
      <c r="A175" s="175" t="str">
        <f t="shared" si="4"/>
        <v>X KA 5</v>
      </c>
      <c r="B175" s="175"/>
      <c r="C175" s="215">
        <f>'Short NIS'!A175</f>
        <v>102519698</v>
      </c>
      <c r="D175" s="216" t="str">
        <f>'Short NIS'!B175</f>
        <v>0108723938</v>
      </c>
      <c r="E175" s="175" t="str">
        <f t="shared" si="5"/>
        <v>102519698 /   0108723938</v>
      </c>
      <c r="F175" s="217" t="str">
        <f>'Short NIS'!C175</f>
        <v>MUHAMMAD BERI ALBARAK</v>
      </c>
      <c r="G175" s="218" t="str">
        <f>'Short NIS'!D175</f>
        <v>L</v>
      </c>
      <c r="H175" s="218" t="str">
        <f>'Short NIS'!E175</f>
        <v>X KA 5</v>
      </c>
      <c r="I175" s="219" t="s">
        <v>394</v>
      </c>
      <c r="J175" s="175">
        <v>29</v>
      </c>
      <c r="K175" s="175"/>
    </row>
    <row r="176" spans="1:11" x14ac:dyDescent="0.25">
      <c r="A176" s="175" t="str">
        <f t="shared" si="4"/>
        <v>X KA 5</v>
      </c>
      <c r="B176" s="175"/>
      <c r="C176" s="215">
        <f>'Short NIS'!A176</f>
        <v>102519699</v>
      </c>
      <c r="D176" s="216" t="str">
        <f>'Short NIS'!B176</f>
        <v>0108067934</v>
      </c>
      <c r="E176" s="175" t="str">
        <f t="shared" si="5"/>
        <v>102519699 /   0108067934</v>
      </c>
      <c r="F176" s="217" t="str">
        <f>'Short NIS'!C176</f>
        <v>MUHAMMAD RIDZKI SAPUTRA</v>
      </c>
      <c r="G176" s="218" t="str">
        <f>'Short NIS'!D176</f>
        <v>L</v>
      </c>
      <c r="H176" s="218" t="str">
        <f>'Short NIS'!E176</f>
        <v>X KA 5</v>
      </c>
      <c r="I176" s="219" t="s">
        <v>394</v>
      </c>
      <c r="J176" s="175">
        <v>30</v>
      </c>
      <c r="K176" s="175"/>
    </row>
    <row r="177" spans="1:11" x14ac:dyDescent="0.25">
      <c r="A177" s="175" t="str">
        <f t="shared" si="4"/>
        <v>X KA 5</v>
      </c>
      <c r="B177" s="175"/>
      <c r="C177" s="215">
        <f>'Short NIS'!A177</f>
        <v>102519700</v>
      </c>
      <c r="D177" s="216" t="str">
        <f>'Short NIS'!B177</f>
        <v>0101099727</v>
      </c>
      <c r="E177" s="175" t="str">
        <f t="shared" si="5"/>
        <v>102519700 /   0101099727</v>
      </c>
      <c r="F177" s="217" t="str">
        <f>'Short NIS'!C177</f>
        <v>NAIFA LASHIRA RACHMAN</v>
      </c>
      <c r="G177" s="218" t="str">
        <f>'Short NIS'!D177</f>
        <v>P</v>
      </c>
      <c r="H177" s="218" t="str">
        <f>'Short NIS'!E177</f>
        <v>X KA 5</v>
      </c>
      <c r="I177" s="219" t="s">
        <v>394</v>
      </c>
      <c r="J177" s="175">
        <v>31</v>
      </c>
      <c r="K177" s="175"/>
    </row>
    <row r="178" spans="1:11" x14ac:dyDescent="0.25">
      <c r="A178" s="175" t="str">
        <f t="shared" si="4"/>
        <v>X KA 5</v>
      </c>
      <c r="B178" s="175"/>
      <c r="C178" s="215">
        <f>'Short NIS'!A178</f>
        <v>102519701</v>
      </c>
      <c r="D178" s="216" t="str">
        <f>'Short NIS'!B178</f>
        <v>0095628548</v>
      </c>
      <c r="E178" s="175" t="str">
        <f t="shared" si="5"/>
        <v>102519701 /   0095628548</v>
      </c>
      <c r="F178" s="217" t="str">
        <f>'Short NIS'!C178</f>
        <v>PUTRI KHIRANIA AZZAHRA</v>
      </c>
      <c r="G178" s="218" t="str">
        <f>'Short NIS'!D178</f>
        <v>P</v>
      </c>
      <c r="H178" s="218" t="str">
        <f>'Short NIS'!E178</f>
        <v>X KA 5</v>
      </c>
      <c r="I178" s="219" t="s">
        <v>394</v>
      </c>
      <c r="J178" s="175">
        <v>32</v>
      </c>
      <c r="K178" s="175"/>
    </row>
    <row r="179" spans="1:11" x14ac:dyDescent="0.25">
      <c r="A179" s="175" t="str">
        <f t="shared" si="4"/>
        <v>X KA 5</v>
      </c>
      <c r="B179" s="175"/>
      <c r="C179" s="215">
        <f>'Short NIS'!A179</f>
        <v>102519702</v>
      </c>
      <c r="D179" s="216" t="str">
        <f>'Short NIS'!B179</f>
        <v>0096810225</v>
      </c>
      <c r="E179" s="175" t="str">
        <f t="shared" si="5"/>
        <v>102519702 /   0096810225</v>
      </c>
      <c r="F179" s="217" t="str">
        <f>'Short NIS'!C179</f>
        <v>RADEN RORO ARNINDA AURELIA</v>
      </c>
      <c r="G179" s="218" t="str">
        <f>'Short NIS'!D179</f>
        <v>P</v>
      </c>
      <c r="H179" s="218" t="str">
        <f>'Short NIS'!E179</f>
        <v>X KA 5</v>
      </c>
      <c r="I179" s="219" t="s">
        <v>394</v>
      </c>
      <c r="J179" s="175">
        <v>33</v>
      </c>
      <c r="K179" s="175"/>
    </row>
    <row r="180" spans="1:11" x14ac:dyDescent="0.25">
      <c r="A180" s="175" t="str">
        <f t="shared" si="4"/>
        <v>X KA 5</v>
      </c>
      <c r="B180" s="175"/>
      <c r="C180" s="215">
        <f>'Short NIS'!A180</f>
        <v>102519703</v>
      </c>
      <c r="D180" s="216" t="str">
        <f>'Short NIS'!B180</f>
        <v>0105189239</v>
      </c>
      <c r="E180" s="175" t="str">
        <f t="shared" si="5"/>
        <v>102519703 /   0105189239</v>
      </c>
      <c r="F180" s="217" t="str">
        <f>'Short NIS'!C180</f>
        <v>RAHMA RAURA</v>
      </c>
      <c r="G180" s="218" t="str">
        <f>'Short NIS'!D180</f>
        <v>P</v>
      </c>
      <c r="H180" s="218" t="str">
        <f>'Short NIS'!E180</f>
        <v>X KA 5</v>
      </c>
      <c r="I180" s="219" t="s">
        <v>394</v>
      </c>
      <c r="J180" s="175">
        <v>34</v>
      </c>
      <c r="K180" s="175"/>
    </row>
    <row r="181" spans="1:11" x14ac:dyDescent="0.25">
      <c r="A181" s="175" t="str">
        <f t="shared" si="4"/>
        <v>X KA 5</v>
      </c>
      <c r="B181" s="168"/>
      <c r="C181" s="215">
        <f>'Short NIS'!A181</f>
        <v>102519704</v>
      </c>
      <c r="D181" s="216" t="str">
        <f>'Short NIS'!B181</f>
        <v>0097409707</v>
      </c>
      <c r="E181" s="175" t="str">
        <f t="shared" si="5"/>
        <v>102519704 /   0097409707</v>
      </c>
      <c r="F181" s="217" t="str">
        <f>'Short NIS'!C181</f>
        <v>RAYYAN ZAIN AVEROUS</v>
      </c>
      <c r="G181" s="218" t="str">
        <f>'Short NIS'!D181</f>
        <v>L</v>
      </c>
      <c r="H181" s="218" t="str">
        <f>'Short NIS'!E181</f>
        <v>X KA 5</v>
      </c>
      <c r="I181" s="219" t="s">
        <v>394</v>
      </c>
      <c r="J181" s="175">
        <v>35</v>
      </c>
      <c r="K181" s="175"/>
    </row>
    <row r="182" spans="1:11" x14ac:dyDescent="0.25">
      <c r="A182" s="175" t="str">
        <f t="shared" si="4"/>
        <v>X KA 5</v>
      </c>
      <c r="B182" s="175"/>
      <c r="C182" s="215">
        <f>'Short NIS'!A182</f>
        <v>102519705</v>
      </c>
      <c r="D182" s="216" t="str">
        <f>'Short NIS'!B182</f>
        <v>0097359514</v>
      </c>
      <c r="E182" s="175" t="str">
        <f t="shared" si="5"/>
        <v>102519705 /   0097359514</v>
      </c>
      <c r="F182" s="217" t="str">
        <f>'Short NIS'!C182</f>
        <v>RESTY ZAHRA OKTAVYANI</v>
      </c>
      <c r="G182" s="218" t="str">
        <f>'Short NIS'!D182</f>
        <v>P</v>
      </c>
      <c r="H182" s="218" t="str">
        <f>'Short NIS'!E182</f>
        <v>X KA 5</v>
      </c>
      <c r="I182" s="219" t="s">
        <v>394</v>
      </c>
      <c r="J182" s="175">
        <v>1</v>
      </c>
      <c r="K182" s="175"/>
    </row>
    <row r="183" spans="1:11" x14ac:dyDescent="0.25">
      <c r="A183" s="175" t="str">
        <f t="shared" si="4"/>
        <v>X KA 5</v>
      </c>
      <c r="B183" s="175"/>
      <c r="C183" s="215">
        <f>'Short NIS'!A183</f>
        <v>102519706</v>
      </c>
      <c r="D183" s="216" t="str">
        <f>'Short NIS'!B183</f>
        <v>0091881675</v>
      </c>
      <c r="E183" s="175" t="str">
        <f t="shared" si="5"/>
        <v>102519706 /   0091881675</v>
      </c>
      <c r="F183" s="217" t="str">
        <f>'Short NIS'!C183</f>
        <v>SALSYA APRILIA HIKMAH</v>
      </c>
      <c r="G183" s="218" t="str">
        <f>'Short NIS'!D183</f>
        <v>P</v>
      </c>
      <c r="H183" s="218" t="str">
        <f>'Short NIS'!E183</f>
        <v>X KA 5</v>
      </c>
      <c r="I183" s="219" t="s">
        <v>397</v>
      </c>
      <c r="J183" s="175">
        <v>2</v>
      </c>
      <c r="K183" s="175"/>
    </row>
    <row r="184" spans="1:11" x14ac:dyDescent="0.25">
      <c r="A184" s="175" t="str">
        <f t="shared" si="4"/>
        <v>X KA 5</v>
      </c>
      <c r="B184" s="175"/>
      <c r="C184" s="215">
        <f>'Short NIS'!A184</f>
        <v>102519707</v>
      </c>
      <c r="D184" s="216" t="str">
        <f>'Short NIS'!B184</f>
        <v>0109561455</v>
      </c>
      <c r="E184" s="175" t="str">
        <f t="shared" si="5"/>
        <v>102519707 /   0109561455</v>
      </c>
      <c r="F184" s="217" t="str">
        <f>'Short NIS'!C184</f>
        <v>SIFA ALZAHRA</v>
      </c>
      <c r="G184" s="218" t="str">
        <f>'Short NIS'!D184</f>
        <v>P</v>
      </c>
      <c r="H184" s="218" t="str">
        <f>'Short NIS'!E184</f>
        <v>X KA 5</v>
      </c>
      <c r="I184" s="219" t="s">
        <v>397</v>
      </c>
      <c r="J184" s="175">
        <v>3</v>
      </c>
      <c r="K184" s="175"/>
    </row>
    <row r="185" spans="1:11" x14ac:dyDescent="0.25">
      <c r="A185" s="175" t="str">
        <f t="shared" si="4"/>
        <v>X KA 5</v>
      </c>
      <c r="B185" s="175"/>
      <c r="C185" s="215">
        <f>'Short NIS'!A185</f>
        <v>102519708</v>
      </c>
      <c r="D185" s="216" t="str">
        <f>'Short NIS'!B185</f>
        <v>0104176004</v>
      </c>
      <c r="E185" s="175" t="str">
        <f t="shared" si="5"/>
        <v>102519708 /   0104176004</v>
      </c>
      <c r="F185" s="217" t="str">
        <f>'Short NIS'!C185</f>
        <v>SIRRLY SIFANI YASA</v>
      </c>
      <c r="G185" s="218" t="str">
        <f>'Short NIS'!D185</f>
        <v>P</v>
      </c>
      <c r="H185" s="218" t="str">
        <f>'Short NIS'!E185</f>
        <v>X KA 5</v>
      </c>
      <c r="I185" s="219" t="s">
        <v>397</v>
      </c>
      <c r="J185" s="175">
        <v>4</v>
      </c>
      <c r="K185" s="175"/>
    </row>
    <row r="186" spans="1:11" x14ac:dyDescent="0.25">
      <c r="A186" s="175" t="str">
        <f t="shared" si="4"/>
        <v>X KA 5</v>
      </c>
      <c r="B186" s="175"/>
      <c r="C186" s="215">
        <f>'Short NIS'!A186</f>
        <v>102519709</v>
      </c>
      <c r="D186" s="216" t="str">
        <f>'Short NIS'!B186</f>
        <v>0091525423</v>
      </c>
      <c r="E186" s="175" t="str">
        <f t="shared" si="5"/>
        <v>102519709 /   0091525423</v>
      </c>
      <c r="F186" s="217" t="str">
        <f>'Short NIS'!C186</f>
        <v>SITI NURAENI</v>
      </c>
      <c r="G186" s="218" t="str">
        <f>'Short NIS'!D186</f>
        <v>P</v>
      </c>
      <c r="H186" s="218" t="str">
        <f>'Short NIS'!E186</f>
        <v>X KA 5</v>
      </c>
      <c r="I186" s="219" t="s">
        <v>397</v>
      </c>
      <c r="J186" s="175">
        <v>5</v>
      </c>
      <c r="K186" s="175"/>
    </row>
    <row r="187" spans="1:11" x14ac:dyDescent="0.25">
      <c r="A187" s="175" t="str">
        <f t="shared" si="4"/>
        <v>X KA 5</v>
      </c>
      <c r="B187" s="175"/>
      <c r="C187" s="215">
        <f>'Short NIS'!A187</f>
        <v>102519710</v>
      </c>
      <c r="D187" s="216" t="str">
        <f>'Short NIS'!B187</f>
        <v>0106196090</v>
      </c>
      <c r="E187" s="175" t="str">
        <f t="shared" si="5"/>
        <v>102519710 /   0106196090</v>
      </c>
      <c r="F187" s="217" t="str">
        <f>'Short NIS'!C187</f>
        <v>SYEREN AZKIYA VALENCIA</v>
      </c>
      <c r="G187" s="218" t="str">
        <f>'Short NIS'!D187</f>
        <v>P</v>
      </c>
      <c r="H187" s="218" t="str">
        <f>'Short NIS'!E187</f>
        <v>X KA 5</v>
      </c>
      <c r="I187" s="219" t="s">
        <v>397</v>
      </c>
      <c r="J187" s="175">
        <v>6</v>
      </c>
      <c r="K187" s="175"/>
    </row>
    <row r="188" spans="1:11" x14ac:dyDescent="0.25">
      <c r="A188" s="175" t="str">
        <f t="shared" si="4"/>
        <v>X KA 5</v>
      </c>
      <c r="B188" s="175"/>
      <c r="C188" s="215">
        <f>'Short NIS'!A188</f>
        <v>102519711</v>
      </c>
      <c r="D188" s="216" t="str">
        <f>'Short NIS'!B188</f>
        <v>3091113524</v>
      </c>
      <c r="E188" s="175" t="str">
        <f t="shared" si="5"/>
        <v>102519711 /   3091113524</v>
      </c>
      <c r="F188" s="217" t="str">
        <f>'Short NIS'!C188</f>
        <v>TRI ANNISA RAHMAWATI</v>
      </c>
      <c r="G188" s="218" t="str">
        <f>'Short NIS'!D188</f>
        <v>P</v>
      </c>
      <c r="H188" s="218" t="str">
        <f>'Short NIS'!E188</f>
        <v>X KA 5</v>
      </c>
      <c r="I188" s="219" t="s">
        <v>397</v>
      </c>
      <c r="J188" s="175">
        <v>7</v>
      </c>
      <c r="K188" s="175"/>
    </row>
    <row r="189" spans="1:11" x14ac:dyDescent="0.25">
      <c r="A189" s="175" t="str">
        <f t="shared" si="4"/>
        <v>X KA 5</v>
      </c>
      <c r="B189" s="175"/>
      <c r="C189" s="215">
        <f>'Short NIS'!A189</f>
        <v>102519712</v>
      </c>
      <c r="D189" s="216" t="str">
        <f>'Short NIS'!B189</f>
        <v>3102612513</v>
      </c>
      <c r="E189" s="175" t="str">
        <f t="shared" si="5"/>
        <v>102519712 /   3102612513</v>
      </c>
      <c r="F189" s="217" t="str">
        <f>'Short NIS'!C189</f>
        <v>VIERA APRILIA</v>
      </c>
      <c r="G189" s="218" t="str">
        <f>'Short NIS'!D189</f>
        <v>P</v>
      </c>
      <c r="H189" s="218" t="str">
        <f>'Short NIS'!E189</f>
        <v>X KA 5</v>
      </c>
      <c r="I189" s="219" t="s">
        <v>397</v>
      </c>
      <c r="J189" s="175">
        <v>8</v>
      </c>
      <c r="K189" s="175"/>
    </row>
    <row r="190" spans="1:11" x14ac:dyDescent="0.25">
      <c r="A190" s="175" t="str">
        <f t="shared" si="4"/>
        <v>X KA 5</v>
      </c>
      <c r="B190" s="175"/>
      <c r="C190" s="215">
        <f>'Short NIS'!A190</f>
        <v>102519713</v>
      </c>
      <c r="D190" s="216" t="str">
        <f>'Short NIS'!B190</f>
        <v>0095478274</v>
      </c>
      <c r="E190" s="175" t="str">
        <f t="shared" si="5"/>
        <v>102519713 /   0095478274</v>
      </c>
      <c r="F190" s="217" t="str">
        <f>'Short NIS'!C190</f>
        <v>WENING PHALASIFA</v>
      </c>
      <c r="G190" s="218" t="str">
        <f>'Short NIS'!D190</f>
        <v>P</v>
      </c>
      <c r="H190" s="218" t="str">
        <f>'Short NIS'!E190</f>
        <v>X KA 5</v>
      </c>
      <c r="I190" s="219" t="s">
        <v>397</v>
      </c>
      <c r="J190" s="175">
        <v>9</v>
      </c>
      <c r="K190" s="175"/>
    </row>
    <row r="191" spans="1:11" x14ac:dyDescent="0.25">
      <c r="A191" s="175" t="str">
        <f t="shared" si="4"/>
        <v>X KA 6</v>
      </c>
      <c r="B191" s="175"/>
      <c r="C191" s="215">
        <f>'Short NIS'!A191</f>
        <v>102519714</v>
      </c>
      <c r="D191" s="216" t="str">
        <f>'Short NIS'!B191</f>
        <v>0092178246</v>
      </c>
      <c r="E191" s="175" t="str">
        <f t="shared" si="5"/>
        <v>102519714 /   0092178246</v>
      </c>
      <c r="F191" s="217" t="str">
        <f>'Short NIS'!C191</f>
        <v>ALYA SITI CHAIRUNISA</v>
      </c>
      <c r="G191" s="218" t="str">
        <f>'Short NIS'!D191</f>
        <v>P</v>
      </c>
      <c r="H191" s="218" t="str">
        <f>'Short NIS'!E191</f>
        <v>X KA 6</v>
      </c>
      <c r="I191" s="219" t="s">
        <v>397</v>
      </c>
      <c r="J191" s="175">
        <v>10</v>
      </c>
      <c r="K191" s="175"/>
    </row>
    <row r="192" spans="1:11" x14ac:dyDescent="0.25">
      <c r="A192" s="175" t="str">
        <f t="shared" si="4"/>
        <v>X KA 6</v>
      </c>
      <c r="B192" s="175"/>
      <c r="C192" s="215">
        <f>'Short NIS'!A192</f>
        <v>102519715</v>
      </c>
      <c r="D192" s="216" t="str">
        <f>'Short NIS'!B192</f>
        <v>0092055193</v>
      </c>
      <c r="E192" s="175" t="str">
        <f t="shared" si="5"/>
        <v>102519715 /   0092055193</v>
      </c>
      <c r="F192" s="217" t="str">
        <f>'Short NIS'!C192</f>
        <v>ANDRA ZAKARIA FATHAR</v>
      </c>
      <c r="G192" s="218" t="str">
        <f>'Short NIS'!D192</f>
        <v>L</v>
      </c>
      <c r="H192" s="218" t="str">
        <f>'Short NIS'!E192</f>
        <v>X KA 6</v>
      </c>
      <c r="I192" s="219" t="s">
        <v>397</v>
      </c>
      <c r="J192" s="175">
        <v>11</v>
      </c>
      <c r="K192" s="175"/>
    </row>
    <row r="193" spans="1:11" x14ac:dyDescent="0.25">
      <c r="A193" s="175" t="str">
        <f t="shared" si="4"/>
        <v>X KA 6</v>
      </c>
      <c r="B193" s="175"/>
      <c r="C193" s="215">
        <f>'Short NIS'!A193</f>
        <v>102519716</v>
      </c>
      <c r="D193" s="216" t="str">
        <f>'Short NIS'!B193</f>
        <v>0092750378</v>
      </c>
      <c r="E193" s="175" t="str">
        <f t="shared" si="5"/>
        <v>102519716 /   0092750378</v>
      </c>
      <c r="F193" s="217" t="str">
        <f>'Short NIS'!C193</f>
        <v>ANNISA CAHYANI BARAKA</v>
      </c>
      <c r="G193" s="218" t="str">
        <f>'Short NIS'!D193</f>
        <v>P</v>
      </c>
      <c r="H193" s="218" t="str">
        <f>'Short NIS'!E193</f>
        <v>X KA 6</v>
      </c>
      <c r="I193" s="219" t="s">
        <v>397</v>
      </c>
      <c r="J193" s="175">
        <v>12</v>
      </c>
      <c r="K193" s="175"/>
    </row>
    <row r="194" spans="1:11" x14ac:dyDescent="0.25">
      <c r="A194" s="175" t="str">
        <f t="shared" si="4"/>
        <v>X KA 6</v>
      </c>
      <c r="B194" s="175"/>
      <c r="C194" s="215">
        <f>'Short NIS'!A194</f>
        <v>102519717</v>
      </c>
      <c r="D194" s="216" t="str">
        <f>'Short NIS'!B194</f>
        <v>0104900089</v>
      </c>
      <c r="E194" s="175" t="str">
        <f t="shared" si="5"/>
        <v>102519717 /   0104900089</v>
      </c>
      <c r="F194" s="217" t="str">
        <f>'Short NIS'!C194</f>
        <v>BIMA PANGESTU SEJATI</v>
      </c>
      <c r="G194" s="218" t="str">
        <f>'Short NIS'!D194</f>
        <v>L</v>
      </c>
      <c r="H194" s="218" t="str">
        <f>'Short NIS'!E194</f>
        <v>X KA 6</v>
      </c>
      <c r="I194" s="219" t="s">
        <v>397</v>
      </c>
      <c r="J194" s="175">
        <v>13</v>
      </c>
      <c r="K194" s="175"/>
    </row>
    <row r="195" spans="1:11" x14ac:dyDescent="0.25">
      <c r="A195" s="175" t="str">
        <f t="shared" ref="A195:A257" si="7">H195&amp;B195</f>
        <v>X KA 6</v>
      </c>
      <c r="B195" s="175"/>
      <c r="C195" s="215">
        <f>'Short NIS'!A195</f>
        <v>102519718</v>
      </c>
      <c r="D195" s="216" t="str">
        <f>'Short NIS'!B195</f>
        <v>0101777375</v>
      </c>
      <c r="E195" s="175" t="str">
        <f t="shared" ref="E195:E258" si="8">C195&amp;" /   "&amp;D195</f>
        <v>102519718 /   0101777375</v>
      </c>
      <c r="F195" s="217" t="str">
        <f>'Short NIS'!C195</f>
        <v>CHALISTA PUTRI</v>
      </c>
      <c r="G195" s="218" t="str">
        <f>'Short NIS'!D195</f>
        <v>P</v>
      </c>
      <c r="H195" s="218" t="str">
        <f>'Short NIS'!E195</f>
        <v>X KA 6</v>
      </c>
      <c r="I195" s="219" t="s">
        <v>397</v>
      </c>
      <c r="J195" s="175">
        <v>14</v>
      </c>
      <c r="K195" s="175"/>
    </row>
    <row r="196" spans="1:11" x14ac:dyDescent="0.25">
      <c r="A196" s="175" t="str">
        <f t="shared" si="7"/>
        <v>X KA 6</v>
      </c>
      <c r="B196" s="175"/>
      <c r="C196" s="215">
        <f>'Short NIS'!A196</f>
        <v>102519719</v>
      </c>
      <c r="D196" s="216" t="str">
        <f>'Short NIS'!B196</f>
        <v>0104867282</v>
      </c>
      <c r="E196" s="175" t="str">
        <f t="shared" si="8"/>
        <v>102519719 /   0104867282</v>
      </c>
      <c r="F196" s="217" t="str">
        <f>'Short NIS'!C196</f>
        <v>DAFA YOGA PRATAMA</v>
      </c>
      <c r="G196" s="218" t="str">
        <f>'Short NIS'!D196</f>
        <v>L</v>
      </c>
      <c r="H196" s="218" t="str">
        <f>'Short NIS'!E196</f>
        <v>X KA 6</v>
      </c>
      <c r="I196" s="219" t="s">
        <v>397</v>
      </c>
      <c r="J196" s="175">
        <v>15</v>
      </c>
      <c r="K196" s="175"/>
    </row>
    <row r="197" spans="1:11" x14ac:dyDescent="0.25">
      <c r="A197" s="175" t="str">
        <f t="shared" si="7"/>
        <v>X KA 6</v>
      </c>
      <c r="B197" s="175"/>
      <c r="C197" s="215">
        <f>'Short NIS'!A197</f>
        <v>102519720</v>
      </c>
      <c r="D197" s="216" t="str">
        <f>'Short NIS'!B197</f>
        <v>3100617039</v>
      </c>
      <c r="E197" s="175" t="str">
        <f t="shared" si="8"/>
        <v>102519720 /   3100617039</v>
      </c>
      <c r="F197" s="217" t="str">
        <f>'Short NIS'!C197</f>
        <v>DIMAS NAZRIL ILYAS</v>
      </c>
      <c r="G197" s="218" t="str">
        <f>'Short NIS'!D197</f>
        <v>L</v>
      </c>
      <c r="H197" s="218" t="str">
        <f>'Short NIS'!E197</f>
        <v>X KA 6</v>
      </c>
      <c r="I197" s="219" t="s">
        <v>397</v>
      </c>
      <c r="J197" s="175">
        <v>16</v>
      </c>
      <c r="K197" s="175"/>
    </row>
    <row r="198" spans="1:11" x14ac:dyDescent="0.25">
      <c r="A198" s="175" t="str">
        <f t="shared" si="7"/>
        <v>X KA 6</v>
      </c>
      <c r="B198" s="175"/>
      <c r="C198" s="215">
        <f>'Short NIS'!A198</f>
        <v>102519721</v>
      </c>
      <c r="D198" s="216" t="str">
        <f>'Short NIS'!B198</f>
        <v>0103809608</v>
      </c>
      <c r="E198" s="175" t="str">
        <f t="shared" si="8"/>
        <v>102519721 /   0103809608</v>
      </c>
      <c r="F198" s="217" t="str">
        <f>'Short NIS'!C198</f>
        <v>FAISAL AL FATHIR</v>
      </c>
      <c r="G198" s="218" t="str">
        <f>'Short NIS'!D198</f>
        <v>L</v>
      </c>
      <c r="H198" s="218" t="str">
        <f>'Short NIS'!E198</f>
        <v>X KA 6</v>
      </c>
      <c r="I198" s="219" t="s">
        <v>397</v>
      </c>
      <c r="J198" s="175">
        <v>17</v>
      </c>
      <c r="K198" s="175"/>
    </row>
    <row r="199" spans="1:11" x14ac:dyDescent="0.25">
      <c r="A199" s="175" t="str">
        <f t="shared" si="7"/>
        <v>X KA 6</v>
      </c>
      <c r="B199" s="175"/>
      <c r="C199" s="215">
        <f>'Short NIS'!A199</f>
        <v>102519722</v>
      </c>
      <c r="D199" s="216" t="str">
        <f>'Short NIS'!B199</f>
        <v>0101346434</v>
      </c>
      <c r="E199" s="175" t="str">
        <f t="shared" si="8"/>
        <v>102519722 /   0101346434</v>
      </c>
      <c r="F199" s="217" t="str">
        <f>'Short NIS'!C199</f>
        <v>FAKHIRA KAMAL</v>
      </c>
      <c r="G199" s="218" t="str">
        <f>'Short NIS'!D199</f>
        <v>P</v>
      </c>
      <c r="H199" s="218" t="str">
        <f>'Short NIS'!E199</f>
        <v>X KA 6</v>
      </c>
      <c r="I199" s="219" t="s">
        <v>397</v>
      </c>
      <c r="J199" s="175">
        <v>18</v>
      </c>
      <c r="K199" s="175"/>
    </row>
    <row r="200" spans="1:11" x14ac:dyDescent="0.25">
      <c r="A200" s="175" t="str">
        <f t="shared" si="7"/>
        <v>X KA 6</v>
      </c>
      <c r="B200" s="175"/>
      <c r="C200" s="215">
        <f>'Short NIS'!A200</f>
        <v>102519723</v>
      </c>
      <c r="D200" s="216" t="str">
        <f>'Short NIS'!B200</f>
        <v>0099622570</v>
      </c>
      <c r="E200" s="175" t="str">
        <f t="shared" si="8"/>
        <v>102519723 /   0099622570</v>
      </c>
      <c r="F200" s="217" t="str">
        <f>'Short NIS'!C200</f>
        <v>FIKA ZIANKA PUTRI</v>
      </c>
      <c r="G200" s="218" t="str">
        <f>'Short NIS'!D200</f>
        <v>P</v>
      </c>
      <c r="H200" s="218" t="str">
        <f>'Short NIS'!E200</f>
        <v>X KA 6</v>
      </c>
      <c r="I200" s="219" t="s">
        <v>397</v>
      </c>
      <c r="J200" s="175">
        <v>19</v>
      </c>
      <c r="K200" s="175"/>
    </row>
    <row r="201" spans="1:11" x14ac:dyDescent="0.25">
      <c r="A201" s="175" t="str">
        <f t="shared" si="7"/>
        <v>X KA 6</v>
      </c>
      <c r="B201" s="175"/>
      <c r="C201" s="215">
        <f>'Short NIS'!A201</f>
        <v>102519724</v>
      </c>
      <c r="D201" s="216" t="str">
        <f>'Short NIS'!B201</f>
        <v>0093977118</v>
      </c>
      <c r="E201" s="175" t="str">
        <f t="shared" si="8"/>
        <v>102519724 /   0093977118</v>
      </c>
      <c r="F201" s="217" t="str">
        <f>'Short NIS'!C201</f>
        <v>HILFA NUR ZAKIA</v>
      </c>
      <c r="G201" s="218" t="str">
        <f>'Short NIS'!D201</f>
        <v>P</v>
      </c>
      <c r="H201" s="218" t="str">
        <f>'Short NIS'!E201</f>
        <v>X KA 6</v>
      </c>
      <c r="I201" s="219" t="s">
        <v>397</v>
      </c>
      <c r="J201" s="175">
        <v>20</v>
      </c>
      <c r="K201" s="175"/>
    </row>
    <row r="202" spans="1:11" x14ac:dyDescent="0.25">
      <c r="A202" s="175" t="str">
        <f t="shared" si="7"/>
        <v>X KA 6</v>
      </c>
      <c r="B202" s="175"/>
      <c r="C202" s="215">
        <f>'Short NIS'!A202</f>
        <v>102519725</v>
      </c>
      <c r="D202" s="216" t="str">
        <f>'Short NIS'!B202</f>
        <v>0092332697</v>
      </c>
      <c r="E202" s="175" t="str">
        <f t="shared" si="8"/>
        <v>102519725 /   0092332697</v>
      </c>
      <c r="F202" s="217" t="str">
        <f>'Short NIS'!C202</f>
        <v>HUMAIRA MILANNISA AZZAHRA</v>
      </c>
      <c r="G202" s="218" t="str">
        <f>'Short NIS'!D202</f>
        <v>P</v>
      </c>
      <c r="H202" s="218" t="str">
        <f>'Short NIS'!E202</f>
        <v>X KA 6</v>
      </c>
      <c r="I202" s="219" t="s">
        <v>397</v>
      </c>
      <c r="J202" s="175">
        <v>21</v>
      </c>
      <c r="K202" s="175"/>
    </row>
    <row r="203" spans="1:11" x14ac:dyDescent="0.25">
      <c r="A203" s="175" t="str">
        <f t="shared" si="7"/>
        <v>X KA 6</v>
      </c>
      <c r="B203" s="175"/>
      <c r="C203" s="215">
        <f>'Short NIS'!A203</f>
        <v>102519726</v>
      </c>
      <c r="D203" s="216" t="str">
        <f>'Short NIS'!B203</f>
        <v>0092190920</v>
      </c>
      <c r="E203" s="175" t="str">
        <f t="shared" si="8"/>
        <v>102519726 /   0092190920</v>
      </c>
      <c r="F203" s="217" t="str">
        <f>'Short NIS'!C203</f>
        <v>INDRI RIPANI PUTRI</v>
      </c>
      <c r="G203" s="218" t="str">
        <f>'Short NIS'!D203</f>
        <v>P</v>
      </c>
      <c r="H203" s="218" t="str">
        <f>'Short NIS'!E203</f>
        <v>X KA 6</v>
      </c>
      <c r="I203" s="219" t="s">
        <v>397</v>
      </c>
      <c r="J203" s="175">
        <v>22</v>
      </c>
      <c r="K203" s="175"/>
    </row>
    <row r="204" spans="1:11" x14ac:dyDescent="0.25">
      <c r="A204" s="175" t="str">
        <f t="shared" si="7"/>
        <v>X KA 6</v>
      </c>
      <c r="B204" s="175"/>
      <c r="C204" s="215">
        <f>'Short NIS'!A204</f>
        <v>102519727</v>
      </c>
      <c r="D204" s="216" t="str">
        <f>'Short NIS'!B204</f>
        <v>0095972533</v>
      </c>
      <c r="E204" s="175" t="str">
        <f t="shared" si="8"/>
        <v>102519727 /   0095972533</v>
      </c>
      <c r="F204" s="217" t="str">
        <f>'Short NIS'!C204</f>
        <v>KEYLA ANAYA ARYANTI</v>
      </c>
      <c r="G204" s="218" t="str">
        <f>'Short NIS'!D204</f>
        <v>P</v>
      </c>
      <c r="H204" s="218" t="str">
        <f>'Short NIS'!E204</f>
        <v>X KA 6</v>
      </c>
      <c r="I204" s="219" t="s">
        <v>397</v>
      </c>
      <c r="J204" s="175">
        <v>23</v>
      </c>
      <c r="K204" s="175"/>
    </row>
    <row r="205" spans="1:11" x14ac:dyDescent="0.25">
      <c r="A205" s="175" t="str">
        <f t="shared" si="7"/>
        <v>X KA 6</v>
      </c>
      <c r="B205" s="175"/>
      <c r="C205" s="215">
        <f>'Short NIS'!A205</f>
        <v>102519728</v>
      </c>
      <c r="D205" s="216" t="str">
        <f>'Short NIS'!B205</f>
        <v>0097103145</v>
      </c>
      <c r="E205" s="175" t="str">
        <f t="shared" si="8"/>
        <v>102519728 /   0097103145</v>
      </c>
      <c r="F205" s="217" t="str">
        <f>'Short NIS'!C205</f>
        <v>LOVIOLA AMIRA PRAMESWARI</v>
      </c>
      <c r="G205" s="218" t="str">
        <f>'Short NIS'!D205</f>
        <v>P</v>
      </c>
      <c r="H205" s="218" t="str">
        <f>'Short NIS'!E205</f>
        <v>X KA 6</v>
      </c>
      <c r="I205" s="219" t="s">
        <v>397</v>
      </c>
      <c r="J205" s="175">
        <v>24</v>
      </c>
      <c r="K205" s="175"/>
    </row>
    <row r="206" spans="1:11" x14ac:dyDescent="0.25">
      <c r="A206" s="175" t="str">
        <f t="shared" si="7"/>
        <v>X KA 6</v>
      </c>
      <c r="B206" s="175"/>
      <c r="C206" s="215">
        <f>'Short NIS'!A206</f>
        <v>102519729</v>
      </c>
      <c r="D206" s="216" t="str">
        <f>'Short NIS'!B206</f>
        <v>0092481175</v>
      </c>
      <c r="E206" s="175" t="str">
        <f t="shared" si="8"/>
        <v>102519729 /   0092481175</v>
      </c>
      <c r="F206" s="217" t="str">
        <f>'Short NIS'!C206</f>
        <v>LUTHFIYYAH FAJARINA SHUBHI</v>
      </c>
      <c r="G206" s="218" t="str">
        <f>'Short NIS'!D206</f>
        <v>P</v>
      </c>
      <c r="H206" s="218" t="str">
        <f>'Short NIS'!E206</f>
        <v>X KA 6</v>
      </c>
      <c r="I206" s="219" t="s">
        <v>397</v>
      </c>
      <c r="J206" s="175">
        <v>25</v>
      </c>
      <c r="K206" s="175"/>
    </row>
    <row r="207" spans="1:11" x14ac:dyDescent="0.25">
      <c r="A207" s="175" t="str">
        <f t="shared" si="7"/>
        <v>X KA 6</v>
      </c>
      <c r="B207" s="175"/>
      <c r="C207" s="215">
        <f>'Short NIS'!A207</f>
        <v>102519730</v>
      </c>
      <c r="D207" s="216" t="str">
        <f>'Short NIS'!B207</f>
        <v>0092875262</v>
      </c>
      <c r="E207" s="175" t="str">
        <f t="shared" si="8"/>
        <v>102519730 /   0092875262</v>
      </c>
      <c r="F207" s="217" t="str">
        <f>'Short NIS'!C207</f>
        <v>MEILINA SALSABILA</v>
      </c>
      <c r="G207" s="218" t="str">
        <f>'Short NIS'!D207</f>
        <v>P</v>
      </c>
      <c r="H207" s="218" t="str">
        <f>'Short NIS'!E207</f>
        <v>X KA 6</v>
      </c>
      <c r="I207" s="219" t="s">
        <v>397</v>
      </c>
      <c r="J207" s="175">
        <v>26</v>
      </c>
      <c r="K207" s="175"/>
    </row>
    <row r="208" spans="1:11" x14ac:dyDescent="0.25">
      <c r="A208" s="175" t="str">
        <f t="shared" si="7"/>
        <v>X KA 6</v>
      </c>
      <c r="B208" s="175"/>
      <c r="C208" s="215">
        <f>'Short NIS'!A208</f>
        <v>102519731</v>
      </c>
      <c r="D208" s="216" t="str">
        <f>'Short NIS'!B208</f>
        <v>0099308328</v>
      </c>
      <c r="E208" s="175" t="str">
        <f t="shared" si="8"/>
        <v>102519731 /   0099308328</v>
      </c>
      <c r="F208" s="217" t="str">
        <f>'Short NIS'!C208</f>
        <v>MELANI NOVIYANTI</v>
      </c>
      <c r="G208" s="218" t="str">
        <f>'Short NIS'!D208</f>
        <v>P</v>
      </c>
      <c r="H208" s="218" t="str">
        <f>'Short NIS'!E208</f>
        <v>X KA 6</v>
      </c>
      <c r="I208" s="219" t="s">
        <v>397</v>
      </c>
      <c r="J208" s="175">
        <v>27</v>
      </c>
      <c r="K208" s="175"/>
    </row>
    <row r="209" spans="1:11" x14ac:dyDescent="0.25">
      <c r="A209" s="175" t="str">
        <f t="shared" si="7"/>
        <v>X KA 6</v>
      </c>
      <c r="B209" s="175"/>
      <c r="C209" s="215">
        <f>'Short NIS'!A209</f>
        <v>102519732</v>
      </c>
      <c r="D209" s="216" t="str">
        <f>'Short NIS'!B209</f>
        <v>0105646233</v>
      </c>
      <c r="E209" s="175" t="str">
        <f t="shared" si="8"/>
        <v>102519732 /   0105646233</v>
      </c>
      <c r="F209" s="217" t="str">
        <f>'Short NIS'!C209</f>
        <v>MUHAMAD REZKY MAULIDIN</v>
      </c>
      <c r="G209" s="218" t="str">
        <f>'Short NIS'!D209</f>
        <v>L</v>
      </c>
      <c r="H209" s="218" t="str">
        <f>'Short NIS'!E209</f>
        <v>X KA 6</v>
      </c>
      <c r="I209" s="219" t="s">
        <v>397</v>
      </c>
      <c r="J209" s="175">
        <v>28</v>
      </c>
      <c r="K209" s="175"/>
    </row>
    <row r="210" spans="1:11" x14ac:dyDescent="0.25">
      <c r="A210" s="175" t="str">
        <f t="shared" si="7"/>
        <v>X KA 6</v>
      </c>
      <c r="B210" s="175"/>
      <c r="C210" s="215">
        <f>'Short NIS'!A210</f>
        <v>102519733</v>
      </c>
      <c r="D210" s="216" t="str">
        <f>'Short NIS'!B210</f>
        <v>0095487141</v>
      </c>
      <c r="E210" s="175" t="str">
        <f t="shared" si="8"/>
        <v>102519733 /   0095487141</v>
      </c>
      <c r="F210" s="217" t="str">
        <f>'Short NIS'!C210</f>
        <v>MUHAMMAD ALVIN HARDY NADIRUL NURHAYAN</v>
      </c>
      <c r="G210" s="218" t="str">
        <f>'Short NIS'!D210</f>
        <v>L</v>
      </c>
      <c r="H210" s="218" t="str">
        <f>'Short NIS'!E210</f>
        <v>X KA 6</v>
      </c>
      <c r="I210" s="219" t="s">
        <v>397</v>
      </c>
      <c r="J210" s="175">
        <v>29</v>
      </c>
      <c r="K210" s="175"/>
    </row>
    <row r="211" spans="1:11" x14ac:dyDescent="0.25">
      <c r="A211" s="175" t="str">
        <f t="shared" si="7"/>
        <v>X KA 6</v>
      </c>
      <c r="B211" s="175"/>
      <c r="C211" s="215">
        <f>'Short NIS'!A211</f>
        <v>102519734</v>
      </c>
      <c r="D211" s="216" t="str">
        <f>'Short NIS'!B211</f>
        <v>0097347700</v>
      </c>
      <c r="E211" s="175" t="str">
        <f t="shared" si="8"/>
        <v>102519734 /   0097347700</v>
      </c>
      <c r="F211" s="217" t="str">
        <f>'Short NIS'!C211</f>
        <v>MUHAMMAD FADHILAH</v>
      </c>
      <c r="G211" s="218" t="str">
        <f>'Short NIS'!D211</f>
        <v>L</v>
      </c>
      <c r="H211" s="218" t="str">
        <f>'Short NIS'!E211</f>
        <v>X KA 6</v>
      </c>
      <c r="I211" s="219" t="s">
        <v>397</v>
      </c>
      <c r="J211" s="175">
        <v>30</v>
      </c>
      <c r="K211" s="175"/>
    </row>
    <row r="212" spans="1:11" x14ac:dyDescent="0.25">
      <c r="A212" s="175" t="str">
        <f t="shared" si="7"/>
        <v>X KA 6</v>
      </c>
      <c r="B212" s="175"/>
      <c r="C212" s="215">
        <f>'Short NIS'!A212</f>
        <v>102519735</v>
      </c>
      <c r="D212" s="216" t="str">
        <f>'Short NIS'!B212</f>
        <v>0096342377</v>
      </c>
      <c r="E212" s="175" t="str">
        <f t="shared" si="8"/>
        <v>102519735 /   0096342377</v>
      </c>
      <c r="F212" s="217" t="str">
        <f>'Short NIS'!C212</f>
        <v>MUHAMMAD RAIHAN NAUFAL</v>
      </c>
      <c r="G212" s="218" t="str">
        <f>'Short NIS'!D212</f>
        <v>L</v>
      </c>
      <c r="H212" s="218" t="str">
        <f>'Short NIS'!E212</f>
        <v>X KA 6</v>
      </c>
      <c r="I212" s="219" t="s">
        <v>397</v>
      </c>
      <c r="J212" s="175">
        <v>31</v>
      </c>
      <c r="K212" s="175"/>
    </row>
    <row r="213" spans="1:11" x14ac:dyDescent="0.25">
      <c r="A213" s="175" t="str">
        <f t="shared" si="7"/>
        <v>X KA 6</v>
      </c>
      <c r="B213" s="175"/>
      <c r="C213" s="215">
        <f>'Short NIS'!A213</f>
        <v>102519736</v>
      </c>
      <c r="D213" s="216" t="str">
        <f>'Short NIS'!B213</f>
        <v>0105140721</v>
      </c>
      <c r="E213" s="175" t="str">
        <f t="shared" si="8"/>
        <v>102519736 /   0105140721</v>
      </c>
      <c r="F213" s="217" t="str">
        <f>'Short NIS'!C213</f>
        <v>NAUFAL LATHIF SAVERO</v>
      </c>
      <c r="G213" s="218" t="str">
        <f>'Short NIS'!D213</f>
        <v>L</v>
      </c>
      <c r="H213" s="218" t="str">
        <f>'Short NIS'!E213</f>
        <v>X KA 6</v>
      </c>
      <c r="I213" s="219" t="s">
        <v>397</v>
      </c>
      <c r="J213" s="175">
        <v>32</v>
      </c>
      <c r="K213" s="175"/>
    </row>
    <row r="214" spans="1:11" x14ac:dyDescent="0.25">
      <c r="A214" s="175" t="str">
        <f t="shared" si="7"/>
        <v>X KA 6</v>
      </c>
      <c r="B214" s="175"/>
      <c r="C214" s="215">
        <f>'Short NIS'!A214</f>
        <v>102519737</v>
      </c>
      <c r="D214" s="216" t="str">
        <f>'Short NIS'!B214</f>
        <v>0103441274</v>
      </c>
      <c r="E214" s="175" t="str">
        <f t="shared" si="8"/>
        <v>102519737 /   0103441274</v>
      </c>
      <c r="F214" s="217" t="str">
        <f>'Short NIS'!C214</f>
        <v>NEYSA NUR KAMELIA</v>
      </c>
      <c r="G214" s="218" t="str">
        <f>'Short NIS'!D214</f>
        <v>P</v>
      </c>
      <c r="H214" s="218" t="str">
        <f>'Short NIS'!E214</f>
        <v>X KA 6</v>
      </c>
      <c r="I214" s="219" t="s">
        <v>397</v>
      </c>
      <c r="J214" s="175">
        <v>33</v>
      </c>
      <c r="K214" s="175"/>
    </row>
    <row r="215" spans="1:11" x14ac:dyDescent="0.25">
      <c r="A215" s="175" t="str">
        <f t="shared" si="7"/>
        <v>X KA 6</v>
      </c>
      <c r="B215" s="175"/>
      <c r="C215" s="215">
        <f>'Short NIS'!A215</f>
        <v>102519738</v>
      </c>
      <c r="D215" s="216" t="str">
        <f>'Short NIS'!B215</f>
        <v>0104797186</v>
      </c>
      <c r="E215" s="175" t="str">
        <f t="shared" si="8"/>
        <v>102519738 /   0104797186</v>
      </c>
      <c r="F215" s="217" t="str">
        <f>'Short NIS'!C215</f>
        <v>NIKEN MARSHA ANDREA</v>
      </c>
      <c r="G215" s="218" t="str">
        <f>'Short NIS'!D215</f>
        <v>P</v>
      </c>
      <c r="H215" s="218" t="str">
        <f>'Short NIS'!E215</f>
        <v>X KA 6</v>
      </c>
      <c r="I215" s="219" t="s">
        <v>397</v>
      </c>
      <c r="J215" s="175"/>
      <c r="K215" s="175"/>
    </row>
    <row r="216" spans="1:11" x14ac:dyDescent="0.25">
      <c r="A216" s="175" t="str">
        <f t="shared" si="7"/>
        <v>X KA 6</v>
      </c>
      <c r="B216" s="175"/>
      <c r="C216" s="215">
        <f>'Short NIS'!A216</f>
        <v>102519739</v>
      </c>
      <c r="D216" s="216" t="str">
        <f>'Short NIS'!B216</f>
        <v>0097433580</v>
      </c>
      <c r="E216" s="175" t="str">
        <f t="shared" si="8"/>
        <v>102519739 /   0097433580</v>
      </c>
      <c r="F216" s="217" t="str">
        <f>'Short NIS'!C216</f>
        <v>PAISAL PIRMANSAH</v>
      </c>
      <c r="G216" s="218" t="str">
        <f>'Short NIS'!D216</f>
        <v>L</v>
      </c>
      <c r="H216" s="218" t="str">
        <f>'Short NIS'!E216</f>
        <v>X KA 6</v>
      </c>
      <c r="I216" s="219" t="s">
        <v>397</v>
      </c>
      <c r="J216" s="175"/>
      <c r="K216" s="175"/>
    </row>
    <row r="217" spans="1:11" x14ac:dyDescent="0.25">
      <c r="A217" s="175" t="str">
        <f t="shared" si="7"/>
        <v>X KA 6</v>
      </c>
      <c r="B217" s="175"/>
      <c r="C217" s="215">
        <f>'Short NIS'!A217</f>
        <v>102519740</v>
      </c>
      <c r="D217" s="216" t="str">
        <f>'Short NIS'!B217</f>
        <v>0107149425</v>
      </c>
      <c r="E217" s="175" t="str">
        <f t="shared" si="8"/>
        <v>102519740 /   0107149425</v>
      </c>
      <c r="F217" s="217" t="str">
        <f>'Short NIS'!C217</f>
        <v>RADITHYA RAMADHANI</v>
      </c>
      <c r="G217" s="218" t="str">
        <f>'Short NIS'!D217</f>
        <v>L</v>
      </c>
      <c r="H217" s="218" t="str">
        <f>'Short NIS'!E217</f>
        <v>X KA 6</v>
      </c>
      <c r="I217" s="219" t="s">
        <v>397</v>
      </c>
      <c r="J217" s="175"/>
      <c r="K217" s="175"/>
    </row>
    <row r="218" spans="1:11" x14ac:dyDescent="0.25">
      <c r="A218" s="175" t="str">
        <f t="shared" si="7"/>
        <v>X KA 6</v>
      </c>
      <c r="B218" s="175"/>
      <c r="C218" s="215">
        <f>'Short NIS'!A218</f>
        <v>102519741</v>
      </c>
      <c r="D218" s="216" t="str">
        <f>'Short NIS'!B218</f>
        <v>0104088787</v>
      </c>
      <c r="E218" s="175" t="str">
        <f t="shared" si="8"/>
        <v>102519741 /   0104088787</v>
      </c>
      <c r="F218" s="217" t="str">
        <f>'Short NIS'!C218</f>
        <v>RAHMA MAULIDA AZAHRA</v>
      </c>
      <c r="G218" s="218" t="str">
        <f>'Short NIS'!D218</f>
        <v>P</v>
      </c>
      <c r="H218" s="218" t="str">
        <f>'Short NIS'!E218</f>
        <v>X KA 6</v>
      </c>
      <c r="I218" s="219" t="s">
        <v>397</v>
      </c>
      <c r="J218" s="175"/>
      <c r="K218" s="175"/>
    </row>
    <row r="219" spans="1:11" x14ac:dyDescent="0.25">
      <c r="A219" s="175" t="str">
        <f t="shared" si="7"/>
        <v>X KA 6</v>
      </c>
      <c r="B219" s="175"/>
      <c r="C219" s="215">
        <f>'Short NIS'!A219</f>
        <v>102519742</v>
      </c>
      <c r="D219" s="216" t="str">
        <f>'Short NIS'!B219</f>
        <v>3106778797</v>
      </c>
      <c r="E219" s="175" t="str">
        <f t="shared" si="8"/>
        <v>102519742 /   3106778797</v>
      </c>
      <c r="F219" s="217" t="str">
        <f>'Short NIS'!C219</f>
        <v>RAIDAH FATHIN HAFIDZAH</v>
      </c>
      <c r="G219" s="218" t="str">
        <f>'Short NIS'!D219</f>
        <v>P</v>
      </c>
      <c r="H219" s="218" t="str">
        <f>'Short NIS'!E219</f>
        <v>X KA 6</v>
      </c>
      <c r="I219" s="219" t="s">
        <v>397</v>
      </c>
      <c r="J219" s="175"/>
      <c r="K219" s="175"/>
    </row>
    <row r="220" spans="1:11" x14ac:dyDescent="0.25">
      <c r="A220" s="175" t="str">
        <f t="shared" si="7"/>
        <v>X KA 6</v>
      </c>
      <c r="B220" s="175"/>
      <c r="C220" s="215">
        <f>'Short NIS'!A220</f>
        <v>102519743</v>
      </c>
      <c r="D220" s="216" t="str">
        <f>'Short NIS'!B220</f>
        <v>0101887176</v>
      </c>
      <c r="E220" s="175" t="str">
        <f t="shared" si="8"/>
        <v>102519743 /   0101887176</v>
      </c>
      <c r="F220" s="217" t="str">
        <f>'Short NIS'!C220</f>
        <v>RIDVAN EL ZHAR ARVELADZE</v>
      </c>
      <c r="G220" s="218" t="str">
        <f>'Short NIS'!D220</f>
        <v>L</v>
      </c>
      <c r="H220" s="218" t="str">
        <f>'Short NIS'!E220</f>
        <v>X KA 6</v>
      </c>
      <c r="I220" s="219" t="s">
        <v>397</v>
      </c>
      <c r="J220" s="175"/>
      <c r="K220" s="175"/>
    </row>
    <row r="221" spans="1:11" x14ac:dyDescent="0.25">
      <c r="A221" s="175" t="str">
        <f t="shared" si="7"/>
        <v>X KA 6</v>
      </c>
      <c r="B221" s="175"/>
      <c r="C221" s="215">
        <f>'Short NIS'!A221</f>
        <v>102519744</v>
      </c>
      <c r="D221" s="216" t="str">
        <f>'Short NIS'!B221</f>
        <v>0092347863</v>
      </c>
      <c r="E221" s="175" t="str">
        <f t="shared" si="8"/>
        <v>102519744 /   0092347863</v>
      </c>
      <c r="F221" s="217" t="str">
        <f>'Short NIS'!C221</f>
        <v>SELIA RAHMAYUNISA</v>
      </c>
      <c r="G221" s="218" t="str">
        <f>'Short NIS'!D221</f>
        <v>P</v>
      </c>
      <c r="H221" s="218" t="str">
        <f>'Short NIS'!E221</f>
        <v>X KA 6</v>
      </c>
      <c r="I221" s="219" t="s">
        <v>397</v>
      </c>
      <c r="J221" s="175"/>
      <c r="K221" s="175"/>
    </row>
    <row r="222" spans="1:11" x14ac:dyDescent="0.25">
      <c r="A222" s="175" t="str">
        <f t="shared" si="7"/>
        <v>X KA 6</v>
      </c>
      <c r="B222" s="175"/>
      <c r="C222" s="215">
        <f>'Short NIS'!A222</f>
        <v>102519745</v>
      </c>
      <c r="D222" s="216" t="str">
        <f>'Short NIS'!B222</f>
        <v>0102817772</v>
      </c>
      <c r="E222" s="175" t="str">
        <f t="shared" si="8"/>
        <v>102519745 /   0102817772</v>
      </c>
      <c r="F222" s="217" t="str">
        <f>'Short NIS'!C222</f>
        <v>SHILLA QUENSA KIRANA</v>
      </c>
      <c r="G222" s="218" t="str">
        <f>'Short NIS'!D222</f>
        <v>P</v>
      </c>
      <c r="H222" s="218" t="str">
        <f>'Short NIS'!E222</f>
        <v>X KA 6</v>
      </c>
      <c r="I222" s="219" t="s">
        <v>397</v>
      </c>
      <c r="J222" s="175"/>
      <c r="K222" s="175"/>
    </row>
    <row r="223" spans="1:11" x14ac:dyDescent="0.25">
      <c r="A223" s="175" t="str">
        <f t="shared" si="7"/>
        <v>X KA 6</v>
      </c>
      <c r="B223" s="175"/>
      <c r="C223" s="215">
        <f>'Short NIS'!A223</f>
        <v>102519746</v>
      </c>
      <c r="D223" s="216" t="str">
        <f>'Short NIS'!B223</f>
        <v>0091586526</v>
      </c>
      <c r="E223" s="175" t="str">
        <f t="shared" si="8"/>
        <v>102519746 /   0091586526</v>
      </c>
      <c r="F223" s="217" t="str">
        <f>'Short NIS'!C223</f>
        <v>SITI RAHMA KHOIRUNNISA</v>
      </c>
      <c r="G223" s="218" t="str">
        <f>'Short NIS'!D223</f>
        <v>P</v>
      </c>
      <c r="H223" s="218" t="str">
        <f>'Short NIS'!E223</f>
        <v>X KA 6</v>
      </c>
      <c r="I223" s="219" t="s">
        <v>397</v>
      </c>
      <c r="J223" s="175"/>
      <c r="K223" s="175"/>
    </row>
    <row r="224" spans="1:11" x14ac:dyDescent="0.25">
      <c r="A224" s="175" t="str">
        <f t="shared" si="7"/>
        <v>X KA 6</v>
      </c>
      <c r="B224" s="175"/>
      <c r="C224" s="215">
        <f>'Short NIS'!A224</f>
        <v>102519747</v>
      </c>
      <c r="D224" s="216" t="str">
        <f>'Short NIS'!B224</f>
        <v>0119719112</v>
      </c>
      <c r="E224" s="175" t="str">
        <f t="shared" si="8"/>
        <v>102519747 /   0119719112</v>
      </c>
      <c r="F224" s="217" t="str">
        <f>'Short NIS'!C224</f>
        <v>VIRTA SETIA AULIA IKA</v>
      </c>
      <c r="G224" s="218" t="str">
        <f>'Short NIS'!D224</f>
        <v>P</v>
      </c>
      <c r="H224" s="218" t="str">
        <f>'Short NIS'!E224</f>
        <v>X KA 6</v>
      </c>
      <c r="I224" s="219" t="s">
        <v>397</v>
      </c>
      <c r="J224" s="175"/>
      <c r="K224" s="175"/>
    </row>
    <row r="225" spans="1:12" x14ac:dyDescent="0.25">
      <c r="A225" s="175" t="str">
        <f t="shared" si="7"/>
        <v>X KA 6</v>
      </c>
      <c r="B225" s="175"/>
      <c r="C225" s="215">
        <f>'Short NIS'!A225</f>
        <v>102519748</v>
      </c>
      <c r="D225" s="216" t="str">
        <f>'Short NIS'!B225</f>
        <v>0095515830</v>
      </c>
      <c r="E225" s="175" t="str">
        <f t="shared" si="8"/>
        <v>102519748 /   0095515830</v>
      </c>
      <c r="F225" s="217" t="str">
        <f>'Short NIS'!C225</f>
        <v>YASMINE KAMILA QAISYARA</v>
      </c>
      <c r="G225" s="218" t="str">
        <f>'Short NIS'!D225</f>
        <v>P</v>
      </c>
      <c r="H225" s="218" t="str">
        <f>'Short NIS'!E225</f>
        <v>X KA 6</v>
      </c>
      <c r="I225" s="219" t="s">
        <v>397</v>
      </c>
      <c r="J225" s="175"/>
      <c r="K225" s="175"/>
    </row>
    <row r="226" spans="1:12" x14ac:dyDescent="0.25">
      <c r="A226" s="175" t="str">
        <f t="shared" si="7"/>
        <v>X KA 6</v>
      </c>
      <c r="B226" s="175"/>
      <c r="C226" s="215">
        <f>'Short NIS'!A226</f>
        <v>102519749</v>
      </c>
      <c r="D226" s="216" t="str">
        <f>'Short NIS'!B226</f>
        <v>0096522338</v>
      </c>
      <c r="E226" s="175" t="str">
        <f t="shared" si="8"/>
        <v>102519749 /   0096522338</v>
      </c>
      <c r="F226" s="217" t="str">
        <f>'Short NIS'!C226</f>
        <v>YOGA KURNIA ALGIFARI</v>
      </c>
      <c r="G226" s="218" t="str">
        <f>'Short NIS'!D226</f>
        <v>L</v>
      </c>
      <c r="H226" s="218" t="str">
        <f>'Short NIS'!E226</f>
        <v>X KA 6</v>
      </c>
      <c r="I226" s="219" t="s">
        <v>397</v>
      </c>
      <c r="J226" s="175"/>
      <c r="K226" s="175"/>
    </row>
    <row r="227" spans="1:12" x14ac:dyDescent="0.25">
      <c r="A227" s="175" t="str">
        <f t="shared" si="7"/>
        <v>X KA 6</v>
      </c>
      <c r="B227" s="175"/>
      <c r="C227" s="215">
        <f>'Short NIS'!A227</f>
        <v>102519750</v>
      </c>
      <c r="D227" s="216" t="str">
        <f>'Short NIS'!B227</f>
        <v>0107139977</v>
      </c>
      <c r="E227" s="175" t="str">
        <f t="shared" si="8"/>
        <v>102519750 /   0107139977</v>
      </c>
      <c r="F227" s="217" t="str">
        <f>'Short NIS'!C227</f>
        <v>ZIFARA LETISYA</v>
      </c>
      <c r="G227" s="218" t="str">
        <f>'Short NIS'!D227</f>
        <v>P</v>
      </c>
      <c r="H227" s="218" t="str">
        <f>'Short NIS'!E227</f>
        <v>X KA 6</v>
      </c>
      <c r="I227" s="219" t="s">
        <v>397</v>
      </c>
      <c r="J227" s="175"/>
      <c r="K227" s="175"/>
    </row>
    <row r="228" spans="1:12" x14ac:dyDescent="0.25">
      <c r="A228" s="175" t="str">
        <f t="shared" si="7"/>
        <v>X PPLG 1</v>
      </c>
      <c r="B228" s="175"/>
      <c r="C228" s="215">
        <f>'Short NIS'!A228</f>
        <v>102519791</v>
      </c>
      <c r="D228" s="216" t="str">
        <f>'Short NIS'!B228</f>
        <v>0102200692</v>
      </c>
      <c r="E228" s="175" t="str">
        <f t="shared" si="8"/>
        <v>102519791 /   0102200692</v>
      </c>
      <c r="F228" s="217" t="str">
        <f>'Short NIS'!C228</f>
        <v>ADHITIYA SETIAWAN</v>
      </c>
      <c r="G228" s="218" t="str">
        <f>'Short NIS'!D228</f>
        <v>L</v>
      </c>
      <c r="H228" s="218" t="str">
        <f>'Short NIS'!E228</f>
        <v>X PPLG 1</v>
      </c>
      <c r="I228" s="219" t="s">
        <v>6382</v>
      </c>
      <c r="J228" s="175"/>
      <c r="K228" s="175"/>
    </row>
    <row r="229" spans="1:12" x14ac:dyDescent="0.25">
      <c r="A229" s="175" t="str">
        <f t="shared" si="7"/>
        <v>X PPLG 1</v>
      </c>
      <c r="B229" s="175"/>
      <c r="C229" s="215">
        <f>'Short NIS'!A229</f>
        <v>102519792</v>
      </c>
      <c r="D229" s="216" t="str">
        <f>'Short NIS'!B229</f>
        <v>0099048612</v>
      </c>
      <c r="E229" s="175" t="str">
        <f t="shared" si="8"/>
        <v>102519792 /   0099048612</v>
      </c>
      <c r="F229" s="217" t="str">
        <f>'Short NIS'!C229</f>
        <v>AHMAD MUHARROR</v>
      </c>
      <c r="G229" s="218" t="str">
        <f>'Short NIS'!D229</f>
        <v>L</v>
      </c>
      <c r="H229" s="218" t="str">
        <f>'Short NIS'!E229</f>
        <v>X PPLG 1</v>
      </c>
      <c r="I229" s="219" t="s">
        <v>6382</v>
      </c>
      <c r="J229" s="175"/>
      <c r="K229" s="175"/>
    </row>
    <row r="230" spans="1:12" x14ac:dyDescent="0.25">
      <c r="A230" s="175" t="str">
        <f t="shared" si="7"/>
        <v>X PPLG 1</v>
      </c>
      <c r="B230" s="175"/>
      <c r="C230" s="215">
        <f>'Short NIS'!A230</f>
        <v>102519793</v>
      </c>
      <c r="D230" s="216" t="str">
        <f>'Short NIS'!B230</f>
        <v>0091995719</v>
      </c>
      <c r="E230" s="175" t="str">
        <f t="shared" si="8"/>
        <v>102519793 /   0091995719</v>
      </c>
      <c r="F230" s="217" t="str">
        <f>'Short NIS'!C230</f>
        <v>AHMAD ZUHDAL AKROM</v>
      </c>
      <c r="G230" s="218" t="str">
        <f>'Short NIS'!D230</f>
        <v>L</v>
      </c>
      <c r="H230" s="218" t="str">
        <f>'Short NIS'!E230</f>
        <v>X PPLG 1</v>
      </c>
      <c r="I230" s="219" t="s">
        <v>6382</v>
      </c>
      <c r="J230" s="175"/>
      <c r="K230" s="175"/>
    </row>
    <row r="231" spans="1:12" x14ac:dyDescent="0.25">
      <c r="A231" s="175" t="str">
        <f t="shared" si="7"/>
        <v>X PPLG 1</v>
      </c>
      <c r="B231" s="175"/>
      <c r="C231" s="215">
        <f>'Short NIS'!A231</f>
        <v>102519794</v>
      </c>
      <c r="D231" s="216" t="str">
        <f>'Short NIS'!B231</f>
        <v>0092306053</v>
      </c>
      <c r="E231" s="175" t="str">
        <f t="shared" si="8"/>
        <v>102519794 /   0092306053</v>
      </c>
      <c r="F231" s="217" t="str">
        <f>'Short NIS'!C231</f>
        <v>AKHMAD WALIYUDIN</v>
      </c>
      <c r="G231" s="218" t="str">
        <f>'Short NIS'!D231</f>
        <v>L</v>
      </c>
      <c r="H231" s="218" t="str">
        <f>'Short NIS'!E231</f>
        <v>X PPLG 1</v>
      </c>
      <c r="I231" s="219" t="s">
        <v>6382</v>
      </c>
      <c r="J231" s="175"/>
      <c r="K231" s="175"/>
    </row>
    <row r="232" spans="1:12" x14ac:dyDescent="0.25">
      <c r="A232" s="175" t="str">
        <f t="shared" si="7"/>
        <v>X PPLG 1</v>
      </c>
      <c r="B232" s="175"/>
      <c r="C232" s="215">
        <f>'Short NIS'!A232</f>
        <v>102519795</v>
      </c>
      <c r="D232" s="216" t="str">
        <f>'Short NIS'!B232</f>
        <v>0095801968</v>
      </c>
      <c r="E232" s="175" t="str">
        <f t="shared" si="8"/>
        <v>102519795 /   0095801968</v>
      </c>
      <c r="F232" s="217" t="str">
        <f>'Short NIS'!C232</f>
        <v>AKZA DAVIN ANDHIKA</v>
      </c>
      <c r="G232" s="218" t="str">
        <f>'Short NIS'!D232</f>
        <v>L</v>
      </c>
      <c r="H232" s="218" t="str">
        <f>'Short NIS'!E232</f>
        <v>X PPLG 1</v>
      </c>
      <c r="I232" s="219" t="s">
        <v>6382</v>
      </c>
      <c r="J232" s="175"/>
      <c r="K232" s="175"/>
    </row>
    <row r="233" spans="1:12" x14ac:dyDescent="0.25">
      <c r="A233" s="175" t="str">
        <f t="shared" si="7"/>
        <v>X PPLG 1</v>
      </c>
      <c r="B233" s="175"/>
      <c r="C233" s="215">
        <f>'Short NIS'!A233</f>
        <v>102519796</v>
      </c>
      <c r="D233" s="216" t="str">
        <f>'Short NIS'!B233</f>
        <v>0101931084</v>
      </c>
      <c r="E233" s="175" t="str">
        <f t="shared" si="8"/>
        <v>102519796 /   0101931084</v>
      </c>
      <c r="F233" s="217" t="str">
        <f>'Short NIS'!C233</f>
        <v>ALIKA ARUM WANGI</v>
      </c>
      <c r="G233" s="218" t="str">
        <f>'Short NIS'!D233</f>
        <v>P</v>
      </c>
      <c r="H233" s="218" t="str">
        <f>'Short NIS'!E233</f>
        <v>X PPLG 1</v>
      </c>
      <c r="I233" s="219" t="s">
        <v>6382</v>
      </c>
      <c r="J233" s="175"/>
      <c r="K233" s="175"/>
    </row>
    <row r="234" spans="1:12" x14ac:dyDescent="0.25">
      <c r="A234" s="175" t="str">
        <f t="shared" si="7"/>
        <v>X PPLG 1</v>
      </c>
      <c r="B234" s="175"/>
      <c r="C234" s="215">
        <f>'Short NIS'!A234</f>
        <v>102519797</v>
      </c>
      <c r="D234" s="216" t="str">
        <f>'Short NIS'!B234</f>
        <v>0109224977</v>
      </c>
      <c r="E234" s="175" t="str">
        <f t="shared" si="8"/>
        <v>102519797 /   0109224977</v>
      </c>
      <c r="F234" s="217" t="str">
        <f>'Short NIS'!C234</f>
        <v>ANJELY NURAFRIN JAGA DITA</v>
      </c>
      <c r="G234" s="218" t="str">
        <f>'Short NIS'!D234</f>
        <v>P</v>
      </c>
      <c r="H234" s="218" t="str">
        <f>'Short NIS'!E234</f>
        <v>X PPLG 1</v>
      </c>
      <c r="I234" s="219" t="s">
        <v>6382</v>
      </c>
      <c r="J234" s="175"/>
      <c r="K234" s="175"/>
    </row>
    <row r="235" spans="1:12" x14ac:dyDescent="0.25">
      <c r="A235" s="175" t="str">
        <f t="shared" si="7"/>
        <v>X PPLG 1</v>
      </c>
      <c r="B235" s="175"/>
      <c r="C235" s="215">
        <f>'Short NIS'!A235</f>
        <v>102519798</v>
      </c>
      <c r="D235" s="216" t="str">
        <f>'Short NIS'!B235</f>
        <v>0091751250</v>
      </c>
      <c r="E235" s="175" t="str">
        <f t="shared" si="8"/>
        <v>102519798 /   0091751250</v>
      </c>
      <c r="F235" s="217" t="str">
        <f>'Short NIS'!C235</f>
        <v>DARREL ALFAZIL PUTRA RESTIADI</v>
      </c>
      <c r="G235" s="218" t="str">
        <f>'Short NIS'!D235</f>
        <v>L</v>
      </c>
      <c r="H235" s="218" t="str">
        <f>'Short NIS'!E235</f>
        <v>X PPLG 1</v>
      </c>
      <c r="I235" s="219" t="s">
        <v>6382</v>
      </c>
      <c r="J235" s="175"/>
      <c r="K235" s="175"/>
    </row>
    <row r="236" spans="1:12" s="117" customFormat="1" x14ac:dyDescent="0.25">
      <c r="A236" s="222" t="str">
        <f t="shared" si="7"/>
        <v>X PPLG 1</v>
      </c>
      <c r="B236" s="222"/>
      <c r="C236" s="215">
        <f>'Short NIS'!A236</f>
        <v>102519799</v>
      </c>
      <c r="D236" s="216" t="str">
        <f>'Short NIS'!B236</f>
        <v>0098903113</v>
      </c>
      <c r="E236" s="175" t="str">
        <f t="shared" si="8"/>
        <v>102519799 /   0098903113</v>
      </c>
      <c r="F236" s="217" t="str">
        <f>'Short NIS'!C236</f>
        <v>DAVIN MARITZA ALFARREZAL</v>
      </c>
      <c r="G236" s="218" t="str">
        <f>'Short NIS'!D236</f>
        <v>L</v>
      </c>
      <c r="H236" s="218" t="str">
        <f>'Short NIS'!E236</f>
        <v>X PPLG 1</v>
      </c>
      <c r="I236" s="219" t="s">
        <v>6382</v>
      </c>
      <c r="J236" s="222"/>
      <c r="K236" s="222"/>
      <c r="L236" s="49"/>
    </row>
    <row r="237" spans="1:12" x14ac:dyDescent="0.25">
      <c r="A237" s="175" t="str">
        <f t="shared" si="7"/>
        <v>X PPLG 1</v>
      </c>
      <c r="B237" s="175"/>
      <c r="C237" s="215">
        <f>'Short NIS'!A237</f>
        <v>102519800</v>
      </c>
      <c r="D237" s="216" t="str">
        <f>'Short NIS'!B237</f>
        <v>0099800442</v>
      </c>
      <c r="E237" s="175" t="str">
        <f t="shared" si="8"/>
        <v>102519800 /   0099800442</v>
      </c>
      <c r="F237" s="217" t="str">
        <f>'Short NIS'!C237</f>
        <v>DIEGI GINANDI</v>
      </c>
      <c r="G237" s="218" t="str">
        <f>'Short NIS'!D237</f>
        <v>L</v>
      </c>
      <c r="H237" s="218" t="str">
        <f>'Short NIS'!E237</f>
        <v>X PPLG 1</v>
      </c>
      <c r="I237" s="219" t="s">
        <v>6382</v>
      </c>
      <c r="J237" s="175"/>
      <c r="K237" s="175"/>
    </row>
    <row r="238" spans="1:12" x14ac:dyDescent="0.25">
      <c r="A238" s="175" t="str">
        <f t="shared" si="7"/>
        <v>X PPLG 1</v>
      </c>
      <c r="B238" s="175"/>
      <c r="C238" s="215">
        <f>'Short NIS'!A238</f>
        <v>102519801</v>
      </c>
      <c r="D238" s="216" t="str">
        <f>'Short NIS'!B238</f>
        <v>0109717656</v>
      </c>
      <c r="E238" s="175" t="str">
        <f t="shared" si="8"/>
        <v>102519801 /   0109717656</v>
      </c>
      <c r="F238" s="217" t="str">
        <f>'Short NIS'!C238</f>
        <v>FADHIL RAMADHAN</v>
      </c>
      <c r="G238" s="218" t="str">
        <f>'Short NIS'!D238</f>
        <v>L</v>
      </c>
      <c r="H238" s="218" t="str">
        <f>'Short NIS'!E238</f>
        <v>X PPLG 1</v>
      </c>
      <c r="I238" s="219" t="s">
        <v>6382</v>
      </c>
      <c r="J238" s="175"/>
      <c r="K238" s="175"/>
    </row>
    <row r="239" spans="1:12" x14ac:dyDescent="0.25">
      <c r="A239" s="175" t="str">
        <f t="shared" si="7"/>
        <v>X PPLG 1</v>
      </c>
      <c r="B239" s="175"/>
      <c r="C239" s="215">
        <f>'Short NIS'!A239</f>
        <v>102519802</v>
      </c>
      <c r="D239" s="216" t="str">
        <f>'Short NIS'!B239</f>
        <v>0095990005</v>
      </c>
      <c r="E239" s="175" t="str">
        <f t="shared" si="8"/>
        <v>102519802 /   0095990005</v>
      </c>
      <c r="F239" s="217" t="str">
        <f>'Short NIS'!C239</f>
        <v>FADLI ALIFA FIRDAUS</v>
      </c>
      <c r="G239" s="218" t="str">
        <f>'Short NIS'!D239</f>
        <v>L</v>
      </c>
      <c r="H239" s="218" t="str">
        <f>'Short NIS'!E239</f>
        <v>X PPLG 1</v>
      </c>
      <c r="I239" s="219" t="s">
        <v>6382</v>
      </c>
      <c r="J239" s="175"/>
      <c r="K239" s="175"/>
    </row>
    <row r="240" spans="1:12" x14ac:dyDescent="0.25">
      <c r="A240" s="175" t="str">
        <f t="shared" si="7"/>
        <v>X PPLG 1</v>
      </c>
      <c r="B240" s="175"/>
      <c r="C240" s="215">
        <f>'Short NIS'!A240</f>
        <v>102519803</v>
      </c>
      <c r="D240" s="216" t="str">
        <f>'Short NIS'!B240</f>
        <v>0107369851</v>
      </c>
      <c r="E240" s="175" t="str">
        <f t="shared" si="8"/>
        <v>102519803 /   0107369851</v>
      </c>
      <c r="F240" s="217" t="str">
        <f>'Short NIS'!C240</f>
        <v>FARRAS NAUFAL</v>
      </c>
      <c r="G240" s="218" t="str">
        <f>'Short NIS'!D240</f>
        <v>L</v>
      </c>
      <c r="H240" s="218" t="str">
        <f>'Short NIS'!E240</f>
        <v>X PPLG 1</v>
      </c>
      <c r="I240" s="219" t="s">
        <v>6382</v>
      </c>
      <c r="J240" s="175"/>
      <c r="K240" s="175"/>
    </row>
    <row r="241" spans="1:11" x14ac:dyDescent="0.25">
      <c r="A241" s="175" t="str">
        <f t="shared" si="7"/>
        <v>X PPLG 1</v>
      </c>
      <c r="B241" s="175"/>
      <c r="C241" s="215">
        <f>'Short NIS'!A241</f>
        <v>102519804</v>
      </c>
      <c r="D241" s="216" t="str">
        <f>'Short NIS'!B241</f>
        <v>0107353582</v>
      </c>
      <c r="E241" s="175" t="str">
        <f t="shared" si="8"/>
        <v>102519804 /   0107353582</v>
      </c>
      <c r="F241" s="217" t="str">
        <f>'Short NIS'!C241</f>
        <v>GALEN GHUFRON WIBOWO</v>
      </c>
      <c r="G241" s="218" t="str">
        <f>'Short NIS'!D241</f>
        <v>L</v>
      </c>
      <c r="H241" s="218" t="str">
        <f>'Short NIS'!E241</f>
        <v>X PPLG 1</v>
      </c>
      <c r="I241" s="219" t="s">
        <v>6382</v>
      </c>
      <c r="J241" s="175"/>
      <c r="K241" s="175"/>
    </row>
    <row r="242" spans="1:11" x14ac:dyDescent="0.25">
      <c r="A242" s="175" t="str">
        <f t="shared" si="7"/>
        <v>X PPLG 1</v>
      </c>
      <c r="B242" s="175"/>
      <c r="C242" s="215">
        <f>'Short NIS'!A242</f>
        <v>102519805</v>
      </c>
      <c r="D242" s="216" t="str">
        <f>'Short NIS'!B242</f>
        <v>0105925296</v>
      </c>
      <c r="E242" s="175" t="str">
        <f t="shared" si="8"/>
        <v>102519805 /   0105925296</v>
      </c>
      <c r="F242" s="217" t="str">
        <f>'Short NIS'!C242</f>
        <v>GERALDO ZEYYAD VYMANDA</v>
      </c>
      <c r="G242" s="218" t="str">
        <f>'Short NIS'!D242</f>
        <v>L</v>
      </c>
      <c r="H242" s="218" t="str">
        <f>'Short NIS'!E242</f>
        <v>X PPLG 1</v>
      </c>
      <c r="I242" s="219" t="s">
        <v>6382</v>
      </c>
      <c r="J242" s="175"/>
      <c r="K242" s="175"/>
    </row>
    <row r="243" spans="1:11" x14ac:dyDescent="0.25">
      <c r="A243" s="175" t="str">
        <f t="shared" si="7"/>
        <v>X PPLG 1</v>
      </c>
      <c r="B243" s="175"/>
      <c r="C243" s="215">
        <f>'Short NIS'!A243</f>
        <v>102519806</v>
      </c>
      <c r="D243" s="216" t="str">
        <f>'Short NIS'!B243</f>
        <v>0103951786</v>
      </c>
      <c r="E243" s="175" t="str">
        <f t="shared" si="8"/>
        <v>102519806 /   0103951786</v>
      </c>
      <c r="F243" s="217" t="str">
        <f>'Short NIS'!C243</f>
        <v>HAZIQ MUHAMMAD RASYDAN</v>
      </c>
      <c r="G243" s="218" t="str">
        <f>'Short NIS'!D243</f>
        <v>L</v>
      </c>
      <c r="H243" s="218" t="str">
        <f>'Short NIS'!E243</f>
        <v>X PPLG 1</v>
      </c>
      <c r="I243" s="219" t="s">
        <v>6382</v>
      </c>
      <c r="J243" s="175"/>
      <c r="K243" s="175"/>
    </row>
    <row r="244" spans="1:11" x14ac:dyDescent="0.25">
      <c r="A244" s="175" t="str">
        <f t="shared" si="7"/>
        <v>X PPLG 1</v>
      </c>
      <c r="B244" s="175"/>
      <c r="C244" s="215">
        <f>'Short NIS'!A244</f>
        <v>102519807</v>
      </c>
      <c r="D244" s="216" t="str">
        <f>'Short NIS'!B244</f>
        <v>0091472362</v>
      </c>
      <c r="E244" s="175" t="str">
        <f t="shared" si="8"/>
        <v>102519807 /   0091472362</v>
      </c>
      <c r="F244" s="217" t="str">
        <f>'Short NIS'!C244</f>
        <v>IMAM MAULANA ASHIDIQ</v>
      </c>
      <c r="G244" s="218" t="str">
        <f>'Short NIS'!D244</f>
        <v>L</v>
      </c>
      <c r="H244" s="218" t="str">
        <f>'Short NIS'!E244</f>
        <v>X PPLG 1</v>
      </c>
      <c r="I244" s="219" t="s">
        <v>6382</v>
      </c>
      <c r="J244" s="175"/>
      <c r="K244" s="175"/>
    </row>
    <row r="245" spans="1:11" x14ac:dyDescent="0.25">
      <c r="A245" s="175" t="str">
        <f t="shared" si="7"/>
        <v>X PPLG 1</v>
      </c>
      <c r="B245" s="175"/>
      <c r="C245" s="215">
        <f>'Short NIS'!A245</f>
        <v>102519808</v>
      </c>
      <c r="D245" s="216" t="str">
        <f>'Short NIS'!B245</f>
        <v>0101905600</v>
      </c>
      <c r="E245" s="175" t="str">
        <f t="shared" si="8"/>
        <v>102519808 /   0101905600</v>
      </c>
      <c r="F245" s="217" t="str">
        <f>'Short NIS'!C245</f>
        <v>IRPAN ZAENAL MUTAQIN</v>
      </c>
      <c r="G245" s="218" t="str">
        <f>'Short NIS'!D245</f>
        <v>L</v>
      </c>
      <c r="H245" s="218" t="str">
        <f>'Short NIS'!E245</f>
        <v>X PPLG 1</v>
      </c>
      <c r="I245" s="219" t="s">
        <v>6382</v>
      </c>
      <c r="J245" s="175"/>
      <c r="K245" s="175"/>
    </row>
    <row r="246" spans="1:11" x14ac:dyDescent="0.25">
      <c r="A246" s="175" t="str">
        <f t="shared" si="7"/>
        <v>X PPLG 1</v>
      </c>
      <c r="B246" s="175"/>
      <c r="C246" s="215">
        <f>'Short NIS'!A246</f>
        <v>102519809</v>
      </c>
      <c r="D246" s="216" t="str">
        <f>'Short NIS'!B246</f>
        <v>0098413276</v>
      </c>
      <c r="E246" s="175" t="str">
        <f t="shared" si="8"/>
        <v>102519809 /   0098413276</v>
      </c>
      <c r="F246" s="217" t="str">
        <f>'Short NIS'!C246</f>
        <v>JAELANI IRSYAD</v>
      </c>
      <c r="G246" s="218" t="str">
        <f>'Short NIS'!D246</f>
        <v>L</v>
      </c>
      <c r="H246" s="218" t="str">
        <f>'Short NIS'!E246</f>
        <v>X PPLG 1</v>
      </c>
      <c r="I246" s="219" t="s">
        <v>6382</v>
      </c>
      <c r="J246" s="175"/>
      <c r="K246" s="175"/>
    </row>
    <row r="247" spans="1:11" x14ac:dyDescent="0.25">
      <c r="A247" s="175" t="str">
        <f t="shared" si="7"/>
        <v>X PPLG 1</v>
      </c>
      <c r="B247" s="175"/>
      <c r="C247" s="215">
        <f>'Short NIS'!A247</f>
        <v>102519810</v>
      </c>
      <c r="D247" s="216" t="str">
        <f>'Short NIS'!B247</f>
        <v>0099804843</v>
      </c>
      <c r="E247" s="175" t="str">
        <f t="shared" si="8"/>
        <v>102519810 /   0099804843</v>
      </c>
      <c r="F247" s="217" t="str">
        <f>'Short NIS'!C247</f>
        <v>JASMINE ZATHIRA</v>
      </c>
      <c r="G247" s="218" t="str">
        <f>'Short NIS'!D247</f>
        <v>P</v>
      </c>
      <c r="H247" s="218" t="str">
        <f>'Short NIS'!E247</f>
        <v>X PPLG 1</v>
      </c>
      <c r="I247" s="219" t="s">
        <v>6382</v>
      </c>
      <c r="J247" s="175"/>
      <c r="K247" s="175"/>
    </row>
    <row r="248" spans="1:11" x14ac:dyDescent="0.25">
      <c r="A248" s="175" t="str">
        <f t="shared" si="7"/>
        <v>X PPLG 1</v>
      </c>
      <c r="B248" s="175"/>
      <c r="C248" s="215">
        <f>'Short NIS'!A248</f>
        <v>102519811</v>
      </c>
      <c r="D248" s="216" t="str">
        <f>'Short NIS'!B248</f>
        <v>0093057019</v>
      </c>
      <c r="E248" s="175" t="str">
        <f t="shared" si="8"/>
        <v>102519811 /   0093057019</v>
      </c>
      <c r="F248" s="217" t="str">
        <f>'Short NIS'!C248</f>
        <v>KABSYAH NAFISA FAHIRA</v>
      </c>
      <c r="G248" s="218" t="str">
        <f>'Short NIS'!D248</f>
        <v>P</v>
      </c>
      <c r="H248" s="218" t="str">
        <f>'Short NIS'!E248</f>
        <v>X PPLG 1</v>
      </c>
      <c r="I248" s="219" t="s">
        <v>6382</v>
      </c>
      <c r="J248" s="175"/>
      <c r="K248" s="175"/>
    </row>
    <row r="249" spans="1:11" x14ac:dyDescent="0.25">
      <c r="A249" s="175" t="str">
        <f t="shared" si="7"/>
        <v>X PPLG 1</v>
      </c>
      <c r="B249" s="175"/>
      <c r="C249" s="215">
        <f>'Short NIS'!A249</f>
        <v>102519812</v>
      </c>
      <c r="D249" s="216" t="str">
        <f>'Short NIS'!B249</f>
        <v>0102864629</v>
      </c>
      <c r="E249" s="175" t="str">
        <f t="shared" si="8"/>
        <v>102519812 /   0102864629</v>
      </c>
      <c r="F249" s="217" t="str">
        <f>'Short NIS'!C249</f>
        <v>KIRANA AULIA PURNAMA</v>
      </c>
      <c r="G249" s="218" t="str">
        <f>'Short NIS'!D249</f>
        <v>P</v>
      </c>
      <c r="H249" s="218" t="str">
        <f>'Short NIS'!E249</f>
        <v>X PPLG 1</v>
      </c>
      <c r="I249" s="219" t="s">
        <v>6382</v>
      </c>
      <c r="J249" s="175"/>
      <c r="K249" s="175"/>
    </row>
    <row r="250" spans="1:11" x14ac:dyDescent="0.25">
      <c r="A250" s="175" t="str">
        <f t="shared" si="7"/>
        <v>X PPLG 1</v>
      </c>
      <c r="B250" s="175"/>
      <c r="C250" s="215">
        <f>'Short NIS'!A250</f>
        <v>102519813</v>
      </c>
      <c r="D250" s="216" t="str">
        <f>'Short NIS'!B250</f>
        <v>0097951199</v>
      </c>
      <c r="E250" s="175" t="str">
        <f t="shared" si="8"/>
        <v>102519813 /   0097951199</v>
      </c>
      <c r="F250" s="217" t="str">
        <f>'Short NIS'!C250</f>
        <v>MARSHA DARA DEVANTI</v>
      </c>
      <c r="G250" s="218" t="str">
        <f>'Short NIS'!D250</f>
        <v>P</v>
      </c>
      <c r="H250" s="218" t="str">
        <f>'Short NIS'!E250</f>
        <v>X PPLG 1</v>
      </c>
      <c r="I250" s="219" t="s">
        <v>6382</v>
      </c>
      <c r="J250" s="175"/>
      <c r="K250" s="175"/>
    </row>
    <row r="251" spans="1:11" x14ac:dyDescent="0.25">
      <c r="A251" s="175" t="str">
        <f t="shared" si="7"/>
        <v>X PPLG 1</v>
      </c>
      <c r="B251" s="175"/>
      <c r="C251" s="215">
        <f>'Short NIS'!A251</f>
        <v>102519814</v>
      </c>
      <c r="D251" s="216" t="str">
        <f>'Short NIS'!B251</f>
        <v>0109998841</v>
      </c>
      <c r="E251" s="175" t="str">
        <f t="shared" si="8"/>
        <v>102519814 /   0109998841</v>
      </c>
      <c r="F251" s="217" t="str">
        <f>'Short NIS'!C251</f>
        <v>MOCHAMAD ARIFFIN TRIANSYAH</v>
      </c>
      <c r="G251" s="218" t="str">
        <f>'Short NIS'!D251</f>
        <v>L</v>
      </c>
      <c r="H251" s="218" t="str">
        <f>'Short NIS'!E251</f>
        <v>X PPLG 1</v>
      </c>
      <c r="I251" s="219" t="s">
        <v>6382</v>
      </c>
      <c r="J251" s="175"/>
      <c r="K251" s="175"/>
    </row>
    <row r="252" spans="1:11" x14ac:dyDescent="0.25">
      <c r="A252" s="175" t="str">
        <f t="shared" si="7"/>
        <v>X PPLG 1</v>
      </c>
      <c r="B252" s="175"/>
      <c r="C252" s="215">
        <f>'Short NIS'!A252</f>
        <v>102519815</v>
      </c>
      <c r="D252" s="216" t="str">
        <f>'Short NIS'!B252</f>
        <v>0102152681</v>
      </c>
      <c r="E252" s="175" t="str">
        <f t="shared" si="8"/>
        <v>102519815 /   0102152681</v>
      </c>
      <c r="F252" s="217" t="str">
        <f>'Short NIS'!C252</f>
        <v>MOCHAMMAD DZIKRI MAULIDINA</v>
      </c>
      <c r="G252" s="218" t="str">
        <f>'Short NIS'!D252</f>
        <v>L</v>
      </c>
      <c r="H252" s="218" t="str">
        <f>'Short NIS'!E252</f>
        <v>X PPLG 1</v>
      </c>
      <c r="I252" s="219" t="s">
        <v>6382</v>
      </c>
      <c r="J252" s="175"/>
      <c r="K252" s="175"/>
    </row>
    <row r="253" spans="1:11" x14ac:dyDescent="0.25">
      <c r="A253" s="175" t="str">
        <f t="shared" si="7"/>
        <v>X PPLG 1</v>
      </c>
      <c r="B253" s="175"/>
      <c r="C253" s="215">
        <f>'Short NIS'!A253</f>
        <v>102519816</v>
      </c>
      <c r="D253" s="216">
        <f>'Short NIS'!B253</f>
        <v>0</v>
      </c>
      <c r="E253" s="175" t="str">
        <f t="shared" si="8"/>
        <v>102519816 /   0</v>
      </c>
      <c r="F253" s="217" t="str">
        <f>'Short NIS'!C253</f>
        <v>MUHAMAD FAKHRI</v>
      </c>
      <c r="G253" s="218" t="str">
        <f>'Short NIS'!D253</f>
        <v>L</v>
      </c>
      <c r="H253" s="218" t="str">
        <f>'Short NIS'!E253</f>
        <v>X PPLG 1</v>
      </c>
      <c r="I253" s="219" t="s">
        <v>6382</v>
      </c>
      <c r="J253" s="175"/>
      <c r="K253" s="175"/>
    </row>
    <row r="254" spans="1:11" x14ac:dyDescent="0.25">
      <c r="A254" s="175" t="str">
        <f t="shared" si="7"/>
        <v>X PPLG 1</v>
      </c>
      <c r="B254" s="175"/>
      <c r="C254" s="215">
        <f>'Short NIS'!A254</f>
        <v>102519817</v>
      </c>
      <c r="D254" s="216" t="str">
        <f>'Short NIS'!B254</f>
        <v>0096062278</v>
      </c>
      <c r="E254" s="175" t="str">
        <f t="shared" si="8"/>
        <v>102519817 /   0096062278</v>
      </c>
      <c r="F254" s="217" t="str">
        <f>'Short NIS'!C254</f>
        <v>MUHAMAD RIDWAN AL FARIS</v>
      </c>
      <c r="G254" s="218" t="str">
        <f>'Short NIS'!D254</f>
        <v>L</v>
      </c>
      <c r="H254" s="218" t="str">
        <f>'Short NIS'!E254</f>
        <v>X PPLG 1</v>
      </c>
      <c r="I254" s="219" t="s">
        <v>6382</v>
      </c>
      <c r="J254" s="175"/>
      <c r="K254" s="175"/>
    </row>
    <row r="255" spans="1:11" x14ac:dyDescent="0.25">
      <c r="A255" s="175" t="str">
        <f t="shared" si="7"/>
        <v>X PPLG 1</v>
      </c>
      <c r="B255" s="175"/>
      <c r="C255" s="215">
        <f>'Short NIS'!A255</f>
        <v>102519818</v>
      </c>
      <c r="D255" s="216" t="str">
        <f>'Short NIS'!B255</f>
        <v>0101243698</v>
      </c>
      <c r="E255" s="175" t="str">
        <f t="shared" si="8"/>
        <v>102519818 /   0101243698</v>
      </c>
      <c r="F255" s="217" t="str">
        <f>'Short NIS'!C255</f>
        <v>MUHAMMAD ALFI IQBRANI AKBAR</v>
      </c>
      <c r="G255" s="218" t="str">
        <f>'Short NIS'!D255</f>
        <v>L</v>
      </c>
      <c r="H255" s="218" t="str">
        <f>'Short NIS'!E255</f>
        <v>X PPLG 1</v>
      </c>
      <c r="I255" s="219" t="s">
        <v>6382</v>
      </c>
      <c r="J255" s="175"/>
      <c r="K255" s="175"/>
    </row>
    <row r="256" spans="1:11" x14ac:dyDescent="0.25">
      <c r="A256" s="175" t="str">
        <f t="shared" si="7"/>
        <v>X PPLG 1</v>
      </c>
      <c r="B256" s="175"/>
      <c r="C256" s="215">
        <f>'Short NIS'!A256</f>
        <v>102519819</v>
      </c>
      <c r="D256" s="216" t="str">
        <f>'Short NIS'!B256</f>
        <v>0096136410</v>
      </c>
      <c r="E256" s="175" t="str">
        <f t="shared" si="8"/>
        <v>102519819 /   0096136410</v>
      </c>
      <c r="F256" s="217" t="str">
        <f>'Short NIS'!C256</f>
        <v>MUHAMMAD RAFFI ALI HUSEIN</v>
      </c>
      <c r="G256" s="218" t="str">
        <f>'Short NIS'!D256</f>
        <v>L</v>
      </c>
      <c r="H256" s="218" t="str">
        <f>'Short NIS'!E256</f>
        <v>X PPLG 1</v>
      </c>
      <c r="I256" s="219" t="s">
        <v>6382</v>
      </c>
      <c r="J256" s="175"/>
      <c r="K256" s="175"/>
    </row>
    <row r="257" spans="1:11" x14ac:dyDescent="0.25">
      <c r="A257" s="175" t="str">
        <f t="shared" si="7"/>
        <v>X PPLG 1</v>
      </c>
      <c r="B257" s="175"/>
      <c r="C257" s="215">
        <f>'Short NIS'!A257</f>
        <v>102519820</v>
      </c>
      <c r="D257" s="216" t="str">
        <f>'Short NIS'!B257</f>
        <v>0103794789</v>
      </c>
      <c r="E257" s="175" t="str">
        <f t="shared" si="8"/>
        <v>102519820 /   0103794789</v>
      </c>
      <c r="F257" s="217" t="str">
        <f>'Short NIS'!C257</f>
        <v>MUHAMMAD SYABIL PUTRA FIRDAUS</v>
      </c>
      <c r="G257" s="218" t="str">
        <f>'Short NIS'!D257</f>
        <v>L</v>
      </c>
      <c r="H257" s="218" t="str">
        <f>'Short NIS'!E257</f>
        <v>X PPLG 1</v>
      </c>
      <c r="I257" s="219" t="s">
        <v>6382</v>
      </c>
      <c r="J257" s="175"/>
      <c r="K257" s="175"/>
    </row>
    <row r="258" spans="1:11" x14ac:dyDescent="0.25">
      <c r="A258" s="175" t="str">
        <f t="shared" ref="A258:A319" si="9">H258&amp;B258</f>
        <v>X PPLG 1</v>
      </c>
      <c r="B258" s="175"/>
      <c r="C258" s="215">
        <f>'Short NIS'!A258</f>
        <v>102519821</v>
      </c>
      <c r="D258" s="216">
        <f>'Short NIS'!B258</f>
        <v>0</v>
      </c>
      <c r="E258" s="175" t="str">
        <f t="shared" si="8"/>
        <v>102519821 /   0</v>
      </c>
      <c r="F258" s="217" t="str">
        <f>'Short NIS'!C258</f>
        <v>MUHAMMAD ZAKI MUBAROK</v>
      </c>
      <c r="G258" s="218" t="str">
        <f>'Short NIS'!D258</f>
        <v>L</v>
      </c>
      <c r="H258" s="218" t="str">
        <f>'Short NIS'!E258</f>
        <v>X PPLG 1</v>
      </c>
      <c r="I258" s="219" t="s">
        <v>6382</v>
      </c>
      <c r="J258" s="175"/>
      <c r="K258" s="175"/>
    </row>
    <row r="259" spans="1:11" x14ac:dyDescent="0.25">
      <c r="A259" s="175" t="str">
        <f t="shared" si="9"/>
        <v>X PPLG 1</v>
      </c>
      <c r="B259" s="175"/>
      <c r="C259" s="215">
        <f>'Short NIS'!A259</f>
        <v>102519822</v>
      </c>
      <c r="D259" s="216" t="str">
        <f>'Short NIS'!B259</f>
        <v>0108630826</v>
      </c>
      <c r="E259" s="175" t="str">
        <f t="shared" ref="E259:E322" si="10">C259&amp;" /   "&amp;D259</f>
        <v>102519822 /   0108630826</v>
      </c>
      <c r="F259" s="217" t="str">
        <f>'Short NIS'!C259</f>
        <v>MUJI KUSUMO PRIATMOJO</v>
      </c>
      <c r="G259" s="218" t="str">
        <f>'Short NIS'!D259</f>
        <v>L</v>
      </c>
      <c r="H259" s="218" t="str">
        <f>'Short NIS'!E259</f>
        <v>X PPLG 1</v>
      </c>
      <c r="I259" s="219" t="s">
        <v>6382</v>
      </c>
      <c r="J259" s="175"/>
      <c r="K259" s="175"/>
    </row>
    <row r="260" spans="1:11" x14ac:dyDescent="0.25">
      <c r="A260" s="175" t="str">
        <f t="shared" si="9"/>
        <v>X PPLG 1</v>
      </c>
      <c r="B260" s="175"/>
      <c r="C260" s="215">
        <f>'Short NIS'!A260</f>
        <v>102519823</v>
      </c>
      <c r="D260" s="216" t="str">
        <f>'Short NIS'!B260</f>
        <v>0109516613</v>
      </c>
      <c r="E260" s="175" t="str">
        <f t="shared" si="10"/>
        <v>102519823 /   0109516613</v>
      </c>
      <c r="F260" s="217" t="str">
        <f>'Short NIS'!C260</f>
        <v>NAFEEZA NISA AULIA</v>
      </c>
      <c r="G260" s="218" t="str">
        <f>'Short NIS'!D260</f>
        <v>P</v>
      </c>
      <c r="H260" s="218" t="str">
        <f>'Short NIS'!E260</f>
        <v>X PPLG 1</v>
      </c>
      <c r="I260" s="219" t="s">
        <v>6382</v>
      </c>
      <c r="J260" s="175"/>
      <c r="K260" s="175"/>
    </row>
    <row r="261" spans="1:11" x14ac:dyDescent="0.25">
      <c r="A261" s="175" t="str">
        <f t="shared" si="9"/>
        <v>X PPLG 1</v>
      </c>
      <c r="B261" s="175"/>
      <c r="C261" s="215">
        <f>'Short NIS'!A261</f>
        <v>102519824</v>
      </c>
      <c r="D261" s="216" t="str">
        <f>'Short NIS'!B261</f>
        <v>0107251622</v>
      </c>
      <c r="E261" s="175" t="str">
        <f t="shared" si="10"/>
        <v>102519824 /   0107251622</v>
      </c>
      <c r="F261" s="217" t="str">
        <f>'Short NIS'!C261</f>
        <v>NISRINA NABILA</v>
      </c>
      <c r="G261" s="218" t="str">
        <f>'Short NIS'!D261</f>
        <v>P</v>
      </c>
      <c r="H261" s="218" t="str">
        <f>'Short NIS'!E261</f>
        <v>X PPLG 1</v>
      </c>
      <c r="I261" s="219" t="s">
        <v>6382</v>
      </c>
      <c r="J261" s="175"/>
      <c r="K261" s="175"/>
    </row>
    <row r="262" spans="1:11" x14ac:dyDescent="0.25">
      <c r="A262" s="175" t="str">
        <f t="shared" si="9"/>
        <v>X PPLG 1</v>
      </c>
      <c r="B262" s="175"/>
      <c r="C262" s="215">
        <f>'Short NIS'!A262</f>
        <v>102519825</v>
      </c>
      <c r="D262" s="216">
        <f>'Short NIS'!B262</f>
        <v>0</v>
      </c>
      <c r="E262" s="175" t="str">
        <f t="shared" si="10"/>
        <v>102519825 /   0</v>
      </c>
      <c r="F262" s="217" t="str">
        <f>'Short NIS'!C262</f>
        <v>RIDHO ARRAYAN AKBAR SIDIK</v>
      </c>
      <c r="G262" s="218" t="str">
        <f>'Short NIS'!D262</f>
        <v>L</v>
      </c>
      <c r="H262" s="218" t="str">
        <f>'Short NIS'!E262</f>
        <v>X PPLG 1</v>
      </c>
      <c r="I262" s="219" t="s">
        <v>6382</v>
      </c>
      <c r="J262" s="175"/>
      <c r="K262" s="175"/>
    </row>
    <row r="263" spans="1:11" x14ac:dyDescent="0.25">
      <c r="A263" s="175" t="str">
        <f t="shared" si="9"/>
        <v>X PPLG 1</v>
      </c>
      <c r="B263" s="175"/>
      <c r="C263" s="215">
        <f>'Short NIS'!A263</f>
        <v>102519826</v>
      </c>
      <c r="D263" s="216" t="str">
        <f>'Short NIS'!B263</f>
        <v>0102955102</v>
      </c>
      <c r="E263" s="175" t="str">
        <f t="shared" si="10"/>
        <v>102519826 /   0102955102</v>
      </c>
      <c r="F263" s="217" t="str">
        <f>'Short NIS'!C263</f>
        <v>RIDHO ROBBANI AL-FARUQY</v>
      </c>
      <c r="G263" s="218" t="str">
        <f>'Short NIS'!D263</f>
        <v>L</v>
      </c>
      <c r="H263" s="218" t="str">
        <f>'Short NIS'!E263</f>
        <v>X PPLG 1</v>
      </c>
      <c r="I263" s="219" t="s">
        <v>6382</v>
      </c>
      <c r="J263" s="175"/>
      <c r="K263" s="175"/>
    </row>
    <row r="264" spans="1:11" x14ac:dyDescent="0.25">
      <c r="A264" s="175" t="str">
        <f t="shared" si="9"/>
        <v>X PPLG 1</v>
      </c>
      <c r="B264" s="175"/>
      <c r="C264" s="215">
        <f>'Short NIS'!A264</f>
        <v>102519827</v>
      </c>
      <c r="D264" s="216" t="str">
        <f>'Short NIS'!B264</f>
        <v>0105357476</v>
      </c>
      <c r="E264" s="175" t="str">
        <f t="shared" si="10"/>
        <v>102519827 /   0105357476</v>
      </c>
      <c r="F264" s="217" t="str">
        <f>'Short NIS'!C264</f>
        <v>RIZAL DWI YANTO</v>
      </c>
      <c r="G264" s="218" t="str">
        <f>'Short NIS'!D264</f>
        <v>L</v>
      </c>
      <c r="H264" s="218" t="str">
        <f>'Short NIS'!E264</f>
        <v>X PPLG 1</v>
      </c>
      <c r="I264" s="219" t="s">
        <v>6382</v>
      </c>
      <c r="J264" s="175"/>
      <c r="K264" s="175"/>
    </row>
    <row r="265" spans="1:11" x14ac:dyDescent="0.25">
      <c r="A265" s="175" t="str">
        <f t="shared" si="9"/>
        <v>X PPLG 1</v>
      </c>
      <c r="B265" s="175"/>
      <c r="C265" s="215">
        <f>'Short NIS'!A265</f>
        <v>102519828</v>
      </c>
      <c r="D265" s="216" t="str">
        <f>'Short NIS'!B265</f>
        <v>3102754170</v>
      </c>
      <c r="E265" s="175" t="str">
        <f t="shared" si="10"/>
        <v>102519828 /   3102754170</v>
      </c>
      <c r="F265" s="217" t="str">
        <f>'Short NIS'!C265</f>
        <v>RIZKY EKA SAPUTRA</v>
      </c>
      <c r="G265" s="218" t="str">
        <f>'Short NIS'!D265</f>
        <v>L</v>
      </c>
      <c r="H265" s="218" t="str">
        <f>'Short NIS'!E265</f>
        <v>X PPLG 1</v>
      </c>
      <c r="I265" s="219" t="s">
        <v>6382</v>
      </c>
      <c r="J265" s="175"/>
      <c r="K265" s="175"/>
    </row>
    <row r="266" spans="1:11" x14ac:dyDescent="0.25">
      <c r="A266" s="175" t="str">
        <f t="shared" si="9"/>
        <v>X PPLG 1</v>
      </c>
      <c r="B266" s="175"/>
      <c r="C266" s="215">
        <f>'Short NIS'!A266</f>
        <v>102519829</v>
      </c>
      <c r="D266" s="216" t="str">
        <f>'Short NIS'!B266</f>
        <v>0093838894</v>
      </c>
      <c r="E266" s="175" t="str">
        <f t="shared" si="10"/>
        <v>102519829 /   0093838894</v>
      </c>
      <c r="F266" s="217" t="str">
        <f>'Short NIS'!C266</f>
        <v>SAFA NOVIANI</v>
      </c>
      <c r="G266" s="218" t="str">
        <f>'Short NIS'!D266</f>
        <v>P</v>
      </c>
      <c r="H266" s="218" t="str">
        <f>'Short NIS'!E266</f>
        <v>X PPLG 1</v>
      </c>
      <c r="I266" s="219" t="s">
        <v>6382</v>
      </c>
      <c r="J266" s="175"/>
      <c r="K266" s="175"/>
    </row>
    <row r="267" spans="1:11" x14ac:dyDescent="0.25">
      <c r="A267" s="175" t="str">
        <f t="shared" si="9"/>
        <v>X PPLG 1</v>
      </c>
      <c r="B267" s="175"/>
      <c r="C267" s="215">
        <f>'Short NIS'!A267</f>
        <v>102519830</v>
      </c>
      <c r="D267" s="216">
        <f>'Short NIS'!B267</f>
        <v>0</v>
      </c>
      <c r="E267" s="175" t="str">
        <f t="shared" si="10"/>
        <v>102519830 /   0</v>
      </c>
      <c r="F267" s="217" t="str">
        <f>'Short NIS'!C267</f>
        <v>TAHTA DESTANA</v>
      </c>
      <c r="G267" s="218" t="str">
        <f>'Short NIS'!D267</f>
        <v>L</v>
      </c>
      <c r="H267" s="218" t="str">
        <f>'Short NIS'!E267</f>
        <v>X PPLG 1</v>
      </c>
      <c r="I267" s="219" t="s">
        <v>6382</v>
      </c>
      <c r="J267" s="175"/>
      <c r="K267" s="175"/>
    </row>
    <row r="268" spans="1:11" x14ac:dyDescent="0.25">
      <c r="A268" s="175" t="str">
        <f t="shared" si="9"/>
        <v>X PPLG 2</v>
      </c>
      <c r="B268" s="175"/>
      <c r="C268" s="215">
        <f>'Short NIS'!A268</f>
        <v>102519751</v>
      </c>
      <c r="D268" s="216" t="str">
        <f>'Short NIS'!B268</f>
        <v>0091025999</v>
      </c>
      <c r="E268" s="175" t="str">
        <f t="shared" si="10"/>
        <v>102519751 /   0091025999</v>
      </c>
      <c r="F268" s="217" t="str">
        <f>'Short NIS'!C268</f>
        <v>ABIYASA DAMAI PUTRA</v>
      </c>
      <c r="G268" s="218" t="str">
        <f>'Short NIS'!D268</f>
        <v>L</v>
      </c>
      <c r="H268" s="218" t="str">
        <f>'Short NIS'!E268</f>
        <v>X PPLG 2</v>
      </c>
      <c r="I268" s="219" t="s">
        <v>6383</v>
      </c>
      <c r="J268" s="175"/>
      <c r="K268" s="175"/>
    </row>
    <row r="269" spans="1:11" x14ac:dyDescent="0.25">
      <c r="A269" s="175" t="str">
        <f t="shared" si="9"/>
        <v>X PPLG 2</v>
      </c>
      <c r="B269" s="175"/>
      <c r="C269" s="215">
        <f>'Short NIS'!A269</f>
        <v>102519752</v>
      </c>
      <c r="D269" s="216" t="str">
        <f>'Short NIS'!B269</f>
        <v>0104709617</v>
      </c>
      <c r="E269" s="175" t="str">
        <f t="shared" si="10"/>
        <v>102519752 /   0104709617</v>
      </c>
      <c r="F269" s="217" t="str">
        <f>'Short NIS'!C269</f>
        <v>ADLI ZAIDAN AL HAKIM</v>
      </c>
      <c r="G269" s="218" t="str">
        <f>'Short NIS'!D269</f>
        <v>L</v>
      </c>
      <c r="H269" s="218" t="str">
        <f>'Short NIS'!E269</f>
        <v>X PPLG 2</v>
      </c>
      <c r="I269" s="219" t="s">
        <v>6383</v>
      </c>
      <c r="J269" s="175"/>
      <c r="K269" s="175"/>
    </row>
    <row r="270" spans="1:11" x14ac:dyDescent="0.25">
      <c r="A270" s="175" t="str">
        <f t="shared" si="9"/>
        <v>X PPLG 2</v>
      </c>
      <c r="B270" s="175"/>
      <c r="C270" s="215">
        <f>'Short NIS'!A270</f>
        <v>102519753</v>
      </c>
      <c r="D270" s="216" t="str">
        <f>'Short NIS'!B270</f>
        <v>0109154853</v>
      </c>
      <c r="E270" s="175" t="str">
        <f t="shared" si="10"/>
        <v>102519753 /   0109154853</v>
      </c>
      <c r="F270" s="217" t="str">
        <f>'Short NIS'!C270</f>
        <v>ALIF ARYA SHODIKIN</v>
      </c>
      <c r="G270" s="218" t="str">
        <f>'Short NIS'!D270</f>
        <v>L</v>
      </c>
      <c r="H270" s="218" t="str">
        <f>'Short NIS'!E270</f>
        <v>X PPLG 2</v>
      </c>
      <c r="I270" s="219" t="s">
        <v>6383</v>
      </c>
      <c r="J270" s="175"/>
      <c r="K270" s="175"/>
    </row>
    <row r="271" spans="1:11" x14ac:dyDescent="0.25">
      <c r="A271" s="175" t="str">
        <f t="shared" si="9"/>
        <v>X PPLG 2</v>
      </c>
      <c r="B271" s="175"/>
      <c r="C271" s="215">
        <f>'Short NIS'!A271</f>
        <v>102519754</v>
      </c>
      <c r="D271" s="216" t="str">
        <f>'Short NIS'!B271</f>
        <v>0107497597</v>
      </c>
      <c r="E271" s="175" t="str">
        <f t="shared" si="10"/>
        <v>102519754 /   0107497597</v>
      </c>
      <c r="F271" s="217" t="str">
        <f>'Short NIS'!C271</f>
        <v>ANNISA PUTRI AULIA</v>
      </c>
      <c r="G271" s="218" t="str">
        <f>'Short NIS'!D271</f>
        <v>P</v>
      </c>
      <c r="H271" s="218" t="str">
        <f>'Short NIS'!E271</f>
        <v>X PPLG 2</v>
      </c>
      <c r="I271" s="219" t="s">
        <v>6383</v>
      </c>
      <c r="J271" s="175"/>
      <c r="K271" s="175"/>
    </row>
    <row r="272" spans="1:11" x14ac:dyDescent="0.25">
      <c r="A272" s="175" t="str">
        <f t="shared" si="9"/>
        <v>X PPLG 2</v>
      </c>
      <c r="B272" s="175"/>
      <c r="C272" s="215">
        <f>'Short NIS'!A272</f>
        <v>102519755</v>
      </c>
      <c r="D272" s="216" t="str">
        <f>'Short NIS'!B272</f>
        <v>0107715114</v>
      </c>
      <c r="E272" s="175" t="str">
        <f t="shared" si="10"/>
        <v>102519755 /   0107715114</v>
      </c>
      <c r="F272" s="217" t="str">
        <f>'Short NIS'!C272</f>
        <v>AZ ZAHIR THORIQ SHIDQI</v>
      </c>
      <c r="G272" s="218" t="str">
        <f>'Short NIS'!D272</f>
        <v>L</v>
      </c>
      <c r="H272" s="218" t="str">
        <f>'Short NIS'!E272</f>
        <v>X PPLG 2</v>
      </c>
      <c r="I272" s="219" t="s">
        <v>6383</v>
      </c>
      <c r="J272" s="175"/>
      <c r="K272" s="175"/>
    </row>
    <row r="273" spans="1:11" x14ac:dyDescent="0.25">
      <c r="A273" s="175" t="str">
        <f t="shared" si="9"/>
        <v>X PPLG 2</v>
      </c>
      <c r="B273" s="175"/>
      <c r="C273" s="215">
        <f>'Short NIS'!A273</f>
        <v>102519756</v>
      </c>
      <c r="D273" s="216" t="str">
        <f>'Short NIS'!B273</f>
        <v>0108333408</v>
      </c>
      <c r="E273" s="175" t="str">
        <f t="shared" si="10"/>
        <v>102519756 /   0108333408</v>
      </c>
      <c r="F273" s="217" t="str">
        <f>'Short NIS'!C273</f>
        <v>AZMI RAFI RABBANI</v>
      </c>
      <c r="G273" s="218" t="str">
        <f>'Short NIS'!D273</f>
        <v>L</v>
      </c>
      <c r="H273" s="218" t="str">
        <f>'Short NIS'!E273</f>
        <v>X PPLG 2</v>
      </c>
      <c r="I273" s="219" t="s">
        <v>6383</v>
      </c>
      <c r="J273" s="175"/>
      <c r="K273" s="175"/>
    </row>
    <row r="274" spans="1:11" x14ac:dyDescent="0.25">
      <c r="A274" s="175" t="str">
        <f t="shared" si="9"/>
        <v>X PPLG 2</v>
      </c>
      <c r="B274" s="175"/>
      <c r="C274" s="215">
        <f>'Short NIS'!A274</f>
        <v>102519757</v>
      </c>
      <c r="D274" s="216" t="str">
        <f>'Short NIS'!B274</f>
        <v>0093039102</v>
      </c>
      <c r="E274" s="175" t="str">
        <f t="shared" si="10"/>
        <v>102519757 /   0093039102</v>
      </c>
      <c r="F274" s="217" t="str">
        <f>'Short NIS'!C274</f>
        <v>DINI NUR KOMALA SARI</v>
      </c>
      <c r="G274" s="218" t="str">
        <f>'Short NIS'!D274</f>
        <v>P</v>
      </c>
      <c r="H274" s="218" t="str">
        <f>'Short NIS'!E274</f>
        <v>X PPLG 2</v>
      </c>
      <c r="I274" s="219" t="s">
        <v>6383</v>
      </c>
      <c r="J274" s="175"/>
      <c r="K274" s="175"/>
    </row>
    <row r="275" spans="1:11" x14ac:dyDescent="0.25">
      <c r="A275" s="175" t="str">
        <f t="shared" si="9"/>
        <v>X PPLG 2</v>
      </c>
      <c r="B275" s="175"/>
      <c r="C275" s="215">
        <f>'Short NIS'!A275</f>
        <v>102519758</v>
      </c>
      <c r="D275" s="216" t="str">
        <f>'Short NIS'!B275</f>
        <v>0095506134</v>
      </c>
      <c r="E275" s="175" t="str">
        <f t="shared" si="10"/>
        <v>102519758 /   0095506134</v>
      </c>
      <c r="F275" s="217" t="str">
        <f>'Short NIS'!C275</f>
        <v>DZAKWAN NUR KAMAL</v>
      </c>
      <c r="G275" s="218" t="str">
        <f>'Short NIS'!D275</f>
        <v>L</v>
      </c>
      <c r="H275" s="218" t="str">
        <f>'Short NIS'!E275</f>
        <v>X PPLG 2</v>
      </c>
      <c r="I275" s="219" t="s">
        <v>6383</v>
      </c>
      <c r="J275" s="175"/>
      <c r="K275" s="175"/>
    </row>
    <row r="276" spans="1:11" x14ac:dyDescent="0.25">
      <c r="A276" s="175" t="str">
        <f t="shared" si="9"/>
        <v>X PPLG 2</v>
      </c>
      <c r="B276" s="175"/>
      <c r="C276" s="215">
        <f>'Short NIS'!A276</f>
        <v>102519759</v>
      </c>
      <c r="D276" s="216" t="str">
        <f>'Short NIS'!B276</f>
        <v>0093439139</v>
      </c>
      <c r="E276" s="175" t="str">
        <f t="shared" si="10"/>
        <v>102519759 /   0093439139</v>
      </c>
      <c r="F276" s="217" t="str">
        <f>'Short NIS'!C276</f>
        <v>EL REYVILLAN ALIFATHIRTA</v>
      </c>
      <c r="G276" s="218" t="str">
        <f>'Short NIS'!D276</f>
        <v>L</v>
      </c>
      <c r="H276" s="218" t="str">
        <f>'Short NIS'!E276</f>
        <v>X PPLG 2</v>
      </c>
      <c r="I276" s="219" t="s">
        <v>6383</v>
      </c>
      <c r="J276" s="175"/>
      <c r="K276" s="175"/>
    </row>
    <row r="277" spans="1:11" x14ac:dyDescent="0.25">
      <c r="A277" s="175" t="str">
        <f t="shared" si="9"/>
        <v>X PPLG 2</v>
      </c>
      <c r="B277" s="175"/>
      <c r="C277" s="215">
        <f>'Short NIS'!A277</f>
        <v>102519760</v>
      </c>
      <c r="D277" s="216" t="str">
        <f>'Short NIS'!B277</f>
        <v>0094825481</v>
      </c>
      <c r="E277" s="175" t="str">
        <f t="shared" si="10"/>
        <v>102519760 /   0094825481</v>
      </c>
      <c r="F277" s="217" t="str">
        <f>'Short NIS'!C277</f>
        <v>FACHRY NUR RAMADHANI</v>
      </c>
      <c r="G277" s="218" t="str">
        <f>'Short NIS'!D277</f>
        <v>L</v>
      </c>
      <c r="H277" s="218" t="str">
        <f>'Short NIS'!E277</f>
        <v>X PPLG 2</v>
      </c>
      <c r="I277" s="219" t="s">
        <v>6383</v>
      </c>
      <c r="J277" s="175"/>
      <c r="K277" s="175"/>
    </row>
    <row r="278" spans="1:11" x14ac:dyDescent="0.25">
      <c r="A278" s="175" t="str">
        <f t="shared" si="9"/>
        <v>X PPLG 2</v>
      </c>
      <c r="B278" s="175"/>
      <c r="C278" s="215">
        <f>'Short NIS'!A278</f>
        <v>102519761</v>
      </c>
      <c r="D278" s="216" t="str">
        <f>'Short NIS'!B278</f>
        <v>0102001183</v>
      </c>
      <c r="E278" s="175" t="str">
        <f t="shared" si="10"/>
        <v>102519761 /   0102001183</v>
      </c>
      <c r="F278" s="217" t="str">
        <f>'Short NIS'!C278</f>
        <v>FADIL MUHAMMAD ILHAM</v>
      </c>
      <c r="G278" s="218" t="str">
        <f>'Short NIS'!D278</f>
        <v>L</v>
      </c>
      <c r="H278" s="218" t="str">
        <f>'Short NIS'!E278</f>
        <v>X PPLG 2</v>
      </c>
      <c r="I278" s="219" t="s">
        <v>6383</v>
      </c>
      <c r="J278" s="175"/>
      <c r="K278" s="175"/>
    </row>
    <row r="279" spans="1:11" x14ac:dyDescent="0.25">
      <c r="A279" s="175" t="str">
        <f t="shared" si="9"/>
        <v>X PPLG 2</v>
      </c>
      <c r="B279" s="175"/>
      <c r="C279" s="215">
        <f>'Short NIS'!A279</f>
        <v>102519762</v>
      </c>
      <c r="D279" s="216" t="str">
        <f>'Short NIS'!B279</f>
        <v>0092718899</v>
      </c>
      <c r="E279" s="175" t="str">
        <f t="shared" si="10"/>
        <v>102519762 /   0092718899</v>
      </c>
      <c r="F279" s="217" t="str">
        <f>'Short NIS'!C279</f>
        <v>FADLI TAUPIQ RAMDANI</v>
      </c>
      <c r="G279" s="218" t="str">
        <f>'Short NIS'!D279</f>
        <v>L</v>
      </c>
      <c r="H279" s="218" t="str">
        <f>'Short NIS'!E279</f>
        <v>X PPLG 2</v>
      </c>
      <c r="I279" s="219" t="s">
        <v>6383</v>
      </c>
      <c r="J279" s="175"/>
      <c r="K279" s="175"/>
    </row>
    <row r="280" spans="1:11" x14ac:dyDescent="0.25">
      <c r="A280" s="175" t="str">
        <f t="shared" si="9"/>
        <v>X PPLG 2</v>
      </c>
      <c r="B280" s="175"/>
      <c r="C280" s="215">
        <f>'Short NIS'!A280</f>
        <v>102519763</v>
      </c>
      <c r="D280" s="216" t="str">
        <f>'Short NIS'!B280</f>
        <v>0092511359</v>
      </c>
      <c r="E280" s="175" t="str">
        <f t="shared" si="10"/>
        <v>102519763 /   0092511359</v>
      </c>
      <c r="F280" s="217" t="str">
        <f>'Short NIS'!C280</f>
        <v>FAHMI GHULAM HASANI RAMADHAN</v>
      </c>
      <c r="G280" s="218" t="str">
        <f>'Short NIS'!D280</f>
        <v>L</v>
      </c>
      <c r="H280" s="218" t="str">
        <f>'Short NIS'!E280</f>
        <v>X PPLG 2</v>
      </c>
      <c r="I280" s="219" t="s">
        <v>6383</v>
      </c>
      <c r="J280" s="175"/>
      <c r="K280" s="175"/>
    </row>
    <row r="281" spans="1:11" x14ac:dyDescent="0.25">
      <c r="A281" s="175" t="str">
        <f t="shared" si="9"/>
        <v>X PPLG 2</v>
      </c>
      <c r="B281" s="175"/>
      <c r="C281" s="215">
        <f>'Short NIS'!A281</f>
        <v>102519764</v>
      </c>
      <c r="D281" s="216" t="str">
        <f>'Short NIS'!B281</f>
        <v>0108898026</v>
      </c>
      <c r="E281" s="175" t="str">
        <f t="shared" si="10"/>
        <v>102519764 /   0108898026</v>
      </c>
      <c r="F281" s="217" t="str">
        <f>'Short NIS'!C281</f>
        <v>IKHSAN ALFARIZQI AKBAR</v>
      </c>
      <c r="G281" s="218" t="str">
        <f>'Short NIS'!D281</f>
        <v>L</v>
      </c>
      <c r="H281" s="218" t="str">
        <f>'Short NIS'!E281</f>
        <v>X PPLG 2</v>
      </c>
      <c r="I281" s="219" t="s">
        <v>6383</v>
      </c>
      <c r="J281" s="175"/>
      <c r="K281" s="175"/>
    </row>
    <row r="282" spans="1:11" x14ac:dyDescent="0.25">
      <c r="A282" s="175" t="str">
        <f t="shared" si="9"/>
        <v>X PPLG 2</v>
      </c>
      <c r="B282" s="175"/>
      <c r="C282" s="215">
        <f>'Short NIS'!A282</f>
        <v>102519765</v>
      </c>
      <c r="D282" s="216" t="str">
        <f>'Short NIS'!B282</f>
        <v>0105574260</v>
      </c>
      <c r="E282" s="175" t="str">
        <f t="shared" si="10"/>
        <v>102519765 /   0105574260</v>
      </c>
      <c r="F282" s="217" t="str">
        <f>'Short NIS'!C282</f>
        <v>ISNA MAYSULINAH ADZKIA</v>
      </c>
      <c r="G282" s="218" t="str">
        <f>'Short NIS'!D282</f>
        <v>P</v>
      </c>
      <c r="H282" s="218" t="str">
        <f>'Short NIS'!E282</f>
        <v>X PPLG 2</v>
      </c>
      <c r="I282" s="219" t="s">
        <v>6383</v>
      </c>
      <c r="J282" s="175"/>
      <c r="K282" s="175"/>
    </row>
    <row r="283" spans="1:11" x14ac:dyDescent="0.25">
      <c r="A283" s="175" t="str">
        <f t="shared" si="9"/>
        <v>X PPLG 2</v>
      </c>
      <c r="B283" s="175"/>
      <c r="C283" s="215">
        <f>'Short NIS'!A283</f>
        <v>102519766</v>
      </c>
      <c r="D283" s="216" t="str">
        <f>'Short NIS'!B283</f>
        <v>0097968137</v>
      </c>
      <c r="E283" s="175" t="str">
        <f t="shared" si="10"/>
        <v>102519766 /   0097968137</v>
      </c>
      <c r="F283" s="217" t="str">
        <f>'Short NIS'!C283</f>
        <v>KALILA TANIA</v>
      </c>
      <c r="G283" s="218" t="str">
        <f>'Short NIS'!D283</f>
        <v>P</v>
      </c>
      <c r="H283" s="218" t="str">
        <f>'Short NIS'!E283</f>
        <v>X PPLG 2</v>
      </c>
      <c r="I283" s="219" t="s">
        <v>6383</v>
      </c>
      <c r="J283" s="175"/>
      <c r="K283" s="175"/>
    </row>
    <row r="284" spans="1:11" x14ac:dyDescent="0.25">
      <c r="A284" s="175" t="str">
        <f t="shared" si="9"/>
        <v>X PPLG 2</v>
      </c>
      <c r="B284" s="175"/>
      <c r="C284" s="215">
        <f>'Short NIS'!A284</f>
        <v>102519767</v>
      </c>
      <c r="D284" s="216" t="str">
        <f>'Short NIS'!B284</f>
        <v>0088196547</v>
      </c>
      <c r="E284" s="175" t="str">
        <f t="shared" si="10"/>
        <v>102519767 /   0088196547</v>
      </c>
      <c r="F284" s="217" t="str">
        <f>'Short NIS'!C284</f>
        <v>KAUTSAR HABIEB HERWINDO</v>
      </c>
      <c r="G284" s="218" t="str">
        <f>'Short NIS'!D284</f>
        <v>L</v>
      </c>
      <c r="H284" s="218" t="str">
        <f>'Short NIS'!E284</f>
        <v>X PPLG 2</v>
      </c>
      <c r="I284" s="219" t="s">
        <v>6383</v>
      </c>
      <c r="J284" s="175"/>
      <c r="K284" s="175"/>
    </row>
    <row r="285" spans="1:11" x14ac:dyDescent="0.25">
      <c r="A285" s="175" t="str">
        <f t="shared" si="9"/>
        <v>X PPLG 2</v>
      </c>
      <c r="B285" s="175"/>
      <c r="C285" s="215">
        <f>'Short NIS'!A285</f>
        <v>102519768</v>
      </c>
      <c r="D285" s="216" t="str">
        <f>'Short NIS'!B285</f>
        <v>0101620356</v>
      </c>
      <c r="E285" s="175" t="str">
        <f t="shared" si="10"/>
        <v>102519768 /   0101620356</v>
      </c>
      <c r="F285" s="217" t="str">
        <f>'Short NIS'!C285</f>
        <v>KHEIRA MAHAVIRA BACHRUM</v>
      </c>
      <c r="G285" s="218" t="str">
        <f>'Short NIS'!D285</f>
        <v>P</v>
      </c>
      <c r="H285" s="218" t="str">
        <f>'Short NIS'!E285</f>
        <v>X PPLG 2</v>
      </c>
      <c r="I285" s="219" t="s">
        <v>6383</v>
      </c>
      <c r="J285" s="175"/>
      <c r="K285" s="175"/>
    </row>
    <row r="286" spans="1:11" x14ac:dyDescent="0.25">
      <c r="A286" s="175" t="str">
        <f t="shared" si="9"/>
        <v>X PPLG 2</v>
      </c>
      <c r="B286" s="168"/>
      <c r="C286" s="215">
        <f>'Short NIS'!A286</f>
        <v>102519769</v>
      </c>
      <c r="D286" s="216" t="str">
        <f>'Short NIS'!B286</f>
        <v>0103724684</v>
      </c>
      <c r="E286" s="175" t="str">
        <f t="shared" si="10"/>
        <v>102519769 /   0103724684</v>
      </c>
      <c r="F286" s="217" t="str">
        <f>'Short NIS'!C286</f>
        <v>MOCHAMAD DZAMAR MAULANA</v>
      </c>
      <c r="G286" s="218" t="str">
        <f>'Short NIS'!D286</f>
        <v>L</v>
      </c>
      <c r="H286" s="218" t="str">
        <f>'Short NIS'!E286</f>
        <v>X PPLG 2</v>
      </c>
      <c r="I286" s="219" t="s">
        <v>6383</v>
      </c>
      <c r="J286" s="175"/>
      <c r="K286" s="175"/>
    </row>
    <row r="287" spans="1:11" x14ac:dyDescent="0.25">
      <c r="A287" s="175" t="str">
        <f t="shared" si="9"/>
        <v>X PPLG 2</v>
      </c>
      <c r="B287" s="175"/>
      <c r="C287" s="215">
        <f>'Short NIS'!A287</f>
        <v>102519770</v>
      </c>
      <c r="D287" s="216" t="str">
        <f>'Short NIS'!B287</f>
        <v>0098942981</v>
      </c>
      <c r="E287" s="175" t="str">
        <f t="shared" si="10"/>
        <v>102519770 /   0098942981</v>
      </c>
      <c r="F287" s="217" t="str">
        <f>'Short NIS'!C287</f>
        <v>MOCHAMAD RAFA LINTANG TUSTIADI</v>
      </c>
      <c r="G287" s="218" t="str">
        <f>'Short NIS'!D287</f>
        <v>L</v>
      </c>
      <c r="H287" s="218" t="str">
        <f>'Short NIS'!E287</f>
        <v>X PPLG 2</v>
      </c>
      <c r="I287" s="219" t="s">
        <v>6383</v>
      </c>
      <c r="J287" s="175"/>
      <c r="K287" s="175"/>
    </row>
    <row r="288" spans="1:11" x14ac:dyDescent="0.25">
      <c r="A288" s="175" t="str">
        <f t="shared" si="9"/>
        <v>X PPLG 2</v>
      </c>
      <c r="B288" s="175"/>
      <c r="C288" s="215">
        <f>'Short NIS'!A288</f>
        <v>102519771</v>
      </c>
      <c r="D288" s="216" t="str">
        <f>'Short NIS'!B288</f>
        <v>0106874805</v>
      </c>
      <c r="E288" s="175" t="str">
        <f t="shared" si="10"/>
        <v>102519771 /   0106874805</v>
      </c>
      <c r="F288" s="217" t="str">
        <f>'Short NIS'!C288</f>
        <v>MUHAMAD SALMAN TSUBASA</v>
      </c>
      <c r="G288" s="218" t="str">
        <f>'Short NIS'!D288</f>
        <v>L</v>
      </c>
      <c r="H288" s="218" t="str">
        <f>'Short NIS'!E288</f>
        <v>X PPLG 2</v>
      </c>
      <c r="I288" s="219" t="s">
        <v>6383</v>
      </c>
      <c r="J288" s="175"/>
      <c r="K288" s="175"/>
    </row>
    <row r="289" spans="1:11" x14ac:dyDescent="0.25">
      <c r="A289" s="175" t="str">
        <f t="shared" si="9"/>
        <v>X PPLG 2</v>
      </c>
      <c r="B289" s="175"/>
      <c r="C289" s="215">
        <f>'Short NIS'!A289</f>
        <v>102519772</v>
      </c>
      <c r="D289" s="216" t="str">
        <f>'Short NIS'!B289</f>
        <v>0092044674</v>
      </c>
      <c r="E289" s="175" t="str">
        <f t="shared" si="10"/>
        <v>102519772 /   0092044674</v>
      </c>
      <c r="F289" s="217" t="str">
        <f>'Short NIS'!C289</f>
        <v>MUHAMMAD RAIHAN AL MUNAWWAR</v>
      </c>
      <c r="G289" s="218" t="str">
        <f>'Short NIS'!D289</f>
        <v>L</v>
      </c>
      <c r="H289" s="218" t="str">
        <f>'Short NIS'!E289</f>
        <v>X PPLG 2</v>
      </c>
      <c r="I289" s="219" t="s">
        <v>6383</v>
      </c>
      <c r="J289" s="175"/>
      <c r="K289" s="175"/>
    </row>
    <row r="290" spans="1:11" x14ac:dyDescent="0.25">
      <c r="A290" s="175" t="str">
        <f t="shared" si="9"/>
        <v>X PPLG 2</v>
      </c>
      <c r="B290" s="175"/>
      <c r="C290" s="215">
        <f>'Short NIS'!A290</f>
        <v>102519773</v>
      </c>
      <c r="D290" s="216" t="str">
        <f>'Short NIS'!B290</f>
        <v>0096195659</v>
      </c>
      <c r="E290" s="175" t="str">
        <f t="shared" si="10"/>
        <v>102519773 /   0096195659</v>
      </c>
      <c r="F290" s="217" t="str">
        <f>'Short NIS'!C290</f>
        <v>MUHAMMAD RA'UF WAFAIQ</v>
      </c>
      <c r="G290" s="218" t="str">
        <f>'Short NIS'!D290</f>
        <v>L</v>
      </c>
      <c r="H290" s="218" t="str">
        <f>'Short NIS'!E290</f>
        <v>X PPLG 2</v>
      </c>
      <c r="I290" s="219" t="s">
        <v>6383</v>
      </c>
      <c r="J290" s="175"/>
      <c r="K290" s="175"/>
    </row>
    <row r="291" spans="1:11" x14ac:dyDescent="0.25">
      <c r="A291" s="175" t="str">
        <f t="shared" si="9"/>
        <v>X PPLG 2</v>
      </c>
      <c r="B291" s="175"/>
      <c r="C291" s="215">
        <f>'Short NIS'!A291</f>
        <v>102519774</v>
      </c>
      <c r="D291" s="216" t="str">
        <f>'Short NIS'!B291</f>
        <v>0109548852</v>
      </c>
      <c r="E291" s="175" t="str">
        <f t="shared" si="10"/>
        <v>102519774 /   0109548852</v>
      </c>
      <c r="F291" s="217" t="str">
        <f>'Short NIS'!C291</f>
        <v>MUHAMMAD WILDANSYAH</v>
      </c>
      <c r="G291" s="218" t="str">
        <f>'Short NIS'!D291</f>
        <v>L</v>
      </c>
      <c r="H291" s="218" t="str">
        <f>'Short NIS'!E291</f>
        <v>X PPLG 2</v>
      </c>
      <c r="I291" s="219" t="s">
        <v>6383</v>
      </c>
      <c r="J291" s="175"/>
      <c r="K291" s="175"/>
    </row>
    <row r="292" spans="1:11" x14ac:dyDescent="0.25">
      <c r="A292" s="175" t="str">
        <f t="shared" si="9"/>
        <v>X PPLG 2</v>
      </c>
      <c r="B292" s="175"/>
      <c r="C292" s="215">
        <f>'Short NIS'!A292</f>
        <v>102519775</v>
      </c>
      <c r="D292" s="216">
        <f>'Short NIS'!B292</f>
        <v>0</v>
      </c>
      <c r="E292" s="175" t="str">
        <f t="shared" si="10"/>
        <v>102519775 /   0</v>
      </c>
      <c r="F292" s="217" t="str">
        <f>'Short NIS'!C292</f>
        <v>NABIL IBNU MUZAKKII</v>
      </c>
      <c r="G292" s="218" t="str">
        <f>'Short NIS'!D292</f>
        <v>L</v>
      </c>
      <c r="H292" s="218" t="str">
        <f>'Short NIS'!E292</f>
        <v>X PPLG 2</v>
      </c>
      <c r="I292" s="219" t="s">
        <v>6383</v>
      </c>
      <c r="J292" s="175"/>
      <c r="K292" s="175"/>
    </row>
    <row r="293" spans="1:11" x14ac:dyDescent="0.25">
      <c r="A293" s="175" t="str">
        <f t="shared" si="9"/>
        <v>X PPLG 2</v>
      </c>
      <c r="B293" s="175"/>
      <c r="C293" s="215">
        <f>'Short NIS'!A293</f>
        <v>102519776</v>
      </c>
      <c r="D293" s="216">
        <f>'Short NIS'!B293</f>
        <v>0</v>
      </c>
      <c r="E293" s="175" t="str">
        <f t="shared" si="10"/>
        <v>102519776 /   0</v>
      </c>
      <c r="F293" s="217" t="str">
        <f>'Short NIS'!C293</f>
        <v>NADHIF RAKHA RESWARA</v>
      </c>
      <c r="G293" s="218" t="str">
        <f>'Short NIS'!D293</f>
        <v>L</v>
      </c>
      <c r="H293" s="218" t="str">
        <f>'Short NIS'!E293</f>
        <v>X PPLG 2</v>
      </c>
      <c r="I293" s="219" t="s">
        <v>6383</v>
      </c>
      <c r="J293" s="175"/>
      <c r="K293" s="175"/>
    </row>
    <row r="294" spans="1:11" x14ac:dyDescent="0.25">
      <c r="A294" s="175" t="str">
        <f t="shared" si="9"/>
        <v>X PPLG 2</v>
      </c>
      <c r="B294" s="175"/>
      <c r="C294" s="215">
        <f>'Short NIS'!A294</f>
        <v>102519777</v>
      </c>
      <c r="D294" s="216" t="str">
        <f>'Short NIS'!B294</f>
        <v>0091681036</v>
      </c>
      <c r="E294" s="175" t="str">
        <f t="shared" si="10"/>
        <v>102519777 /   0091681036</v>
      </c>
      <c r="F294" s="217" t="str">
        <f>'Short NIS'!C294</f>
        <v>NAUFAL DAFFA MUSYAFA</v>
      </c>
      <c r="G294" s="218" t="str">
        <f>'Short NIS'!D294</f>
        <v>L</v>
      </c>
      <c r="H294" s="218" t="str">
        <f>'Short NIS'!E294</f>
        <v>X PPLG 2</v>
      </c>
      <c r="I294" s="219" t="s">
        <v>6383</v>
      </c>
      <c r="J294" s="175"/>
      <c r="K294" s="175"/>
    </row>
    <row r="295" spans="1:11" x14ac:dyDescent="0.25">
      <c r="A295" s="175" t="str">
        <f t="shared" si="9"/>
        <v>X PPLG 2</v>
      </c>
      <c r="B295" s="175"/>
      <c r="C295" s="215">
        <f>'Short NIS'!A295</f>
        <v>102519778</v>
      </c>
      <c r="D295" s="216" t="str">
        <f>'Short NIS'!B295</f>
        <v>0099264213</v>
      </c>
      <c r="E295" s="175" t="str">
        <f t="shared" si="10"/>
        <v>102519778 /   0099264213</v>
      </c>
      <c r="F295" s="217" t="str">
        <f>'Short NIS'!C295</f>
        <v>RAFFA PUTRO WIBOWO</v>
      </c>
      <c r="G295" s="218" t="str">
        <f>'Short NIS'!D295</f>
        <v>L</v>
      </c>
      <c r="H295" s="218" t="str">
        <f>'Short NIS'!E295</f>
        <v>X PPLG 2</v>
      </c>
      <c r="I295" s="219" t="s">
        <v>6383</v>
      </c>
      <c r="J295" s="175"/>
      <c r="K295" s="175"/>
    </row>
    <row r="296" spans="1:11" x14ac:dyDescent="0.25">
      <c r="A296" s="175" t="str">
        <f t="shared" si="9"/>
        <v>X PPLG 2</v>
      </c>
      <c r="B296" s="175"/>
      <c r="C296" s="215">
        <f>'Short NIS'!A296</f>
        <v>102519779</v>
      </c>
      <c r="D296" s="216" t="str">
        <f>'Short NIS'!B296</f>
        <v>3091048269</v>
      </c>
      <c r="E296" s="175" t="str">
        <f t="shared" si="10"/>
        <v>102519779 /   3091048269</v>
      </c>
      <c r="F296" s="217" t="str">
        <f>'Short NIS'!C296</f>
        <v>RAIHAN ZAKY ALMUTAWAKKIL</v>
      </c>
      <c r="G296" s="218" t="str">
        <f>'Short NIS'!D296</f>
        <v>L</v>
      </c>
      <c r="H296" s="218" t="str">
        <f>'Short NIS'!E296</f>
        <v>X PPLG 2</v>
      </c>
      <c r="I296" s="219" t="s">
        <v>6383</v>
      </c>
      <c r="J296" s="175"/>
      <c r="K296" s="175"/>
    </row>
    <row r="297" spans="1:11" x14ac:dyDescent="0.25">
      <c r="A297" s="175" t="str">
        <f t="shared" si="9"/>
        <v>X PPLG 2</v>
      </c>
      <c r="B297" s="175"/>
      <c r="C297" s="215">
        <f>'Short NIS'!A297</f>
        <v>102519780</v>
      </c>
      <c r="D297" s="216" t="str">
        <f>'Short NIS'!B297</f>
        <v>0094932950</v>
      </c>
      <c r="E297" s="175" t="str">
        <f t="shared" si="10"/>
        <v>102519780 /   0094932950</v>
      </c>
      <c r="F297" s="217" t="str">
        <f>'Short NIS'!C297</f>
        <v>REZA PUTRA RAMADHANI</v>
      </c>
      <c r="G297" s="218" t="str">
        <f>'Short NIS'!D297</f>
        <v>L</v>
      </c>
      <c r="H297" s="218" t="str">
        <f>'Short NIS'!E297</f>
        <v>X PPLG 2</v>
      </c>
      <c r="I297" s="219" t="s">
        <v>6383</v>
      </c>
      <c r="J297" s="175"/>
      <c r="K297" s="175"/>
    </row>
    <row r="298" spans="1:11" x14ac:dyDescent="0.25">
      <c r="A298" s="175" t="str">
        <f t="shared" si="9"/>
        <v>X PPLG 2</v>
      </c>
      <c r="B298" s="175"/>
      <c r="C298" s="215">
        <f>'Short NIS'!A298</f>
        <v>102519781</v>
      </c>
      <c r="D298" s="216" t="str">
        <f>'Short NIS'!B298</f>
        <v>0094056401</v>
      </c>
      <c r="E298" s="175" t="str">
        <f t="shared" si="10"/>
        <v>102519781 /   0094056401</v>
      </c>
      <c r="F298" s="217" t="str">
        <f>'Short NIS'!C298</f>
        <v>RIFQI ADITYA PASHA</v>
      </c>
      <c r="G298" s="218" t="str">
        <f>'Short NIS'!D298</f>
        <v>L</v>
      </c>
      <c r="H298" s="218" t="str">
        <f>'Short NIS'!E298</f>
        <v>X PPLG 2</v>
      </c>
      <c r="I298" s="219" t="s">
        <v>6383</v>
      </c>
      <c r="J298" s="175"/>
      <c r="K298" s="175"/>
    </row>
    <row r="299" spans="1:11" x14ac:dyDescent="0.25">
      <c r="A299" s="175" t="str">
        <f t="shared" si="9"/>
        <v>X PPLG 2</v>
      </c>
      <c r="B299" s="175"/>
      <c r="C299" s="215">
        <f>'Short NIS'!A299</f>
        <v>102519782</v>
      </c>
      <c r="D299" s="216" t="str">
        <f>'Short NIS'!B299</f>
        <v>0101537478</v>
      </c>
      <c r="E299" s="175" t="str">
        <f t="shared" si="10"/>
        <v>102519782 /   0101537478</v>
      </c>
      <c r="F299" s="217" t="str">
        <f>'Short NIS'!C299</f>
        <v>RIZKY HIDAYAT</v>
      </c>
      <c r="G299" s="218" t="str">
        <f>'Short NIS'!D299</f>
        <v>L</v>
      </c>
      <c r="H299" s="218" t="str">
        <f>'Short NIS'!E299</f>
        <v>X PPLG 2</v>
      </c>
      <c r="I299" s="219" t="s">
        <v>6383</v>
      </c>
      <c r="J299" s="175"/>
      <c r="K299" s="175"/>
    </row>
    <row r="300" spans="1:11" x14ac:dyDescent="0.25">
      <c r="A300" s="175" t="str">
        <f t="shared" si="9"/>
        <v>X PPLG 2</v>
      </c>
      <c r="B300" s="175"/>
      <c r="C300" s="215">
        <f>'Short NIS'!A300</f>
        <v>102519783</v>
      </c>
      <c r="D300" s="216" t="str">
        <f>'Short NIS'!B300</f>
        <v>0095520032</v>
      </c>
      <c r="E300" s="175" t="str">
        <f t="shared" si="10"/>
        <v>102519783 /   0095520032</v>
      </c>
      <c r="F300" s="217" t="str">
        <f>'Short NIS'!C300</f>
        <v>RYUGA ARDHATAMA ADZ ZIKRA</v>
      </c>
      <c r="G300" s="218" t="str">
        <f>'Short NIS'!D300</f>
        <v>L</v>
      </c>
      <c r="H300" s="218" t="str">
        <f>'Short NIS'!E300</f>
        <v>X PPLG 2</v>
      </c>
      <c r="I300" s="219" t="s">
        <v>6383</v>
      </c>
      <c r="J300" s="175"/>
      <c r="K300" s="175"/>
    </row>
    <row r="301" spans="1:11" x14ac:dyDescent="0.25">
      <c r="A301" s="175" t="str">
        <f t="shared" si="9"/>
        <v>X PPLG 2</v>
      </c>
      <c r="B301" s="175"/>
      <c r="C301" s="215">
        <f>'Short NIS'!A301</f>
        <v>102519784</v>
      </c>
      <c r="D301" s="216" t="str">
        <f>'Short NIS'!B301</f>
        <v>0102813162</v>
      </c>
      <c r="E301" s="175" t="str">
        <f t="shared" si="10"/>
        <v>102519784 /   0102813162</v>
      </c>
      <c r="F301" s="217" t="str">
        <f>'Short NIS'!C301</f>
        <v>SEPTI NURI FITRIYANI</v>
      </c>
      <c r="G301" s="218" t="str">
        <f>'Short NIS'!D301</f>
        <v>P</v>
      </c>
      <c r="H301" s="218" t="str">
        <f>'Short NIS'!E301</f>
        <v>X PPLG 2</v>
      </c>
      <c r="I301" s="219" t="s">
        <v>6383</v>
      </c>
      <c r="J301" s="175"/>
      <c r="K301" s="175"/>
    </row>
    <row r="302" spans="1:11" x14ac:dyDescent="0.25">
      <c r="A302" s="175" t="str">
        <f t="shared" si="9"/>
        <v>X PPLG 2</v>
      </c>
      <c r="B302" s="175"/>
      <c r="C302" s="215">
        <f>'Short NIS'!A302</f>
        <v>102519785</v>
      </c>
      <c r="D302" s="216" t="str">
        <f>'Short NIS'!B302</f>
        <v>0107415563</v>
      </c>
      <c r="E302" s="175" t="str">
        <f t="shared" si="10"/>
        <v>102519785 /   0107415563</v>
      </c>
      <c r="F302" s="217" t="str">
        <f>'Short NIS'!C302</f>
        <v>SHAKAYLA SHAHIA RACHMAN</v>
      </c>
      <c r="G302" s="218" t="str">
        <f>'Short NIS'!D302</f>
        <v>P</v>
      </c>
      <c r="H302" s="218" t="str">
        <f>'Short NIS'!E302</f>
        <v>X PPLG 2</v>
      </c>
      <c r="I302" s="219" t="s">
        <v>6383</v>
      </c>
      <c r="J302" s="175"/>
      <c r="K302" s="175"/>
    </row>
    <row r="303" spans="1:11" x14ac:dyDescent="0.25">
      <c r="A303" s="175" t="str">
        <f t="shared" si="9"/>
        <v>X PPLG 2</v>
      </c>
      <c r="B303" s="175"/>
      <c r="C303" s="215">
        <f>'Short NIS'!A303</f>
        <v>102519786</v>
      </c>
      <c r="D303" s="216" t="str">
        <f>'Short NIS'!B303</f>
        <v>0094299350</v>
      </c>
      <c r="E303" s="175" t="str">
        <f t="shared" si="10"/>
        <v>102519786 /   0094299350</v>
      </c>
      <c r="F303" s="217" t="str">
        <f>'Short NIS'!C303</f>
        <v>SUSAN PUTRIYADI</v>
      </c>
      <c r="G303" s="218" t="str">
        <f>'Short NIS'!D303</f>
        <v>P</v>
      </c>
      <c r="H303" s="218" t="str">
        <f>'Short NIS'!E303</f>
        <v>X PPLG 2</v>
      </c>
      <c r="I303" s="219" t="s">
        <v>6383</v>
      </c>
      <c r="J303" s="175"/>
      <c r="K303" s="175"/>
    </row>
    <row r="304" spans="1:11" x14ac:dyDescent="0.25">
      <c r="A304" s="175" t="str">
        <f t="shared" si="9"/>
        <v>X PPLG 2</v>
      </c>
      <c r="B304" s="175"/>
      <c r="C304" s="215">
        <f>'Short NIS'!A304</f>
        <v>102519787</v>
      </c>
      <c r="D304" s="216" t="str">
        <f>'Short NIS'!B304</f>
        <v>0104233794</v>
      </c>
      <c r="E304" s="175" t="str">
        <f t="shared" si="10"/>
        <v>102519787 /   0104233794</v>
      </c>
      <c r="F304" s="217" t="str">
        <f>'Short NIS'!C304</f>
        <v>TERRY SYAFIRA RAHMAWATI</v>
      </c>
      <c r="G304" s="218" t="str">
        <f>'Short NIS'!D304</f>
        <v>P</v>
      </c>
      <c r="H304" s="218" t="str">
        <f>'Short NIS'!E304</f>
        <v>X PPLG 2</v>
      </c>
      <c r="I304" s="219" t="s">
        <v>6383</v>
      </c>
      <c r="J304" s="175"/>
      <c r="K304" s="175"/>
    </row>
    <row r="305" spans="1:11" x14ac:dyDescent="0.25">
      <c r="A305" s="175" t="str">
        <f t="shared" si="9"/>
        <v>X PPLG 2</v>
      </c>
      <c r="B305" s="175"/>
      <c r="C305" s="215">
        <f>'Short NIS'!A305</f>
        <v>102519788</v>
      </c>
      <c r="D305" s="216">
        <f>'Short NIS'!B305</f>
        <v>0</v>
      </c>
      <c r="E305" s="175" t="str">
        <f t="shared" si="10"/>
        <v>102519788 /   0</v>
      </c>
      <c r="F305" s="217" t="str">
        <f>'Short NIS'!C305</f>
        <v>TRIO ALGI FACHRI</v>
      </c>
      <c r="G305" s="218" t="str">
        <f>'Short NIS'!D305</f>
        <v>L</v>
      </c>
      <c r="H305" s="218" t="str">
        <f>'Short NIS'!E305</f>
        <v>X PPLG 2</v>
      </c>
      <c r="I305" s="219" t="s">
        <v>6383</v>
      </c>
      <c r="J305" s="175"/>
      <c r="K305" s="175"/>
    </row>
    <row r="306" spans="1:11" x14ac:dyDescent="0.25">
      <c r="A306" s="175" t="str">
        <f t="shared" si="9"/>
        <v>X PPLG 2</v>
      </c>
      <c r="B306" s="175"/>
      <c r="C306" s="215">
        <f>'Short NIS'!A306</f>
        <v>102519789</v>
      </c>
      <c r="D306" s="216" t="str">
        <f>'Short NIS'!B306</f>
        <v>0101429912</v>
      </c>
      <c r="E306" s="175" t="str">
        <f t="shared" si="10"/>
        <v>102519789 /   0101429912</v>
      </c>
      <c r="F306" s="217" t="str">
        <f>'Short NIS'!C306</f>
        <v>VIZZYA PUTRI RACHMAYANTI</v>
      </c>
      <c r="G306" s="218" t="str">
        <f>'Short NIS'!D306</f>
        <v>P</v>
      </c>
      <c r="H306" s="218" t="str">
        <f>'Short NIS'!E306</f>
        <v>X PPLG 2</v>
      </c>
      <c r="I306" s="219" t="s">
        <v>6383</v>
      </c>
      <c r="J306" s="175"/>
      <c r="K306" s="175"/>
    </row>
    <row r="307" spans="1:11" x14ac:dyDescent="0.25">
      <c r="A307" s="175" t="str">
        <f t="shared" si="9"/>
        <v>X PPLG 2</v>
      </c>
      <c r="B307" s="175"/>
      <c r="C307" s="215">
        <f>'Short NIS'!A307</f>
        <v>102519790</v>
      </c>
      <c r="D307" s="216">
        <f>'Short NIS'!B307</f>
        <v>0</v>
      </c>
      <c r="E307" s="175" t="str">
        <f t="shared" si="10"/>
        <v>102519790 /   0</v>
      </c>
      <c r="F307" s="217" t="str">
        <f>'Short NIS'!C307</f>
        <v>WAHYUNARA PASUNDAN</v>
      </c>
      <c r="G307" s="218" t="str">
        <f>'Short NIS'!D307</f>
        <v>L</v>
      </c>
      <c r="H307" s="218" t="str">
        <f>'Short NIS'!E307</f>
        <v>X PPLG 2</v>
      </c>
      <c r="I307" s="219" t="s">
        <v>6383</v>
      </c>
      <c r="J307" s="175"/>
      <c r="K307" s="175"/>
    </row>
    <row r="308" spans="1:11" x14ac:dyDescent="0.25">
      <c r="A308" s="175" t="str">
        <f t="shared" si="9"/>
        <v>X TJKT 1</v>
      </c>
      <c r="B308" s="175"/>
      <c r="C308" s="215">
        <f>'Short NIS'!A308</f>
        <v>102519831</v>
      </c>
      <c r="D308" s="216" t="str">
        <f>'Short NIS'!B308</f>
        <v>0091314527</v>
      </c>
      <c r="E308" s="175" t="str">
        <f t="shared" si="10"/>
        <v>102519831 /   0091314527</v>
      </c>
      <c r="F308" s="217" t="str">
        <f>'Short NIS'!C308</f>
        <v>ADITYA RAHMAT AL GHANI</v>
      </c>
      <c r="G308" s="218" t="str">
        <f>'Short NIS'!D308</f>
        <v>L</v>
      </c>
      <c r="H308" s="218" t="str">
        <f>'Short NIS'!E308</f>
        <v>X TJKT 1</v>
      </c>
      <c r="I308" s="219" t="s">
        <v>6384</v>
      </c>
      <c r="J308" s="175"/>
      <c r="K308" s="175"/>
    </row>
    <row r="309" spans="1:11" x14ac:dyDescent="0.25">
      <c r="A309" s="175" t="str">
        <f t="shared" si="9"/>
        <v>X TJKT 1</v>
      </c>
      <c r="B309" s="175"/>
      <c r="C309" s="215">
        <f>'Short NIS'!A309</f>
        <v>102519832</v>
      </c>
      <c r="D309" s="216" t="str">
        <f>'Short NIS'!B309</f>
        <v>0094691132</v>
      </c>
      <c r="E309" s="175" t="str">
        <f t="shared" si="10"/>
        <v>102519832 /   0094691132</v>
      </c>
      <c r="F309" s="217" t="str">
        <f>'Short NIS'!C309</f>
        <v>AGUS NUGRAHA</v>
      </c>
      <c r="G309" s="218" t="str">
        <f>'Short NIS'!D309</f>
        <v>L</v>
      </c>
      <c r="H309" s="218" t="str">
        <f>'Short NIS'!E309</f>
        <v>X TJKT 1</v>
      </c>
      <c r="I309" s="219" t="s">
        <v>6384</v>
      </c>
      <c r="J309" s="175"/>
      <c r="K309" s="175"/>
    </row>
    <row r="310" spans="1:11" x14ac:dyDescent="0.25">
      <c r="A310" s="175" t="str">
        <f t="shared" si="9"/>
        <v>X TJKT 1</v>
      </c>
      <c r="B310" s="175"/>
      <c r="C310" s="215">
        <f>'Short NIS'!A310</f>
        <v>102519833</v>
      </c>
      <c r="D310" s="216" t="str">
        <f>'Short NIS'!B310</f>
        <v>0108960636</v>
      </c>
      <c r="E310" s="175" t="str">
        <f t="shared" si="10"/>
        <v>102519833 /   0108960636</v>
      </c>
      <c r="F310" s="217" t="str">
        <f>'Short NIS'!C310</f>
        <v>AL GHAZALI ZIKHRULLAH AZHAR</v>
      </c>
      <c r="G310" s="218" t="str">
        <f>'Short NIS'!D310</f>
        <v>L</v>
      </c>
      <c r="H310" s="218" t="str">
        <f>'Short NIS'!E310</f>
        <v>X TJKT 1</v>
      </c>
      <c r="I310" s="219" t="s">
        <v>6384</v>
      </c>
      <c r="J310" s="175"/>
      <c r="K310" s="175"/>
    </row>
    <row r="311" spans="1:11" x14ac:dyDescent="0.25">
      <c r="A311" s="175" t="str">
        <f t="shared" si="9"/>
        <v>X TJKT 1</v>
      </c>
      <c r="B311" s="175"/>
      <c r="C311" s="215">
        <f>'Short NIS'!A311</f>
        <v>102519834</v>
      </c>
      <c r="D311" s="216" t="str">
        <f>'Short NIS'!B311</f>
        <v>0105777383</v>
      </c>
      <c r="E311" s="175" t="str">
        <f t="shared" si="10"/>
        <v>102519834 /   0105777383</v>
      </c>
      <c r="F311" s="217" t="str">
        <f>'Short NIS'!C311</f>
        <v>ALVIN MAULANA</v>
      </c>
      <c r="G311" s="218" t="str">
        <f>'Short NIS'!D311</f>
        <v>L</v>
      </c>
      <c r="H311" s="218" t="str">
        <f>'Short NIS'!E311</f>
        <v>X TJKT 1</v>
      </c>
      <c r="I311" s="219" t="s">
        <v>6384</v>
      </c>
      <c r="J311" s="175"/>
      <c r="K311" s="175"/>
    </row>
    <row r="312" spans="1:11" x14ac:dyDescent="0.25">
      <c r="A312" s="175" t="str">
        <f t="shared" si="9"/>
        <v>X TJKT 1</v>
      </c>
      <c r="B312" s="175"/>
      <c r="C312" s="215">
        <f>'Short NIS'!A312</f>
        <v>102519835</v>
      </c>
      <c r="D312" s="216" t="str">
        <f>'Short NIS'!B312</f>
        <v>0106985307</v>
      </c>
      <c r="E312" s="175" t="str">
        <f t="shared" si="10"/>
        <v>102519835 /   0106985307</v>
      </c>
      <c r="F312" s="217" t="str">
        <f>'Short NIS'!C312</f>
        <v>ARVIN DAIVA FAUZAN</v>
      </c>
      <c r="G312" s="218" t="str">
        <f>'Short NIS'!D312</f>
        <v>L</v>
      </c>
      <c r="H312" s="218" t="str">
        <f>'Short NIS'!E312</f>
        <v>X TJKT 1</v>
      </c>
      <c r="I312" s="219" t="s">
        <v>6384</v>
      </c>
      <c r="J312" s="175"/>
      <c r="K312" s="175"/>
    </row>
    <row r="313" spans="1:11" x14ac:dyDescent="0.25">
      <c r="A313" s="175" t="str">
        <f t="shared" si="9"/>
        <v>X TJKT 1</v>
      </c>
      <c r="B313" s="175"/>
      <c r="C313" s="215">
        <f>'Short NIS'!A313</f>
        <v>102519836</v>
      </c>
      <c r="D313" s="216" t="str">
        <f>'Short NIS'!B313</f>
        <v>0099707203</v>
      </c>
      <c r="E313" s="175" t="str">
        <f t="shared" si="10"/>
        <v>102519836 /   0099707203</v>
      </c>
      <c r="F313" s="217" t="str">
        <f>'Short NIS'!C313</f>
        <v>AURELIA KIRAN ZAINA</v>
      </c>
      <c r="G313" s="218" t="str">
        <f>'Short NIS'!D313</f>
        <v>P</v>
      </c>
      <c r="H313" s="218" t="str">
        <f>'Short NIS'!E313</f>
        <v>X TJKT 1</v>
      </c>
      <c r="I313" s="219" t="s">
        <v>6384</v>
      </c>
      <c r="J313" s="175"/>
      <c r="K313" s="175"/>
    </row>
    <row r="314" spans="1:11" x14ac:dyDescent="0.25">
      <c r="A314" s="175" t="str">
        <f t="shared" si="9"/>
        <v>X TJKT 1</v>
      </c>
      <c r="B314" s="175"/>
      <c r="C314" s="215">
        <f>'Short NIS'!A314</f>
        <v>102519837</v>
      </c>
      <c r="D314" s="216" t="str">
        <f>'Short NIS'!B314</f>
        <v>0098203882</v>
      </c>
      <c r="E314" s="175" t="str">
        <f t="shared" si="10"/>
        <v>102519837 /   0098203882</v>
      </c>
      <c r="F314" s="217" t="str">
        <f>'Short NIS'!C314</f>
        <v>BIMA ARYA WIBISONO</v>
      </c>
      <c r="G314" s="218" t="str">
        <f>'Short NIS'!D314</f>
        <v>L</v>
      </c>
      <c r="H314" s="218" t="str">
        <f>'Short NIS'!E314</f>
        <v>X TJKT 1</v>
      </c>
      <c r="I314" s="219" t="s">
        <v>6384</v>
      </c>
      <c r="J314" s="175"/>
      <c r="K314" s="175"/>
    </row>
    <row r="315" spans="1:11" x14ac:dyDescent="0.25">
      <c r="A315" s="175" t="str">
        <f t="shared" si="9"/>
        <v>X TJKT 1</v>
      </c>
      <c r="B315" s="175"/>
      <c r="C315" s="215">
        <f>'Short NIS'!A315</f>
        <v>102519838</v>
      </c>
      <c r="D315" s="216" t="str">
        <f>'Short NIS'!B315</f>
        <v>0105306344</v>
      </c>
      <c r="E315" s="175" t="str">
        <f t="shared" si="10"/>
        <v>102519838 /   0105306344</v>
      </c>
      <c r="F315" s="217" t="str">
        <f>'Short NIS'!C315</f>
        <v>DAFFA MUHAMMAD KHAIRAN</v>
      </c>
      <c r="G315" s="218" t="str">
        <f>'Short NIS'!D315</f>
        <v>L</v>
      </c>
      <c r="H315" s="218" t="str">
        <f>'Short NIS'!E315</f>
        <v>X TJKT 1</v>
      </c>
      <c r="I315" s="219" t="s">
        <v>6384</v>
      </c>
      <c r="J315" s="175"/>
      <c r="K315" s="175"/>
    </row>
    <row r="316" spans="1:11" x14ac:dyDescent="0.25">
      <c r="A316" s="175" t="str">
        <f t="shared" si="9"/>
        <v>X TJKT 1</v>
      </c>
      <c r="B316" s="175"/>
      <c r="C316" s="215">
        <f>'Short NIS'!A316</f>
        <v>102519839</v>
      </c>
      <c r="D316" s="216" t="str">
        <f>'Short NIS'!B316</f>
        <v>0107784085</v>
      </c>
      <c r="E316" s="175" t="str">
        <f t="shared" si="10"/>
        <v>102519839 /   0107784085</v>
      </c>
      <c r="F316" s="217" t="str">
        <f>'Short NIS'!C316</f>
        <v>DHIMAZ REKSA SUTARDIPRAJA</v>
      </c>
      <c r="G316" s="218" t="str">
        <f>'Short NIS'!D316</f>
        <v>L</v>
      </c>
      <c r="H316" s="218" t="str">
        <f>'Short NIS'!E316</f>
        <v>X TJKT 1</v>
      </c>
      <c r="I316" s="219" t="s">
        <v>6384</v>
      </c>
      <c r="J316" s="175"/>
      <c r="K316" s="175"/>
    </row>
    <row r="317" spans="1:11" x14ac:dyDescent="0.25">
      <c r="A317" s="175" t="str">
        <f t="shared" si="9"/>
        <v>X TJKT 1</v>
      </c>
      <c r="B317" s="175"/>
      <c r="C317" s="215">
        <f>'Short NIS'!A317</f>
        <v>102519840</v>
      </c>
      <c r="D317" s="216" t="str">
        <f>'Short NIS'!B317</f>
        <v>0095394337</v>
      </c>
      <c r="E317" s="175" t="str">
        <f t="shared" si="10"/>
        <v>102519840 /   0095394337</v>
      </c>
      <c r="F317" s="217" t="str">
        <f>'Short NIS'!C317</f>
        <v>FATHAN ARIF FATAH</v>
      </c>
      <c r="G317" s="218" t="str">
        <f>'Short NIS'!D317</f>
        <v>L</v>
      </c>
      <c r="H317" s="218" t="str">
        <f>'Short NIS'!E317</f>
        <v>X TJKT 1</v>
      </c>
      <c r="I317" s="219" t="s">
        <v>6384</v>
      </c>
      <c r="J317" s="175"/>
      <c r="K317" s="175"/>
    </row>
    <row r="318" spans="1:11" x14ac:dyDescent="0.25">
      <c r="A318" s="175" t="str">
        <f t="shared" si="9"/>
        <v>X TJKT 1</v>
      </c>
      <c r="B318" s="175"/>
      <c r="C318" s="215">
        <f>'Short NIS'!A318</f>
        <v>102519841</v>
      </c>
      <c r="D318" s="216" t="str">
        <f>'Short NIS'!B318</f>
        <v>0108033991</v>
      </c>
      <c r="E318" s="175" t="str">
        <f t="shared" si="10"/>
        <v>102519841 /   0108033991</v>
      </c>
      <c r="F318" s="217" t="str">
        <f>'Short NIS'!C318</f>
        <v>FATHIR ARYASATYA</v>
      </c>
      <c r="G318" s="218" t="str">
        <f>'Short NIS'!D318</f>
        <v>L</v>
      </c>
      <c r="H318" s="218" t="str">
        <f>'Short NIS'!E318</f>
        <v>X TJKT 1</v>
      </c>
      <c r="I318" s="219" t="s">
        <v>6384</v>
      </c>
      <c r="J318" s="175"/>
      <c r="K318" s="175"/>
    </row>
    <row r="319" spans="1:11" x14ac:dyDescent="0.25">
      <c r="A319" s="175" t="str">
        <f t="shared" si="9"/>
        <v>X TJKT 1</v>
      </c>
      <c r="B319" s="175"/>
      <c r="C319" s="215">
        <f>'Short NIS'!A319</f>
        <v>102519842</v>
      </c>
      <c r="D319" s="216" t="str">
        <f>'Short NIS'!B319</f>
        <v>3094533966</v>
      </c>
      <c r="E319" s="175" t="str">
        <f t="shared" si="10"/>
        <v>102519842 /   3094533966</v>
      </c>
      <c r="F319" s="217" t="str">
        <f>'Short NIS'!C319</f>
        <v>GALVIN CHESTA ADABI</v>
      </c>
      <c r="G319" s="218" t="str">
        <f>'Short NIS'!D319</f>
        <v>L</v>
      </c>
      <c r="H319" s="218" t="str">
        <f>'Short NIS'!E319</f>
        <v>X TJKT 1</v>
      </c>
      <c r="I319" s="219" t="s">
        <v>6384</v>
      </c>
      <c r="J319" s="175"/>
      <c r="K319" s="175"/>
    </row>
    <row r="320" spans="1:11" x14ac:dyDescent="0.25">
      <c r="A320" s="175" t="str">
        <f t="shared" ref="A320:A380" si="11">H320&amp;B320</f>
        <v>X TJKT 1</v>
      </c>
      <c r="B320" s="175"/>
      <c r="C320" s="215">
        <f>'Short NIS'!A320</f>
        <v>102519843</v>
      </c>
      <c r="D320" s="216" t="str">
        <f>'Short NIS'!B320</f>
        <v>0095718753</v>
      </c>
      <c r="E320" s="175" t="str">
        <f t="shared" si="10"/>
        <v>102519843 /   0095718753</v>
      </c>
      <c r="F320" s="217" t="str">
        <f>'Short NIS'!C320</f>
        <v>KEENAN AN NAAFI</v>
      </c>
      <c r="G320" s="218" t="str">
        <f>'Short NIS'!D320</f>
        <v>L</v>
      </c>
      <c r="H320" s="218" t="str">
        <f>'Short NIS'!E320</f>
        <v>X TJKT 1</v>
      </c>
      <c r="I320" s="219" t="s">
        <v>6384</v>
      </c>
      <c r="J320" s="175"/>
      <c r="K320" s="175"/>
    </row>
    <row r="321" spans="1:11" x14ac:dyDescent="0.25">
      <c r="A321" s="175" t="str">
        <f t="shared" si="11"/>
        <v>X TJKT 1</v>
      </c>
      <c r="B321" s="175"/>
      <c r="C321" s="215">
        <f>'Short NIS'!A321</f>
        <v>102519844</v>
      </c>
      <c r="D321" s="216" t="str">
        <f>'Short NIS'!B321</f>
        <v>0105967822</v>
      </c>
      <c r="E321" s="175" t="str">
        <f t="shared" si="10"/>
        <v>102519844 /   0105967822</v>
      </c>
      <c r="F321" s="217" t="str">
        <f>'Short NIS'!C321</f>
        <v>KEVIN FALLAH FRIANDIKA</v>
      </c>
      <c r="G321" s="218" t="str">
        <f>'Short NIS'!D321</f>
        <v>L</v>
      </c>
      <c r="H321" s="218" t="str">
        <f>'Short NIS'!E321</f>
        <v>X TJKT 1</v>
      </c>
      <c r="I321" s="219" t="s">
        <v>6384</v>
      </c>
      <c r="J321" s="175"/>
      <c r="K321" s="175"/>
    </row>
    <row r="322" spans="1:11" x14ac:dyDescent="0.25">
      <c r="A322" s="175" t="str">
        <f t="shared" si="11"/>
        <v>X TJKT 1</v>
      </c>
      <c r="B322" s="175"/>
      <c r="C322" s="215">
        <f>'Short NIS'!A322</f>
        <v>102519845</v>
      </c>
      <c r="D322" s="216" t="str">
        <f>'Short NIS'!B322</f>
        <v>0107918289</v>
      </c>
      <c r="E322" s="175" t="str">
        <f t="shared" si="10"/>
        <v>102519845 /   0107918289</v>
      </c>
      <c r="F322" s="217" t="str">
        <f>'Short NIS'!C322</f>
        <v>KHAERUNISHA MUTIARA RAHAYU</v>
      </c>
      <c r="G322" s="218" t="str">
        <f>'Short NIS'!D322</f>
        <v>P</v>
      </c>
      <c r="H322" s="218" t="str">
        <f>'Short NIS'!E322</f>
        <v>X TJKT 1</v>
      </c>
      <c r="I322" s="219" t="s">
        <v>6384</v>
      </c>
      <c r="J322" s="175"/>
      <c r="K322" s="175"/>
    </row>
    <row r="323" spans="1:11" x14ac:dyDescent="0.25">
      <c r="A323" s="175" t="str">
        <f t="shared" si="11"/>
        <v>X TJKT 1</v>
      </c>
      <c r="B323" s="175"/>
      <c r="C323" s="215">
        <f>'Short NIS'!A323</f>
        <v>102519846</v>
      </c>
      <c r="D323" s="216" t="str">
        <f>'Short NIS'!B323</f>
        <v>0105912416</v>
      </c>
      <c r="E323" s="175" t="str">
        <f t="shared" ref="E323:E386" si="12">C323&amp;" /   "&amp;D323</f>
        <v>102519846 /   0105912416</v>
      </c>
      <c r="F323" s="217" t="str">
        <f>'Short NIS'!C323</f>
        <v>LUTHFIKA AFWA DHOIFI AZIZA</v>
      </c>
      <c r="G323" s="218" t="str">
        <f>'Short NIS'!D323</f>
        <v>P</v>
      </c>
      <c r="H323" s="218" t="str">
        <f>'Short NIS'!E323</f>
        <v>X TJKT 1</v>
      </c>
      <c r="I323" s="219" t="s">
        <v>6384</v>
      </c>
      <c r="J323" s="175"/>
      <c r="K323" s="175"/>
    </row>
    <row r="324" spans="1:11" x14ac:dyDescent="0.25">
      <c r="A324" s="175" t="str">
        <f t="shared" si="11"/>
        <v>X TJKT 1</v>
      </c>
      <c r="B324" s="175"/>
      <c r="C324" s="215">
        <f>'Short NIS'!A324</f>
        <v>102519847</v>
      </c>
      <c r="D324" s="216" t="str">
        <f>'Short NIS'!B324</f>
        <v>0105868223</v>
      </c>
      <c r="E324" s="175" t="str">
        <f t="shared" si="12"/>
        <v>102519847 /   0105868223</v>
      </c>
      <c r="F324" s="217" t="str">
        <f>'Short NIS'!C324</f>
        <v>MOCHAMAD FADLAN ANSHARI</v>
      </c>
      <c r="G324" s="218" t="str">
        <f>'Short NIS'!D324</f>
        <v>L</v>
      </c>
      <c r="H324" s="218" t="str">
        <f>'Short NIS'!E324</f>
        <v>X TJKT 1</v>
      </c>
      <c r="I324" s="219" t="s">
        <v>6384</v>
      </c>
      <c r="J324" s="175"/>
      <c r="K324" s="175"/>
    </row>
    <row r="325" spans="1:11" x14ac:dyDescent="0.25">
      <c r="A325" s="175" t="str">
        <f t="shared" si="11"/>
        <v>X TJKT 1</v>
      </c>
      <c r="B325" s="175"/>
      <c r="C325" s="215">
        <f>'Short NIS'!A325</f>
        <v>102519848</v>
      </c>
      <c r="D325" s="216" t="str">
        <f>'Short NIS'!B325</f>
        <v>0099365436</v>
      </c>
      <c r="E325" s="175" t="str">
        <f t="shared" si="12"/>
        <v>102519848 /   0099365436</v>
      </c>
      <c r="F325" s="217" t="str">
        <f>'Short NIS'!C325</f>
        <v>MUHAMAD ADLAN</v>
      </c>
      <c r="G325" s="218" t="str">
        <f>'Short NIS'!D325</f>
        <v>L</v>
      </c>
      <c r="H325" s="218" t="str">
        <f>'Short NIS'!E325</f>
        <v>X TJKT 1</v>
      </c>
      <c r="I325" s="219" t="s">
        <v>6384</v>
      </c>
      <c r="J325" s="175"/>
      <c r="K325" s="175"/>
    </row>
    <row r="326" spans="1:11" x14ac:dyDescent="0.25">
      <c r="A326" s="175" t="str">
        <f t="shared" si="11"/>
        <v>X TJKT 1</v>
      </c>
      <c r="B326" s="175"/>
      <c r="C326" s="215">
        <f>'Short NIS'!A326</f>
        <v>102519849</v>
      </c>
      <c r="D326" s="216" t="str">
        <f>'Short NIS'!B326</f>
        <v>0105880285</v>
      </c>
      <c r="E326" s="175" t="str">
        <f t="shared" si="12"/>
        <v>102519849 /   0105880285</v>
      </c>
      <c r="F326" s="217" t="str">
        <f>'Short NIS'!C326</f>
        <v>MUHAMMAD FACHRI PUTRA</v>
      </c>
      <c r="G326" s="218" t="str">
        <f>'Short NIS'!D326</f>
        <v>L</v>
      </c>
      <c r="H326" s="218" t="str">
        <f>'Short NIS'!E326</f>
        <v>X TJKT 1</v>
      </c>
      <c r="I326" s="219" t="s">
        <v>6384</v>
      </c>
      <c r="J326" s="175"/>
      <c r="K326" s="175"/>
    </row>
    <row r="327" spans="1:11" x14ac:dyDescent="0.25">
      <c r="A327" s="175" t="str">
        <f t="shared" si="11"/>
        <v>X TJKT 1</v>
      </c>
      <c r="B327" s="175"/>
      <c r="C327" s="215">
        <f>'Short NIS'!A327</f>
        <v>102519850</v>
      </c>
      <c r="D327" s="216" t="str">
        <f>'Short NIS'!B327</f>
        <v>0103249022</v>
      </c>
      <c r="E327" s="175" t="str">
        <f t="shared" si="12"/>
        <v>102519850 /   0103249022</v>
      </c>
      <c r="F327" s="217" t="str">
        <f>'Short NIS'!C327</f>
        <v>MUHAMMAD LUTFI RIZKI PRATAMA</v>
      </c>
      <c r="G327" s="218" t="str">
        <f>'Short NIS'!D327</f>
        <v>L</v>
      </c>
      <c r="H327" s="218" t="str">
        <f>'Short NIS'!E327</f>
        <v>X TJKT 1</v>
      </c>
      <c r="I327" s="219" t="s">
        <v>6384</v>
      </c>
      <c r="J327" s="175"/>
      <c r="K327" s="175"/>
    </row>
    <row r="328" spans="1:11" x14ac:dyDescent="0.25">
      <c r="A328" s="175" t="str">
        <f t="shared" si="11"/>
        <v>X TJKT 1</v>
      </c>
      <c r="B328" s="175"/>
      <c r="C328" s="215">
        <f>'Short NIS'!A328</f>
        <v>102519851</v>
      </c>
      <c r="D328" s="216" t="str">
        <f>'Short NIS'!B328</f>
        <v>0097867669</v>
      </c>
      <c r="E328" s="175" t="str">
        <f t="shared" si="12"/>
        <v>102519851 /   0097867669</v>
      </c>
      <c r="F328" s="217" t="str">
        <f>'Short NIS'!C328</f>
        <v>MUHAMMAD NAUFAL AFKAR IDLANZAAHY</v>
      </c>
      <c r="G328" s="218" t="str">
        <f>'Short NIS'!D328</f>
        <v>L</v>
      </c>
      <c r="H328" s="218" t="str">
        <f>'Short NIS'!E328</f>
        <v>X TJKT 1</v>
      </c>
      <c r="I328" s="219" t="s">
        <v>6384</v>
      </c>
      <c r="J328" s="175"/>
      <c r="K328" s="175"/>
    </row>
    <row r="329" spans="1:11" x14ac:dyDescent="0.25">
      <c r="A329" s="175" t="str">
        <f t="shared" si="11"/>
        <v>X TJKT 1</v>
      </c>
      <c r="B329" s="175"/>
      <c r="C329" s="215">
        <f>'Short NIS'!A329</f>
        <v>102519852</v>
      </c>
      <c r="D329" s="216" t="str">
        <f>'Short NIS'!B329</f>
        <v>0099895057</v>
      </c>
      <c r="E329" s="175" t="str">
        <f t="shared" si="12"/>
        <v>102519852 /   0099895057</v>
      </c>
      <c r="F329" s="217" t="str">
        <f>'Short NIS'!C329</f>
        <v>MUHAMMAD RESKY AKBAR</v>
      </c>
      <c r="G329" s="218" t="str">
        <f>'Short NIS'!D329</f>
        <v>L</v>
      </c>
      <c r="H329" s="218" t="str">
        <f>'Short NIS'!E329</f>
        <v>X TJKT 1</v>
      </c>
      <c r="I329" s="219" t="s">
        <v>6384</v>
      </c>
      <c r="J329" s="175"/>
      <c r="K329" s="175"/>
    </row>
    <row r="330" spans="1:11" x14ac:dyDescent="0.25">
      <c r="A330" s="175" t="str">
        <f t="shared" si="11"/>
        <v>X TJKT 1</v>
      </c>
      <c r="B330" s="175"/>
      <c r="C330" s="215">
        <f>'Short NIS'!A330</f>
        <v>102519853</v>
      </c>
      <c r="D330" s="216" t="str">
        <f>'Short NIS'!B330</f>
        <v>0108996067</v>
      </c>
      <c r="E330" s="175" t="str">
        <f t="shared" si="12"/>
        <v>102519853 /   0108996067</v>
      </c>
      <c r="F330" s="217" t="str">
        <f>'Short NIS'!C330</f>
        <v>MUHAMMAD RIZKI JANUAR HENDRAWAN</v>
      </c>
      <c r="G330" s="218" t="str">
        <f>'Short NIS'!D330</f>
        <v>L</v>
      </c>
      <c r="H330" s="218" t="str">
        <f>'Short NIS'!E330</f>
        <v>X TJKT 1</v>
      </c>
      <c r="I330" s="219" t="s">
        <v>6384</v>
      </c>
      <c r="J330" s="175"/>
      <c r="K330" s="175"/>
    </row>
    <row r="331" spans="1:11" x14ac:dyDescent="0.25">
      <c r="A331" s="175" t="str">
        <f t="shared" si="11"/>
        <v>X TJKT 1</v>
      </c>
      <c r="B331" s="175"/>
      <c r="C331" s="215">
        <f>'Short NIS'!A331</f>
        <v>102519854</v>
      </c>
      <c r="D331" s="216" t="str">
        <f>'Short NIS'!B331</f>
        <v>0093962584</v>
      </c>
      <c r="E331" s="175" t="str">
        <f t="shared" si="12"/>
        <v>102519854 /   0093962584</v>
      </c>
      <c r="F331" s="217" t="str">
        <f>'Short NIS'!C331</f>
        <v>MUHAMMAD RIZKY RAMADHAN</v>
      </c>
      <c r="G331" s="218" t="str">
        <f>'Short NIS'!D331</f>
        <v>L</v>
      </c>
      <c r="H331" s="218" t="str">
        <f>'Short NIS'!E331</f>
        <v>X TJKT 1</v>
      </c>
      <c r="I331" s="219" t="s">
        <v>6384</v>
      </c>
      <c r="J331" s="175"/>
      <c r="K331" s="175"/>
    </row>
    <row r="332" spans="1:11" x14ac:dyDescent="0.25">
      <c r="A332" s="175" t="str">
        <f t="shared" si="11"/>
        <v>X TJKT 1</v>
      </c>
      <c r="B332" s="175"/>
      <c r="C332" s="215">
        <f>'Short NIS'!A332</f>
        <v>102519855</v>
      </c>
      <c r="D332" s="216" t="str">
        <f>'Short NIS'!B332</f>
        <v>3096660479</v>
      </c>
      <c r="E332" s="175" t="str">
        <f t="shared" si="12"/>
        <v>102519855 /   3096660479</v>
      </c>
      <c r="F332" s="217" t="str">
        <f>'Short NIS'!C332</f>
        <v>MUHAMMAD SHAFWAN ARDHANA ROMPAS</v>
      </c>
      <c r="G332" s="218" t="str">
        <f>'Short NIS'!D332</f>
        <v>L</v>
      </c>
      <c r="H332" s="218" t="str">
        <f>'Short NIS'!E332</f>
        <v>X TJKT 1</v>
      </c>
      <c r="I332" s="219" t="s">
        <v>6384</v>
      </c>
      <c r="J332" s="175"/>
      <c r="K332" s="175"/>
    </row>
    <row r="333" spans="1:11" x14ac:dyDescent="0.25">
      <c r="A333" s="175" t="str">
        <f t="shared" si="11"/>
        <v>X TJKT 1</v>
      </c>
      <c r="B333" s="175"/>
      <c r="C333" s="215">
        <f>'Short NIS'!A333</f>
        <v>102519856</v>
      </c>
      <c r="D333" s="216" t="str">
        <f>'Short NIS'!B333</f>
        <v>3098988404</v>
      </c>
      <c r="E333" s="175" t="str">
        <f t="shared" si="12"/>
        <v>102519856 /   3098988404</v>
      </c>
      <c r="F333" s="217" t="str">
        <f>'Short NIS'!C333</f>
        <v>NAUFAL AZALI DARAJAT</v>
      </c>
      <c r="G333" s="218" t="str">
        <f>'Short NIS'!D333</f>
        <v>L</v>
      </c>
      <c r="H333" s="218" t="str">
        <f>'Short NIS'!E333</f>
        <v>X TJKT 1</v>
      </c>
      <c r="I333" s="219" t="s">
        <v>6384</v>
      </c>
      <c r="J333" s="175"/>
      <c r="K333" s="175"/>
    </row>
    <row r="334" spans="1:11" x14ac:dyDescent="0.25">
      <c r="A334" s="175" t="str">
        <f t="shared" si="11"/>
        <v>X TJKT 1</v>
      </c>
      <c r="B334" s="175"/>
      <c r="C334" s="215">
        <f>'Short NIS'!A334</f>
        <v>102519857</v>
      </c>
      <c r="D334" s="216" t="str">
        <f>'Short NIS'!B334</f>
        <v>0092442477</v>
      </c>
      <c r="E334" s="175" t="str">
        <f t="shared" si="12"/>
        <v>102519857 /   0092442477</v>
      </c>
      <c r="F334" s="217" t="str">
        <f>'Short NIS'!C334</f>
        <v>PUTRI AJRINA NURSYIFA</v>
      </c>
      <c r="G334" s="218" t="str">
        <f>'Short NIS'!D334</f>
        <v>P</v>
      </c>
      <c r="H334" s="218" t="str">
        <f>'Short NIS'!E334</f>
        <v>X TJKT 1</v>
      </c>
      <c r="I334" s="219" t="s">
        <v>6384</v>
      </c>
      <c r="J334" s="175"/>
      <c r="K334" s="175"/>
    </row>
    <row r="335" spans="1:11" x14ac:dyDescent="0.25">
      <c r="A335" s="175" t="str">
        <f t="shared" si="11"/>
        <v>X TJKT 1</v>
      </c>
      <c r="B335" s="175"/>
      <c r="C335" s="215">
        <f>'Short NIS'!A335</f>
        <v>102519858</v>
      </c>
      <c r="D335" s="216" t="str">
        <f>'Short NIS'!B335</f>
        <v>3097984341</v>
      </c>
      <c r="E335" s="175" t="str">
        <f t="shared" si="12"/>
        <v>102519858 /   3097984341</v>
      </c>
      <c r="F335" s="217" t="str">
        <f>'Short NIS'!C335</f>
        <v>RAFI RIZQI MAULANA</v>
      </c>
      <c r="G335" s="218" t="str">
        <f>'Short NIS'!D335</f>
        <v>L</v>
      </c>
      <c r="H335" s="218" t="str">
        <f>'Short NIS'!E335</f>
        <v>X TJKT 1</v>
      </c>
      <c r="I335" s="219" t="s">
        <v>6384</v>
      </c>
      <c r="J335" s="175"/>
      <c r="K335" s="175"/>
    </row>
    <row r="336" spans="1:11" x14ac:dyDescent="0.25">
      <c r="A336" s="175" t="str">
        <f t="shared" si="11"/>
        <v>X TJKT 1</v>
      </c>
      <c r="B336" s="175"/>
      <c r="C336" s="215">
        <f>'Short NIS'!A336</f>
        <v>102519859</v>
      </c>
      <c r="D336" s="216" t="str">
        <f>'Short NIS'!B336</f>
        <v>0106558001</v>
      </c>
      <c r="E336" s="175" t="str">
        <f t="shared" si="12"/>
        <v>102519859 /   0106558001</v>
      </c>
      <c r="F336" s="217" t="str">
        <f>'Short NIS'!C336</f>
        <v>RAIHANDITYA ANDREW ARISTA</v>
      </c>
      <c r="G336" s="218" t="str">
        <f>'Short NIS'!D336</f>
        <v>L</v>
      </c>
      <c r="H336" s="218" t="str">
        <f>'Short NIS'!E336</f>
        <v>X TJKT 1</v>
      </c>
      <c r="I336" s="219" t="s">
        <v>6384</v>
      </c>
      <c r="J336" s="175"/>
      <c r="K336" s="175"/>
    </row>
    <row r="337" spans="1:11" x14ac:dyDescent="0.25">
      <c r="A337" s="175" t="str">
        <f t="shared" si="11"/>
        <v>X TJKT 1</v>
      </c>
      <c r="B337" s="175"/>
      <c r="C337" s="215">
        <f>'Short NIS'!A337</f>
        <v>102519860</v>
      </c>
      <c r="D337" s="216" t="str">
        <f>'Short NIS'!B337</f>
        <v>0094672744</v>
      </c>
      <c r="E337" s="175" t="str">
        <f t="shared" si="12"/>
        <v>102519860 /   0094672744</v>
      </c>
      <c r="F337" s="217" t="str">
        <f>'Short NIS'!C337</f>
        <v>RAJHA SUGIARTO</v>
      </c>
      <c r="G337" s="218" t="str">
        <f>'Short NIS'!D337</f>
        <v>L</v>
      </c>
      <c r="H337" s="218" t="str">
        <f>'Short NIS'!E337</f>
        <v>X TJKT 1</v>
      </c>
      <c r="I337" s="219" t="s">
        <v>6384</v>
      </c>
      <c r="J337" s="175"/>
      <c r="K337" s="175"/>
    </row>
    <row r="338" spans="1:11" x14ac:dyDescent="0.25">
      <c r="A338" s="175" t="str">
        <f t="shared" si="11"/>
        <v>X TJKT 1</v>
      </c>
      <c r="B338" s="175"/>
      <c r="C338" s="215">
        <f>'Short NIS'!A338</f>
        <v>102519861</v>
      </c>
      <c r="D338" s="216" t="str">
        <f>'Short NIS'!B338</f>
        <v>3109672352</v>
      </c>
      <c r="E338" s="175" t="str">
        <f t="shared" si="12"/>
        <v>102519861 /   3109672352</v>
      </c>
      <c r="F338" s="217" t="str">
        <f>'Short NIS'!C338</f>
        <v>REVAN FACHRYZAL HATAMI</v>
      </c>
      <c r="G338" s="218" t="str">
        <f>'Short NIS'!D338</f>
        <v>L</v>
      </c>
      <c r="H338" s="218" t="str">
        <f>'Short NIS'!E338</f>
        <v>X TJKT 1</v>
      </c>
      <c r="I338" s="219" t="s">
        <v>6384</v>
      </c>
      <c r="J338" s="175"/>
      <c r="K338" s="175"/>
    </row>
    <row r="339" spans="1:11" x14ac:dyDescent="0.25">
      <c r="A339" s="175" t="str">
        <f t="shared" si="11"/>
        <v>X TJKT 1</v>
      </c>
      <c r="B339" s="175"/>
      <c r="C339" s="215">
        <f>'Short NIS'!A339</f>
        <v>102519862</v>
      </c>
      <c r="D339" s="216" t="str">
        <f>'Short NIS'!B339</f>
        <v>0097336698</v>
      </c>
      <c r="E339" s="175" t="str">
        <f t="shared" si="12"/>
        <v>102519862 /   0097336698</v>
      </c>
      <c r="F339" s="217" t="str">
        <f>'Short NIS'!C339</f>
        <v>REZKY TRI HARDIKA</v>
      </c>
      <c r="G339" s="218" t="str">
        <f>'Short NIS'!D339</f>
        <v>L</v>
      </c>
      <c r="H339" s="218" t="str">
        <f>'Short NIS'!E339</f>
        <v>X TJKT 1</v>
      </c>
      <c r="I339" s="219" t="s">
        <v>6384</v>
      </c>
      <c r="J339" s="175"/>
      <c r="K339" s="175"/>
    </row>
    <row r="340" spans="1:11" x14ac:dyDescent="0.25">
      <c r="A340" s="175" t="str">
        <f t="shared" si="11"/>
        <v>X TJKT 1</v>
      </c>
      <c r="B340" s="175"/>
      <c r="C340" s="215">
        <f>'Short NIS'!A340</f>
        <v>102519863</v>
      </c>
      <c r="D340" s="216" t="str">
        <f>'Short NIS'!B340</f>
        <v>3106287035</v>
      </c>
      <c r="E340" s="175" t="str">
        <f t="shared" si="12"/>
        <v>102519863 /   3106287035</v>
      </c>
      <c r="F340" s="217" t="str">
        <f>'Short NIS'!C340</f>
        <v>RIFA ROBBI RADHIYYA</v>
      </c>
      <c r="G340" s="218" t="str">
        <f>'Short NIS'!D340</f>
        <v>P</v>
      </c>
      <c r="H340" s="218" t="str">
        <f>'Short NIS'!E340</f>
        <v>X TJKT 1</v>
      </c>
      <c r="I340" s="219" t="s">
        <v>6384</v>
      </c>
      <c r="J340" s="175"/>
      <c r="K340" s="175"/>
    </row>
    <row r="341" spans="1:11" x14ac:dyDescent="0.25">
      <c r="A341" s="175" t="str">
        <f t="shared" si="11"/>
        <v>X TJKT 1</v>
      </c>
      <c r="B341" s="175"/>
      <c r="C341" s="215">
        <f>'Short NIS'!A341</f>
        <v>102519864</v>
      </c>
      <c r="D341" s="216" t="str">
        <f>'Short NIS'!B341</f>
        <v>0091217657</v>
      </c>
      <c r="E341" s="175" t="str">
        <f t="shared" si="12"/>
        <v>102519864 /   0091217657</v>
      </c>
      <c r="F341" s="217" t="str">
        <f>'Short NIS'!C341</f>
        <v>SATRIA MAULANA A'DLY</v>
      </c>
      <c r="G341" s="218" t="str">
        <f>'Short NIS'!D341</f>
        <v>L</v>
      </c>
      <c r="H341" s="218" t="str">
        <f>'Short NIS'!E341</f>
        <v>X TJKT 1</v>
      </c>
      <c r="I341" s="219" t="s">
        <v>6384</v>
      </c>
      <c r="J341" s="175"/>
      <c r="K341" s="175"/>
    </row>
    <row r="342" spans="1:11" x14ac:dyDescent="0.25">
      <c r="A342" s="175" t="str">
        <f t="shared" si="11"/>
        <v>X TJKT 1</v>
      </c>
      <c r="B342" s="175"/>
      <c r="C342" s="215">
        <f>'Short NIS'!A342</f>
        <v>102519865</v>
      </c>
      <c r="D342" s="216" t="str">
        <f>'Short NIS'!B342</f>
        <v>0108102736</v>
      </c>
      <c r="E342" s="175" t="str">
        <f t="shared" si="12"/>
        <v>102519865 /   0108102736</v>
      </c>
      <c r="F342" s="217" t="str">
        <f>'Short NIS'!C342</f>
        <v>SHAFA ATHALIA PUTRI AZAHRA</v>
      </c>
      <c r="G342" s="218" t="str">
        <f>'Short NIS'!D342</f>
        <v>P</v>
      </c>
      <c r="H342" s="218" t="str">
        <f>'Short NIS'!E342</f>
        <v>X TJKT 1</v>
      </c>
      <c r="I342" s="219" t="s">
        <v>6384</v>
      </c>
      <c r="J342" s="175"/>
      <c r="K342" s="175"/>
    </row>
    <row r="343" spans="1:11" x14ac:dyDescent="0.25">
      <c r="A343" s="175" t="str">
        <f t="shared" si="11"/>
        <v>X TJKT 1</v>
      </c>
      <c r="B343" s="175"/>
      <c r="C343" s="215">
        <f>'Short NIS'!A343</f>
        <v>102519866</v>
      </c>
      <c r="D343" s="216" t="str">
        <f>'Short NIS'!B343</f>
        <v>0095421044</v>
      </c>
      <c r="E343" s="175" t="str">
        <f t="shared" si="12"/>
        <v>102519866 /   0095421044</v>
      </c>
      <c r="F343" s="217" t="str">
        <f>'Short NIS'!C343</f>
        <v>SYUKUR MEDALI AKBAR</v>
      </c>
      <c r="G343" s="218" t="str">
        <f>'Short NIS'!D343</f>
        <v>L</v>
      </c>
      <c r="H343" s="218" t="str">
        <f>'Short NIS'!E343</f>
        <v>X TJKT 1</v>
      </c>
      <c r="I343" s="219" t="s">
        <v>6384</v>
      </c>
      <c r="J343" s="175"/>
      <c r="K343" s="175"/>
    </row>
    <row r="344" spans="1:11" x14ac:dyDescent="0.25">
      <c r="A344" s="175" t="str">
        <f t="shared" si="11"/>
        <v>X TJKT 1</v>
      </c>
      <c r="B344" s="175"/>
      <c r="C344" s="215">
        <f>'Short NIS'!A344</f>
        <v>102519867</v>
      </c>
      <c r="D344" s="216" t="str">
        <f>'Short NIS'!B344</f>
        <v>0106882336</v>
      </c>
      <c r="E344" s="175" t="str">
        <f t="shared" si="12"/>
        <v>102519867 /   0106882336</v>
      </c>
      <c r="F344" s="217" t="str">
        <f>'Short NIS'!C344</f>
        <v>TABINA RAISSA</v>
      </c>
      <c r="G344" s="218" t="str">
        <f>'Short NIS'!D344</f>
        <v>P</v>
      </c>
      <c r="H344" s="218" t="str">
        <f>'Short NIS'!E344</f>
        <v>X TJKT 1</v>
      </c>
      <c r="I344" s="219" t="s">
        <v>6384</v>
      </c>
      <c r="J344" s="175"/>
      <c r="K344" s="175"/>
    </row>
    <row r="345" spans="1:11" x14ac:dyDescent="0.25">
      <c r="A345" s="175" t="str">
        <f t="shared" si="11"/>
        <v>X TJKT 1</v>
      </c>
      <c r="B345" s="175"/>
      <c r="C345" s="215">
        <f>'Short NIS'!A345</f>
        <v>102519868</v>
      </c>
      <c r="D345" s="216" t="str">
        <f>'Short NIS'!B345</f>
        <v>0095886829</v>
      </c>
      <c r="E345" s="175" t="str">
        <f t="shared" si="12"/>
        <v>102519868 /   0095886829</v>
      </c>
      <c r="F345" s="217" t="str">
        <f>'Short NIS'!C345</f>
        <v>VEGA FIRMANSYAH</v>
      </c>
      <c r="G345" s="218" t="str">
        <f>'Short NIS'!D345</f>
        <v>L</v>
      </c>
      <c r="H345" s="218" t="str">
        <f>'Short NIS'!E345</f>
        <v>X TJKT 1</v>
      </c>
      <c r="I345" s="219" t="s">
        <v>6384</v>
      </c>
      <c r="J345" s="175"/>
      <c r="K345" s="175"/>
    </row>
    <row r="346" spans="1:11" x14ac:dyDescent="0.25">
      <c r="A346" s="175" t="str">
        <f t="shared" si="11"/>
        <v>X TJKT 1</v>
      </c>
      <c r="B346" s="175"/>
      <c r="C346" s="215">
        <f>'Short NIS'!A346</f>
        <v>102519869</v>
      </c>
      <c r="D346" s="216" t="str">
        <f>'Short NIS'!B346</f>
        <v>3101261144</v>
      </c>
      <c r="E346" s="175" t="str">
        <f t="shared" si="12"/>
        <v>102519869 /   3101261144</v>
      </c>
      <c r="F346" s="217" t="str">
        <f>'Short NIS'!C346</f>
        <v>ZAKY ORLANDO IRAWAN</v>
      </c>
      <c r="G346" s="218" t="str">
        <f>'Short NIS'!D346</f>
        <v>L</v>
      </c>
      <c r="H346" s="218" t="str">
        <f>'Short NIS'!E346</f>
        <v>X TJKT 1</v>
      </c>
      <c r="I346" s="219" t="s">
        <v>6384</v>
      </c>
      <c r="J346" s="175"/>
      <c r="K346" s="175"/>
    </row>
    <row r="347" spans="1:11" x14ac:dyDescent="0.25">
      <c r="A347" s="175" t="str">
        <f t="shared" si="11"/>
        <v>X TJKT 2</v>
      </c>
      <c r="B347" s="175"/>
      <c r="C347" s="215">
        <f>'Short NIS'!A347</f>
        <v>102519870</v>
      </c>
      <c r="D347" s="216">
        <f>'Short NIS'!B347</f>
        <v>0</v>
      </c>
      <c r="E347" s="175" t="str">
        <f t="shared" si="12"/>
        <v>102519870 /   0</v>
      </c>
      <c r="F347" s="217" t="str">
        <f>'Short NIS'!C347</f>
        <v>ADITHYA SANGKHYLANG</v>
      </c>
      <c r="G347" s="218" t="str">
        <f>'Short NIS'!D347</f>
        <v>L</v>
      </c>
      <c r="H347" s="218" t="str">
        <f>'Short NIS'!E347</f>
        <v>X TJKT 2</v>
      </c>
      <c r="I347" s="219" t="s">
        <v>6385</v>
      </c>
      <c r="J347" s="175"/>
      <c r="K347" s="175"/>
    </row>
    <row r="348" spans="1:11" x14ac:dyDescent="0.25">
      <c r="A348" s="175" t="str">
        <f t="shared" si="11"/>
        <v>X TJKT 2</v>
      </c>
      <c r="B348" s="175"/>
      <c r="C348" s="215">
        <f>'Short NIS'!A348</f>
        <v>102519871</v>
      </c>
      <c r="D348" s="216" t="str">
        <f>'Short NIS'!B348</f>
        <v>0091414971</v>
      </c>
      <c r="E348" s="175" t="str">
        <f t="shared" si="12"/>
        <v>102519871 /   0091414971</v>
      </c>
      <c r="F348" s="217" t="str">
        <f>'Short NIS'!C348</f>
        <v>AIRA SUCI RAHMADANI</v>
      </c>
      <c r="G348" s="218" t="str">
        <f>'Short NIS'!D348</f>
        <v>P</v>
      </c>
      <c r="H348" s="218" t="str">
        <f>'Short NIS'!E348</f>
        <v>X TJKT 2</v>
      </c>
      <c r="I348" s="219" t="s">
        <v>6385</v>
      </c>
      <c r="J348" s="175"/>
      <c r="K348" s="175"/>
    </row>
    <row r="349" spans="1:11" x14ac:dyDescent="0.25">
      <c r="A349" s="175" t="str">
        <f t="shared" si="11"/>
        <v>X TJKT 2</v>
      </c>
      <c r="B349" s="175"/>
      <c r="C349" s="215">
        <f>'Short NIS'!A349</f>
        <v>102519872</v>
      </c>
      <c r="D349" s="216" t="str">
        <f>'Short NIS'!B349</f>
        <v>0098142420</v>
      </c>
      <c r="E349" s="175" t="str">
        <f t="shared" si="12"/>
        <v>102519872 /   0098142420</v>
      </c>
      <c r="F349" s="217" t="str">
        <f>'Short NIS'!C349</f>
        <v>ANDINY AZAHRA</v>
      </c>
      <c r="G349" s="218" t="str">
        <f>'Short NIS'!D349</f>
        <v>P</v>
      </c>
      <c r="H349" s="218" t="str">
        <f>'Short NIS'!E349</f>
        <v>X TJKT 2</v>
      </c>
      <c r="I349" s="219" t="s">
        <v>6385</v>
      </c>
      <c r="J349" s="175"/>
      <c r="K349" s="175"/>
    </row>
    <row r="350" spans="1:11" x14ac:dyDescent="0.25">
      <c r="A350" s="175" t="str">
        <f t="shared" si="11"/>
        <v>X TJKT 2</v>
      </c>
      <c r="B350" s="175"/>
      <c r="C350" s="215">
        <f>'Short NIS'!A350</f>
        <v>102519873</v>
      </c>
      <c r="D350" s="216">
        <f>'Short NIS'!B350</f>
        <v>0</v>
      </c>
      <c r="E350" s="175" t="str">
        <f t="shared" si="12"/>
        <v>102519873 /   0</v>
      </c>
      <c r="F350" s="217" t="str">
        <f>'Short NIS'!C350</f>
        <v>ANDRE FAZHAR RAMADHAN</v>
      </c>
      <c r="G350" s="218" t="str">
        <f>'Short NIS'!D350</f>
        <v>L</v>
      </c>
      <c r="H350" s="218" t="str">
        <f>'Short NIS'!E350</f>
        <v>X TJKT 2</v>
      </c>
      <c r="I350" s="219" t="s">
        <v>6385</v>
      </c>
      <c r="J350" s="175"/>
      <c r="K350" s="175"/>
    </row>
    <row r="351" spans="1:11" x14ac:dyDescent="0.25">
      <c r="A351" s="175" t="str">
        <f t="shared" si="11"/>
        <v>X TJKT 2</v>
      </c>
      <c r="B351" s="175"/>
      <c r="C351" s="215">
        <f>'Short NIS'!A351</f>
        <v>102519874</v>
      </c>
      <c r="D351" s="216" t="str">
        <f>'Short NIS'!B351</f>
        <v>0109448850</v>
      </c>
      <c r="E351" s="175" t="str">
        <f t="shared" si="12"/>
        <v>102519874 /   0109448850</v>
      </c>
      <c r="F351" s="217" t="str">
        <f>'Short NIS'!C351</f>
        <v>ARGA MAULANA</v>
      </c>
      <c r="G351" s="218" t="str">
        <f>'Short NIS'!D351</f>
        <v>L</v>
      </c>
      <c r="H351" s="218" t="str">
        <f>'Short NIS'!E351</f>
        <v>X TJKT 2</v>
      </c>
      <c r="I351" s="219" t="s">
        <v>6385</v>
      </c>
      <c r="J351" s="175"/>
      <c r="K351" s="175"/>
    </row>
    <row r="352" spans="1:11" x14ac:dyDescent="0.25">
      <c r="A352" s="175" t="str">
        <f t="shared" si="11"/>
        <v>X TJKT 2</v>
      </c>
      <c r="B352" s="175"/>
      <c r="C352" s="215">
        <f>'Short NIS'!A352</f>
        <v>102519875</v>
      </c>
      <c r="D352" s="216" t="str">
        <f>'Short NIS'!B352</f>
        <v>0095423074</v>
      </c>
      <c r="E352" s="175" t="str">
        <f t="shared" si="12"/>
        <v>102519875 /   0095423074</v>
      </c>
      <c r="F352" s="217" t="str">
        <f>'Short NIS'!C352</f>
        <v>ARWAN MUHAMMAD ILHAM</v>
      </c>
      <c r="G352" s="218" t="str">
        <f>'Short NIS'!D352</f>
        <v>L</v>
      </c>
      <c r="H352" s="218" t="str">
        <f>'Short NIS'!E352</f>
        <v>X TJKT 2</v>
      </c>
      <c r="I352" s="219" t="s">
        <v>6385</v>
      </c>
      <c r="J352" s="175"/>
      <c r="K352" s="175"/>
    </row>
    <row r="353" spans="1:11" x14ac:dyDescent="0.25">
      <c r="A353" s="175" t="str">
        <f t="shared" si="11"/>
        <v>X TJKT 2</v>
      </c>
      <c r="B353" s="175"/>
      <c r="C353" s="215">
        <f>'Short NIS'!A353</f>
        <v>102519876</v>
      </c>
      <c r="D353" s="216" t="str">
        <f>'Short NIS'!B353</f>
        <v>0094434107</v>
      </c>
      <c r="E353" s="175" t="str">
        <f t="shared" si="12"/>
        <v>102519876 /   0094434107</v>
      </c>
      <c r="F353" s="217" t="str">
        <f>'Short NIS'!C353</f>
        <v>ARYA MAULANA DIHARDJA</v>
      </c>
      <c r="G353" s="218" t="str">
        <f>'Short NIS'!D353</f>
        <v>L</v>
      </c>
      <c r="H353" s="218" t="str">
        <f>'Short NIS'!E353</f>
        <v>X TJKT 2</v>
      </c>
      <c r="I353" s="219" t="s">
        <v>6385</v>
      </c>
      <c r="J353" s="175"/>
      <c r="K353" s="175"/>
    </row>
    <row r="354" spans="1:11" x14ac:dyDescent="0.25">
      <c r="A354" s="175" t="str">
        <f t="shared" si="11"/>
        <v>X TJKT 2</v>
      </c>
      <c r="B354" s="175"/>
      <c r="C354" s="215">
        <f>'Short NIS'!A354</f>
        <v>102519877</v>
      </c>
      <c r="D354" s="216" t="str">
        <f>'Short NIS'!B354</f>
        <v>0102481525</v>
      </c>
      <c r="E354" s="175" t="str">
        <f t="shared" si="12"/>
        <v>102519877 /   0102481525</v>
      </c>
      <c r="F354" s="217" t="str">
        <f>'Short NIS'!C354</f>
        <v>ATAYA FAKHRI RISQULLAH</v>
      </c>
      <c r="G354" s="218" t="str">
        <f>'Short NIS'!D354</f>
        <v>L</v>
      </c>
      <c r="H354" s="218" t="str">
        <f>'Short NIS'!E354</f>
        <v>X TJKT 2</v>
      </c>
      <c r="I354" s="219" t="s">
        <v>6385</v>
      </c>
      <c r="J354" s="175"/>
      <c r="K354" s="175"/>
    </row>
    <row r="355" spans="1:11" x14ac:dyDescent="0.25">
      <c r="A355" s="175" t="str">
        <f t="shared" si="11"/>
        <v>X TJKT 2</v>
      </c>
      <c r="B355" s="175"/>
      <c r="C355" s="215">
        <f>'Short NIS'!A355</f>
        <v>102519878</v>
      </c>
      <c r="D355" s="216" t="str">
        <f>'Short NIS'!B355</f>
        <v>0107831672</v>
      </c>
      <c r="E355" s="175" t="str">
        <f t="shared" si="12"/>
        <v>102519878 /   0107831672</v>
      </c>
      <c r="F355" s="217" t="str">
        <f>'Short NIS'!C355</f>
        <v>AZELIA PIECESA</v>
      </c>
      <c r="G355" s="218" t="str">
        <f>'Short NIS'!D355</f>
        <v>P</v>
      </c>
      <c r="H355" s="218" t="str">
        <f>'Short NIS'!E355</f>
        <v>X TJKT 2</v>
      </c>
      <c r="I355" s="219" t="s">
        <v>6385</v>
      </c>
      <c r="J355" s="175"/>
      <c r="K355" s="175"/>
    </row>
    <row r="356" spans="1:11" x14ac:dyDescent="0.25">
      <c r="A356" s="175" t="str">
        <f t="shared" si="11"/>
        <v>X TJKT 2</v>
      </c>
      <c r="B356" s="175"/>
      <c r="C356" s="215">
        <f>'Short NIS'!A356</f>
        <v>102519879</v>
      </c>
      <c r="D356" s="216" t="str">
        <f>'Short NIS'!B356</f>
        <v>0096640879</v>
      </c>
      <c r="E356" s="175" t="str">
        <f t="shared" si="12"/>
        <v>102519879 /   0096640879</v>
      </c>
      <c r="F356" s="217" t="str">
        <f>'Short NIS'!C356</f>
        <v>DANNY PRATAMA</v>
      </c>
      <c r="G356" s="218" t="str">
        <f>'Short NIS'!D356</f>
        <v>L</v>
      </c>
      <c r="H356" s="218" t="str">
        <f>'Short NIS'!E356</f>
        <v>X TJKT 2</v>
      </c>
      <c r="I356" s="219" t="s">
        <v>6385</v>
      </c>
      <c r="J356" s="175"/>
      <c r="K356" s="175"/>
    </row>
    <row r="357" spans="1:11" x14ac:dyDescent="0.25">
      <c r="A357" s="175" t="str">
        <f t="shared" si="11"/>
        <v>X TJKT 2</v>
      </c>
      <c r="B357" s="175"/>
      <c r="C357" s="215">
        <f>'Short NIS'!A357</f>
        <v>102519880</v>
      </c>
      <c r="D357" s="216" t="str">
        <f>'Short NIS'!B357</f>
        <v>0102890302</v>
      </c>
      <c r="E357" s="175" t="str">
        <f t="shared" si="12"/>
        <v>102519880 /   0102890302</v>
      </c>
      <c r="F357" s="217" t="str">
        <f>'Short NIS'!C357</f>
        <v>DIKA CAHYA SAPUTRA</v>
      </c>
      <c r="G357" s="218" t="str">
        <f>'Short NIS'!D357</f>
        <v>L</v>
      </c>
      <c r="H357" s="218" t="str">
        <f>'Short NIS'!E357</f>
        <v>X TJKT 2</v>
      </c>
      <c r="I357" s="219" t="s">
        <v>6385</v>
      </c>
      <c r="J357" s="175"/>
      <c r="K357" s="175"/>
    </row>
    <row r="358" spans="1:11" x14ac:dyDescent="0.25">
      <c r="A358" s="175" t="str">
        <f t="shared" si="11"/>
        <v>X TJKT 2</v>
      </c>
      <c r="B358" s="175"/>
      <c r="C358" s="215">
        <f>'Short NIS'!A358</f>
        <v>102519881</v>
      </c>
      <c r="D358" s="216" t="str">
        <f>'Short NIS'!B358</f>
        <v>0106562369</v>
      </c>
      <c r="E358" s="175" t="str">
        <f t="shared" si="12"/>
        <v>102519881 /   0106562369</v>
      </c>
      <c r="F358" s="217" t="str">
        <f>'Short NIS'!C358</f>
        <v>EMIR RAFANSYAH WIBOWO</v>
      </c>
      <c r="G358" s="218" t="str">
        <f>'Short NIS'!D358</f>
        <v>L</v>
      </c>
      <c r="H358" s="218" t="str">
        <f>'Short NIS'!E358</f>
        <v>X TJKT 2</v>
      </c>
      <c r="I358" s="219" t="s">
        <v>6385</v>
      </c>
      <c r="J358" s="175"/>
      <c r="K358" s="175"/>
    </row>
    <row r="359" spans="1:11" x14ac:dyDescent="0.25">
      <c r="A359" s="175" t="str">
        <f t="shared" si="11"/>
        <v>X TJKT 2</v>
      </c>
      <c r="B359" s="175"/>
      <c r="C359" s="215">
        <f>'Short NIS'!A359</f>
        <v>102519882</v>
      </c>
      <c r="D359" s="216" t="str">
        <f>'Short NIS'!B359</f>
        <v>0097556617</v>
      </c>
      <c r="E359" s="175" t="str">
        <f t="shared" si="12"/>
        <v>102519882 /   0097556617</v>
      </c>
      <c r="F359" s="217" t="str">
        <f>'Short NIS'!C359</f>
        <v>FARIZ AKBAR KUSUMAH</v>
      </c>
      <c r="G359" s="218" t="str">
        <f>'Short NIS'!D359</f>
        <v>L</v>
      </c>
      <c r="H359" s="218" t="str">
        <f>'Short NIS'!E359</f>
        <v>X TJKT 2</v>
      </c>
      <c r="I359" s="219" t="s">
        <v>6385</v>
      </c>
      <c r="J359" s="175"/>
      <c r="K359" s="175"/>
    </row>
    <row r="360" spans="1:11" x14ac:dyDescent="0.25">
      <c r="A360" s="175" t="str">
        <f t="shared" si="11"/>
        <v>X TJKT 2</v>
      </c>
      <c r="B360" s="175"/>
      <c r="C360" s="215">
        <f>'Short NIS'!A360</f>
        <v>102519883</v>
      </c>
      <c r="D360" s="216">
        <f>'Short NIS'!B360</f>
        <v>0</v>
      </c>
      <c r="E360" s="175" t="str">
        <f t="shared" si="12"/>
        <v>102519883 /   0</v>
      </c>
      <c r="F360" s="217" t="str">
        <f>'Short NIS'!C360</f>
        <v>FIRDAUS ARIZAL HAKIM</v>
      </c>
      <c r="G360" s="218" t="str">
        <f>'Short NIS'!D360</f>
        <v>L</v>
      </c>
      <c r="H360" s="218" t="str">
        <f>'Short NIS'!E360</f>
        <v>X TJKT 2</v>
      </c>
      <c r="I360" s="219" t="s">
        <v>6385</v>
      </c>
      <c r="J360" s="175"/>
      <c r="K360" s="175"/>
    </row>
    <row r="361" spans="1:11" x14ac:dyDescent="0.25">
      <c r="A361" s="175" t="str">
        <f t="shared" si="11"/>
        <v>X TJKT 2</v>
      </c>
      <c r="B361" s="175"/>
      <c r="C361" s="215">
        <f>'Short NIS'!A361</f>
        <v>102519884</v>
      </c>
      <c r="D361" s="216" t="str">
        <f>'Short NIS'!B361</f>
        <v>0097167723</v>
      </c>
      <c r="E361" s="175" t="str">
        <f t="shared" si="12"/>
        <v>102519884 /   0097167723</v>
      </c>
      <c r="F361" s="217" t="str">
        <f>'Short NIS'!C361</f>
        <v>GEOVAN RIZQI PUTRANANDA SYAEFUDIN</v>
      </c>
      <c r="G361" s="218" t="str">
        <f>'Short NIS'!D361</f>
        <v>L</v>
      </c>
      <c r="H361" s="218" t="str">
        <f>'Short NIS'!E361</f>
        <v>X TJKT 2</v>
      </c>
      <c r="I361" s="219" t="s">
        <v>6385</v>
      </c>
      <c r="J361" s="175"/>
      <c r="K361" s="175"/>
    </row>
    <row r="362" spans="1:11" x14ac:dyDescent="0.25">
      <c r="A362" s="175" t="str">
        <f t="shared" si="11"/>
        <v>X TJKT 2</v>
      </c>
      <c r="B362" s="175"/>
      <c r="C362" s="215">
        <f>'Short NIS'!A362</f>
        <v>102519885</v>
      </c>
      <c r="D362" s="216" t="str">
        <f>'Short NIS'!B362</f>
        <v>0102179925</v>
      </c>
      <c r="E362" s="175" t="str">
        <f t="shared" si="12"/>
        <v>102519885 /   0102179925</v>
      </c>
      <c r="F362" s="217" t="str">
        <f>'Short NIS'!C362</f>
        <v>KAISA PUTRI</v>
      </c>
      <c r="G362" s="218" t="str">
        <f>'Short NIS'!D362</f>
        <v>P</v>
      </c>
      <c r="H362" s="218" t="str">
        <f>'Short NIS'!E362</f>
        <v>X TJKT 2</v>
      </c>
      <c r="I362" s="219" t="s">
        <v>6385</v>
      </c>
      <c r="J362" s="175"/>
      <c r="K362" s="175"/>
    </row>
    <row r="363" spans="1:11" x14ac:dyDescent="0.25">
      <c r="A363" s="175" t="str">
        <f t="shared" si="11"/>
        <v>X TJKT 2</v>
      </c>
      <c r="B363" s="175"/>
      <c r="C363" s="215">
        <f>'Short NIS'!A363</f>
        <v>102519886</v>
      </c>
      <c r="D363" s="216" t="str">
        <f>'Short NIS'!B363</f>
        <v>0081343730</v>
      </c>
      <c r="E363" s="175" t="str">
        <f t="shared" si="12"/>
        <v>102519886 /   0081343730</v>
      </c>
      <c r="F363" s="217" t="str">
        <f>'Short NIS'!C363</f>
        <v>LUKI SUBAGJA</v>
      </c>
      <c r="G363" s="218" t="str">
        <f>'Short NIS'!D363</f>
        <v>L</v>
      </c>
      <c r="H363" s="218" t="str">
        <f>'Short NIS'!E363</f>
        <v>X TJKT 2</v>
      </c>
      <c r="I363" s="219" t="s">
        <v>6385</v>
      </c>
      <c r="J363" s="175"/>
      <c r="K363" s="175"/>
    </row>
    <row r="364" spans="1:11" x14ac:dyDescent="0.25">
      <c r="A364" s="175" t="str">
        <f t="shared" si="11"/>
        <v>X TJKT 2</v>
      </c>
      <c r="B364" s="175"/>
      <c r="C364" s="215">
        <f>'Short NIS'!A364</f>
        <v>102519887</v>
      </c>
      <c r="D364" s="216" t="str">
        <f>'Short NIS'!B364</f>
        <v>0107931788</v>
      </c>
      <c r="E364" s="175" t="str">
        <f t="shared" si="12"/>
        <v>102519887 /   0107931788</v>
      </c>
      <c r="F364" s="217" t="str">
        <f>'Short NIS'!C364</f>
        <v>M. NAZRIL MAULANA SAPUTRA</v>
      </c>
      <c r="G364" s="218" t="str">
        <f>'Short NIS'!D364</f>
        <v>L</v>
      </c>
      <c r="H364" s="218" t="str">
        <f>'Short NIS'!E364</f>
        <v>X TJKT 2</v>
      </c>
      <c r="I364" s="219" t="s">
        <v>6385</v>
      </c>
      <c r="J364" s="175"/>
      <c r="K364" s="175"/>
    </row>
    <row r="365" spans="1:11" x14ac:dyDescent="0.25">
      <c r="A365" s="175" t="str">
        <f t="shared" si="11"/>
        <v>X TJKT 2</v>
      </c>
      <c r="B365" s="175"/>
      <c r="C365" s="215">
        <f>'Short NIS'!A365</f>
        <v>102519888</v>
      </c>
      <c r="D365" s="216" t="str">
        <f>'Short NIS'!B365</f>
        <v>0103640448</v>
      </c>
      <c r="E365" s="175" t="str">
        <f t="shared" si="12"/>
        <v>102519888 /   0103640448</v>
      </c>
      <c r="F365" s="217" t="str">
        <f>'Short NIS'!C365</f>
        <v>MARSYA AZAHRA</v>
      </c>
      <c r="G365" s="218" t="str">
        <f>'Short NIS'!D365</f>
        <v>P</v>
      </c>
      <c r="H365" s="218" t="str">
        <f>'Short NIS'!E365</f>
        <v>X TJKT 2</v>
      </c>
      <c r="I365" s="219" t="s">
        <v>6385</v>
      </c>
      <c r="J365" s="175"/>
      <c r="K365" s="175"/>
    </row>
    <row r="366" spans="1:11" x14ac:dyDescent="0.25">
      <c r="A366" s="175" t="str">
        <f t="shared" si="11"/>
        <v>X TJKT 2</v>
      </c>
      <c r="B366" s="175"/>
      <c r="C366" s="215">
        <f>'Short NIS'!A366</f>
        <v>102519889</v>
      </c>
      <c r="D366" s="216" t="str">
        <f>'Short NIS'!B366</f>
        <v>0092605880</v>
      </c>
      <c r="E366" s="175" t="str">
        <f t="shared" si="12"/>
        <v>102519889 /   0092605880</v>
      </c>
      <c r="F366" s="217" t="str">
        <f>'Short NIS'!C366</f>
        <v>MOCH DZAKI PUTRA ADHIYANTO</v>
      </c>
      <c r="G366" s="218" t="str">
        <f>'Short NIS'!D366</f>
        <v>L</v>
      </c>
      <c r="H366" s="218" t="str">
        <f>'Short NIS'!E366</f>
        <v>X TJKT 2</v>
      </c>
      <c r="I366" s="219" t="s">
        <v>6385</v>
      </c>
      <c r="J366" s="175"/>
      <c r="K366" s="175"/>
    </row>
    <row r="367" spans="1:11" x14ac:dyDescent="0.25">
      <c r="A367" s="175" t="str">
        <f t="shared" si="11"/>
        <v>X TJKT 2</v>
      </c>
      <c r="B367" s="175"/>
      <c r="C367" s="215">
        <f>'Short NIS'!A367</f>
        <v>102519890</v>
      </c>
      <c r="D367" s="216" t="str">
        <f>'Short NIS'!B367</f>
        <v>0106032347</v>
      </c>
      <c r="E367" s="175" t="str">
        <f t="shared" si="12"/>
        <v>102519890 /   0106032347</v>
      </c>
      <c r="F367" s="217" t="str">
        <f>'Short NIS'!C367</f>
        <v>MUHAMAD GIOVANNI PERDANA</v>
      </c>
      <c r="G367" s="218" t="str">
        <f>'Short NIS'!D367</f>
        <v>L</v>
      </c>
      <c r="H367" s="218" t="str">
        <f>'Short NIS'!E367</f>
        <v>X TJKT 2</v>
      </c>
      <c r="I367" s="219" t="s">
        <v>6385</v>
      </c>
      <c r="J367" s="175"/>
      <c r="K367" s="175"/>
    </row>
    <row r="368" spans="1:11" x14ac:dyDescent="0.25">
      <c r="A368" s="175" t="str">
        <f t="shared" si="11"/>
        <v>X TJKT 2</v>
      </c>
      <c r="B368" s="175"/>
      <c r="C368" s="215">
        <f>'Short NIS'!A368</f>
        <v>102519891</v>
      </c>
      <c r="D368" s="216" t="str">
        <f>'Short NIS'!B368</f>
        <v>0092406383</v>
      </c>
      <c r="E368" s="175" t="str">
        <f t="shared" si="12"/>
        <v>102519891 /   0092406383</v>
      </c>
      <c r="F368" s="217" t="str">
        <f>'Short NIS'!C368</f>
        <v>MUHAMMAD AKMAL LATIEF AZHAR</v>
      </c>
      <c r="G368" s="218" t="str">
        <f>'Short NIS'!D368</f>
        <v>L</v>
      </c>
      <c r="H368" s="218" t="str">
        <f>'Short NIS'!E368</f>
        <v>X TJKT 2</v>
      </c>
      <c r="I368" s="219" t="s">
        <v>6385</v>
      </c>
      <c r="J368" s="175"/>
      <c r="K368" s="175"/>
    </row>
    <row r="369" spans="1:11" x14ac:dyDescent="0.25">
      <c r="A369" s="175" t="str">
        <f t="shared" si="11"/>
        <v>X TJKT 2</v>
      </c>
      <c r="B369" s="175"/>
      <c r="C369" s="215">
        <f>'Short NIS'!A369</f>
        <v>102519892</v>
      </c>
      <c r="D369" s="216" t="str">
        <f>'Short NIS'!B369</f>
        <v>0096386627</v>
      </c>
      <c r="E369" s="175" t="str">
        <f t="shared" si="12"/>
        <v>102519892 /   0096386627</v>
      </c>
      <c r="F369" s="217" t="str">
        <f>'Short NIS'!C369</f>
        <v>MUHAMMAD RAFA RIZQ RAMADHAN RAKARSI</v>
      </c>
      <c r="G369" s="218" t="str">
        <f>'Short NIS'!D369</f>
        <v>L</v>
      </c>
      <c r="H369" s="218" t="str">
        <f>'Short NIS'!E369</f>
        <v>X TJKT 2</v>
      </c>
      <c r="I369" s="219" t="s">
        <v>6385</v>
      </c>
      <c r="J369" s="175"/>
      <c r="K369" s="175"/>
    </row>
    <row r="370" spans="1:11" x14ac:dyDescent="0.25">
      <c r="A370" s="175" t="str">
        <f t="shared" si="11"/>
        <v>X TJKT 2</v>
      </c>
      <c r="B370" s="175"/>
      <c r="C370" s="215">
        <f>'Short NIS'!A370</f>
        <v>102519893</v>
      </c>
      <c r="D370" s="216" t="str">
        <f>'Short NIS'!B370</f>
        <v>0091587183</v>
      </c>
      <c r="E370" s="175" t="str">
        <f t="shared" si="12"/>
        <v>102519893 /   0091587183</v>
      </c>
      <c r="F370" s="217" t="str">
        <f>'Short NIS'!C370</f>
        <v>MUHAMMAD RAIFA HERMAWAN</v>
      </c>
      <c r="G370" s="218" t="str">
        <f>'Short NIS'!D370</f>
        <v>L</v>
      </c>
      <c r="H370" s="218" t="str">
        <f>'Short NIS'!E370</f>
        <v>X TJKT 2</v>
      </c>
      <c r="I370" s="219" t="s">
        <v>6385</v>
      </c>
      <c r="J370" s="175"/>
      <c r="K370" s="175"/>
    </row>
    <row r="371" spans="1:11" x14ac:dyDescent="0.25">
      <c r="A371" s="175" t="str">
        <f t="shared" si="11"/>
        <v>X TJKT 2</v>
      </c>
      <c r="B371" s="175"/>
      <c r="C371" s="215">
        <f>'Short NIS'!A371</f>
        <v>102519894</v>
      </c>
      <c r="D371" s="216" t="str">
        <f>'Short NIS'!B371</f>
        <v>3086840255</v>
      </c>
      <c r="E371" s="175" t="str">
        <f t="shared" si="12"/>
        <v>102519894 /   3086840255</v>
      </c>
      <c r="F371" s="217" t="str">
        <f>'Short NIS'!C371</f>
        <v>RAFA HAFIDZ MUZAKKI</v>
      </c>
      <c r="G371" s="218" t="str">
        <f>'Short NIS'!D371</f>
        <v>L</v>
      </c>
      <c r="H371" s="218" t="str">
        <f>'Short NIS'!E371</f>
        <v>X TJKT 2</v>
      </c>
      <c r="I371" s="219" t="s">
        <v>6385</v>
      </c>
      <c r="J371" s="175"/>
      <c r="K371" s="175"/>
    </row>
    <row r="372" spans="1:11" x14ac:dyDescent="0.25">
      <c r="A372" s="175" t="str">
        <f t="shared" si="11"/>
        <v>X TJKT 2</v>
      </c>
      <c r="B372" s="175"/>
      <c r="C372" s="215">
        <f>'Short NIS'!A372</f>
        <v>102519895</v>
      </c>
      <c r="D372" s="216">
        <f>'Short NIS'!B372</f>
        <v>0</v>
      </c>
      <c r="E372" s="175" t="str">
        <f t="shared" si="12"/>
        <v>102519895 /   0</v>
      </c>
      <c r="F372" s="217" t="str">
        <f>'Short NIS'!C372</f>
        <v>RAFI PUTRA KURNIAWAN</v>
      </c>
      <c r="G372" s="218" t="str">
        <f>'Short NIS'!D372</f>
        <v>L</v>
      </c>
      <c r="H372" s="218" t="str">
        <f>'Short NIS'!E372</f>
        <v>X TJKT 2</v>
      </c>
      <c r="I372" s="219" t="s">
        <v>6385</v>
      </c>
      <c r="J372" s="175"/>
      <c r="K372" s="175"/>
    </row>
    <row r="373" spans="1:11" x14ac:dyDescent="0.25">
      <c r="A373" s="175" t="str">
        <f t="shared" si="11"/>
        <v>X TJKT 2</v>
      </c>
      <c r="B373" s="175"/>
      <c r="C373" s="215">
        <f>'Short NIS'!A373</f>
        <v>102519896</v>
      </c>
      <c r="D373" s="216" t="str">
        <f>'Short NIS'!B373</f>
        <v>0095508447</v>
      </c>
      <c r="E373" s="175" t="str">
        <f t="shared" si="12"/>
        <v>102519896 /   0095508447</v>
      </c>
      <c r="F373" s="217" t="str">
        <f>'Short NIS'!C373</f>
        <v>RANGGA MUKTI FAUZAN</v>
      </c>
      <c r="G373" s="218" t="str">
        <f>'Short NIS'!D373</f>
        <v>L</v>
      </c>
      <c r="H373" s="218" t="str">
        <f>'Short NIS'!E373</f>
        <v>X TJKT 2</v>
      </c>
      <c r="I373" s="219" t="s">
        <v>6385</v>
      </c>
      <c r="J373" s="175"/>
      <c r="K373" s="175"/>
    </row>
    <row r="374" spans="1:11" x14ac:dyDescent="0.25">
      <c r="A374" s="175" t="str">
        <f t="shared" si="11"/>
        <v>X TJKT 2</v>
      </c>
      <c r="B374" s="175"/>
      <c r="C374" s="215">
        <f>'Short NIS'!A374</f>
        <v>102519897</v>
      </c>
      <c r="D374" s="216">
        <f>'Short NIS'!B374</f>
        <v>0</v>
      </c>
      <c r="E374" s="175" t="str">
        <f t="shared" si="12"/>
        <v>102519897 /   0</v>
      </c>
      <c r="F374" s="217" t="str">
        <f>'Short NIS'!C374</f>
        <v>RAYI BAGOES PRABOWO WICAKSONO</v>
      </c>
      <c r="G374" s="218" t="str">
        <f>'Short NIS'!D374</f>
        <v>L</v>
      </c>
      <c r="H374" s="218" t="str">
        <f>'Short NIS'!E374</f>
        <v>X TJKT 2</v>
      </c>
      <c r="I374" s="219" t="s">
        <v>6385</v>
      </c>
      <c r="J374" s="175"/>
      <c r="K374" s="175"/>
    </row>
    <row r="375" spans="1:11" x14ac:dyDescent="0.25">
      <c r="A375" s="175" t="str">
        <f t="shared" si="11"/>
        <v>X TJKT 2</v>
      </c>
      <c r="B375" s="175"/>
      <c r="C375" s="215">
        <f>'Short NIS'!A375</f>
        <v>102519898</v>
      </c>
      <c r="D375" s="216" t="str">
        <f>'Short NIS'!B375</f>
        <v>0108603304</v>
      </c>
      <c r="E375" s="175" t="str">
        <f t="shared" si="12"/>
        <v>102519898 /   0108603304</v>
      </c>
      <c r="F375" s="217" t="str">
        <f>'Short NIS'!C375</f>
        <v>REGINA ZAHRA FADILAH</v>
      </c>
      <c r="G375" s="218" t="str">
        <f>'Short NIS'!D375</f>
        <v>P</v>
      </c>
      <c r="H375" s="218" t="str">
        <f>'Short NIS'!E375</f>
        <v>X TJKT 2</v>
      </c>
      <c r="I375" s="219" t="s">
        <v>6385</v>
      </c>
      <c r="J375" s="175"/>
      <c r="K375" s="175"/>
    </row>
    <row r="376" spans="1:11" x14ac:dyDescent="0.25">
      <c r="A376" s="175" t="str">
        <f t="shared" si="11"/>
        <v>X TJKT 2</v>
      </c>
      <c r="B376" s="175"/>
      <c r="C376" s="215">
        <f>'Short NIS'!A376</f>
        <v>102519899</v>
      </c>
      <c r="D376" s="216" t="str">
        <f>'Short NIS'!B376</f>
        <v>0103610581</v>
      </c>
      <c r="E376" s="175" t="str">
        <f t="shared" si="12"/>
        <v>102519899 /   0103610581</v>
      </c>
      <c r="F376" s="217" t="str">
        <f>'Short NIS'!C376</f>
        <v>RENDI ATAYA PRATAMA PUTRA</v>
      </c>
      <c r="G376" s="218" t="str">
        <f>'Short NIS'!D376</f>
        <v>L</v>
      </c>
      <c r="H376" s="218" t="str">
        <f>'Short NIS'!E376</f>
        <v>X TJKT 2</v>
      </c>
      <c r="I376" s="219" t="s">
        <v>6385</v>
      </c>
      <c r="J376" s="175"/>
      <c r="K376" s="175"/>
    </row>
    <row r="377" spans="1:11" x14ac:dyDescent="0.25">
      <c r="A377" s="175" t="str">
        <f t="shared" si="11"/>
        <v>X TJKT 2</v>
      </c>
      <c r="B377" s="168"/>
      <c r="C377" s="215">
        <f>'Short NIS'!A377</f>
        <v>102519900</v>
      </c>
      <c r="D377" s="216" t="str">
        <f>'Short NIS'!B377</f>
        <v>0093116113</v>
      </c>
      <c r="E377" s="175" t="str">
        <f t="shared" si="12"/>
        <v>102519900 /   0093116113</v>
      </c>
      <c r="F377" s="217" t="str">
        <f>'Short NIS'!C377</f>
        <v>REVAN FEBRIANSYAH</v>
      </c>
      <c r="G377" s="218" t="str">
        <f>'Short NIS'!D377</f>
        <v>L</v>
      </c>
      <c r="H377" s="218" t="str">
        <f>'Short NIS'!E377</f>
        <v>X TJKT 2</v>
      </c>
      <c r="I377" s="219" t="s">
        <v>6385</v>
      </c>
      <c r="J377" s="175"/>
      <c r="K377" s="175"/>
    </row>
    <row r="378" spans="1:11" x14ac:dyDescent="0.25">
      <c r="A378" s="175" t="str">
        <f t="shared" si="11"/>
        <v>X TJKT 2</v>
      </c>
      <c r="B378" s="175"/>
      <c r="C378" s="215">
        <f>'Short NIS'!A378</f>
        <v>102519901</v>
      </c>
      <c r="D378" s="216" t="str">
        <f>'Short NIS'!B378</f>
        <v>0097920160</v>
      </c>
      <c r="E378" s="175" t="str">
        <f t="shared" si="12"/>
        <v>102519901 /   0097920160</v>
      </c>
      <c r="F378" s="217" t="str">
        <f>'Short NIS'!C378</f>
        <v>REZKY PUTRA MAHARDIKA</v>
      </c>
      <c r="G378" s="218" t="str">
        <f>'Short NIS'!D378</f>
        <v>L</v>
      </c>
      <c r="H378" s="218" t="str">
        <f>'Short NIS'!E378</f>
        <v>X TJKT 2</v>
      </c>
      <c r="I378" s="219" t="s">
        <v>6385</v>
      </c>
      <c r="J378" s="175"/>
      <c r="K378" s="175"/>
    </row>
    <row r="379" spans="1:11" x14ac:dyDescent="0.25">
      <c r="A379" s="175" t="str">
        <f t="shared" si="11"/>
        <v>X TJKT 2</v>
      </c>
      <c r="B379" s="175"/>
      <c r="C379" s="215">
        <f>'Short NIS'!A379</f>
        <v>102519902</v>
      </c>
      <c r="D379" s="216" t="str">
        <f>'Short NIS'!B379</f>
        <v>0096199620</v>
      </c>
      <c r="E379" s="175" t="str">
        <f t="shared" si="12"/>
        <v>102519902 /   0096199620</v>
      </c>
      <c r="F379" s="217" t="str">
        <f>'Short NIS'!C379</f>
        <v>RIJAL MUHAMAD</v>
      </c>
      <c r="G379" s="218" t="str">
        <f>'Short NIS'!D379</f>
        <v>L</v>
      </c>
      <c r="H379" s="218" t="str">
        <f>'Short NIS'!E379</f>
        <v>X TJKT 2</v>
      </c>
      <c r="I379" s="219" t="s">
        <v>6385</v>
      </c>
      <c r="J379" s="175"/>
      <c r="K379" s="175"/>
    </row>
    <row r="380" spans="1:11" x14ac:dyDescent="0.25">
      <c r="A380" s="175" t="str">
        <f t="shared" si="11"/>
        <v>X TJKT 2</v>
      </c>
      <c r="B380" s="175"/>
      <c r="C380" s="215">
        <f>'Short NIS'!A380</f>
        <v>102519903</v>
      </c>
      <c r="D380" s="216" t="str">
        <f>'Short NIS'!B380</f>
        <v>0097140854</v>
      </c>
      <c r="E380" s="175" t="str">
        <f t="shared" si="12"/>
        <v>102519903 /   0097140854</v>
      </c>
      <c r="F380" s="217" t="str">
        <f>'Short NIS'!C380</f>
        <v>RIVALDO RAFFAEL</v>
      </c>
      <c r="G380" s="218" t="str">
        <f>'Short NIS'!D380</f>
        <v>L</v>
      </c>
      <c r="H380" s="218" t="str">
        <f>'Short NIS'!E380</f>
        <v>X TJKT 2</v>
      </c>
      <c r="I380" s="219" t="s">
        <v>6385</v>
      </c>
      <c r="J380" s="175"/>
      <c r="K380" s="175"/>
    </row>
    <row r="381" spans="1:11" x14ac:dyDescent="0.25">
      <c r="A381" s="175" t="str">
        <f t="shared" ref="A381:A391" si="13">H381&amp;B381</f>
        <v>X TJKT 2</v>
      </c>
      <c r="B381" s="175"/>
      <c r="C381" s="215">
        <f>'Short NIS'!A381</f>
        <v>102519904</v>
      </c>
      <c r="D381" s="216" t="str">
        <f>'Short NIS'!B381</f>
        <v>0097401082</v>
      </c>
      <c r="E381" s="175" t="str">
        <f t="shared" si="12"/>
        <v>102519904 /   0097401082</v>
      </c>
      <c r="F381" s="217" t="str">
        <f>'Short NIS'!C381</f>
        <v>RIZAL RAMADHANI PRATAMA</v>
      </c>
      <c r="G381" s="218" t="str">
        <f>'Short NIS'!D381</f>
        <v>L</v>
      </c>
      <c r="H381" s="218" t="str">
        <f>'Short NIS'!E381</f>
        <v>X TJKT 2</v>
      </c>
      <c r="I381" s="219" t="s">
        <v>6385</v>
      </c>
      <c r="J381" s="175"/>
      <c r="K381" s="175"/>
    </row>
    <row r="382" spans="1:11" x14ac:dyDescent="0.25">
      <c r="A382" s="175" t="str">
        <f t="shared" si="13"/>
        <v>X TJKT 2</v>
      </c>
      <c r="B382" s="175"/>
      <c r="C382" s="215">
        <f>'Short NIS'!A382</f>
        <v>102519905</v>
      </c>
      <c r="D382" s="216" t="str">
        <f>'Short NIS'!B382</f>
        <v>0094126827</v>
      </c>
      <c r="E382" s="175" t="str">
        <f t="shared" si="12"/>
        <v>102519905 /   0094126827</v>
      </c>
      <c r="F382" s="217" t="str">
        <f>'Short NIS'!C382</f>
        <v>SATRIA PRATAMA WIBIKSANA</v>
      </c>
      <c r="G382" s="218" t="str">
        <f>'Short NIS'!D382</f>
        <v>L</v>
      </c>
      <c r="H382" s="218" t="str">
        <f>'Short NIS'!E382</f>
        <v>X TJKT 2</v>
      </c>
      <c r="I382" s="219" t="s">
        <v>6385</v>
      </c>
      <c r="J382" s="175"/>
      <c r="K382" s="175"/>
    </row>
    <row r="383" spans="1:11" x14ac:dyDescent="0.25">
      <c r="A383" s="175" t="str">
        <f t="shared" si="13"/>
        <v>X TJKT 2</v>
      </c>
      <c r="B383" s="175"/>
      <c r="C383" s="215">
        <f>'Short NIS'!A383</f>
        <v>102519906</v>
      </c>
      <c r="D383" s="216" t="str">
        <f>'Short NIS'!B383</f>
        <v>0092017600</v>
      </c>
      <c r="E383" s="175" t="str">
        <f t="shared" si="12"/>
        <v>102519906 /   0092017600</v>
      </c>
      <c r="F383" s="217" t="str">
        <f>'Short NIS'!C383</f>
        <v>SONI SEPTIAN</v>
      </c>
      <c r="G383" s="218" t="str">
        <f>'Short NIS'!D383</f>
        <v>L</v>
      </c>
      <c r="H383" s="218" t="str">
        <f>'Short NIS'!E383</f>
        <v>X TJKT 2</v>
      </c>
      <c r="I383" s="219" t="s">
        <v>6385</v>
      </c>
      <c r="J383" s="175"/>
      <c r="K383" s="175"/>
    </row>
    <row r="384" spans="1:11" x14ac:dyDescent="0.25">
      <c r="A384" s="175" t="str">
        <f t="shared" si="13"/>
        <v>X TJKT 2</v>
      </c>
      <c r="B384" s="175"/>
      <c r="C384" s="215">
        <f>'Short NIS'!A384</f>
        <v>102519907</v>
      </c>
      <c r="D384" s="216" t="str">
        <f>'Short NIS'!B384</f>
        <v>0095634684</v>
      </c>
      <c r="E384" s="175" t="str">
        <f t="shared" si="12"/>
        <v>102519907 /   0095634684</v>
      </c>
      <c r="F384" s="217" t="str">
        <f>'Short NIS'!C384</f>
        <v>SURYALANA</v>
      </c>
      <c r="G384" s="218" t="str">
        <f>'Short NIS'!D384</f>
        <v>L</v>
      </c>
      <c r="H384" s="218" t="str">
        <f>'Short NIS'!E384</f>
        <v>X TJKT 2</v>
      </c>
      <c r="I384" s="219" t="s">
        <v>6385</v>
      </c>
      <c r="J384" s="175"/>
      <c r="K384" s="175"/>
    </row>
    <row r="385" spans="1:11" x14ac:dyDescent="0.25">
      <c r="A385" s="175" t="str">
        <f t="shared" si="13"/>
        <v>X TJKT 2</v>
      </c>
      <c r="B385" s="175"/>
      <c r="C385" s="215">
        <f>'Short NIS'!A385</f>
        <v>102519908</v>
      </c>
      <c r="D385" s="216" t="str">
        <f>'Short NIS'!B385</f>
        <v>0096427445</v>
      </c>
      <c r="E385" s="175" t="str">
        <f t="shared" si="12"/>
        <v>102519908 /   0096427445</v>
      </c>
      <c r="F385" s="217" t="str">
        <f>'Short NIS'!C385</f>
        <v>YEFTA SIMAMORA</v>
      </c>
      <c r="G385" s="218" t="str">
        <f>'Short NIS'!D385</f>
        <v>L</v>
      </c>
      <c r="H385" s="218" t="str">
        <f>'Short NIS'!E385</f>
        <v>X TJKT 2</v>
      </c>
      <c r="I385" s="219" t="s">
        <v>6385</v>
      </c>
      <c r="J385" s="175"/>
      <c r="K385" s="175"/>
    </row>
    <row r="386" spans="1:11" x14ac:dyDescent="0.25">
      <c r="A386" s="175" t="str">
        <f t="shared" si="13"/>
        <v>X TJKT 2</v>
      </c>
      <c r="B386" s="175"/>
      <c r="C386" s="215">
        <f>'Short NIS'!A386</f>
        <v>102519909</v>
      </c>
      <c r="D386" s="216">
        <f>'Short NIS'!B386</f>
        <v>0</v>
      </c>
      <c r="E386" s="175" t="str">
        <f t="shared" si="12"/>
        <v>102519909 /   0</v>
      </c>
      <c r="F386" s="217" t="str">
        <f>'Short NIS'!C386</f>
        <v>ZAHRA FHATIE MATUNISA</v>
      </c>
      <c r="G386" s="218" t="str">
        <f>'Short NIS'!D386</f>
        <v>P</v>
      </c>
      <c r="H386" s="218" t="str">
        <f>'Short NIS'!E386</f>
        <v>X TJKT 2</v>
      </c>
      <c r="I386" s="219" t="s">
        <v>6385</v>
      </c>
      <c r="J386" s="175"/>
      <c r="K386" s="175"/>
    </row>
    <row r="387" spans="1:11" ht="15.75" x14ac:dyDescent="0.25">
      <c r="A387" s="175" t="str">
        <f t="shared" si="13"/>
        <v>X TJKT 3</v>
      </c>
      <c r="B387" s="223"/>
      <c r="C387" s="215">
        <f>'Short NIS'!A387</f>
        <v>102519910</v>
      </c>
      <c r="D387" s="216" t="str">
        <f>'Short NIS'!B387</f>
        <v>0099031300</v>
      </c>
      <c r="E387" s="175" t="str">
        <f t="shared" ref="E387:E391" si="14">C387&amp;" /   "&amp;D387</f>
        <v>102519910 /   0099031300</v>
      </c>
      <c r="F387" s="217" t="str">
        <f>'Short NIS'!C387</f>
        <v>ALFAN SA'BAN GIFARI</v>
      </c>
      <c r="G387" s="218" t="str">
        <f>'Short NIS'!D387</f>
        <v>L</v>
      </c>
      <c r="H387" s="218" t="str">
        <f>'Short NIS'!E387</f>
        <v>X TJKT 3</v>
      </c>
      <c r="I387" s="219" t="s">
        <v>6386</v>
      </c>
      <c r="J387" s="175"/>
      <c r="K387" s="175"/>
    </row>
    <row r="388" spans="1:11" x14ac:dyDescent="0.25">
      <c r="A388" s="175" t="str">
        <f t="shared" si="13"/>
        <v>X TJKT 3</v>
      </c>
      <c r="B388" s="168"/>
      <c r="C388" s="215">
        <f>'Short NIS'!A388</f>
        <v>102519911</v>
      </c>
      <c r="D388" s="216" t="str">
        <f>'Short NIS'!B388</f>
        <v>0098277639</v>
      </c>
      <c r="E388" s="175" t="str">
        <f t="shared" si="14"/>
        <v>102519911 /   0098277639</v>
      </c>
      <c r="F388" s="217" t="str">
        <f>'Short NIS'!C388</f>
        <v>AMALIA DWI LESTARI</v>
      </c>
      <c r="G388" s="218" t="str">
        <f>'Short NIS'!D388</f>
        <v>P</v>
      </c>
      <c r="H388" s="218" t="str">
        <f>'Short NIS'!E388</f>
        <v>X TJKT 3</v>
      </c>
      <c r="I388" s="219" t="s">
        <v>6386</v>
      </c>
      <c r="J388" s="175"/>
      <c r="K388" s="175"/>
    </row>
    <row r="389" spans="1:11" x14ac:dyDescent="0.25">
      <c r="A389" s="175" t="str">
        <f t="shared" si="13"/>
        <v>X TJKT 3</v>
      </c>
      <c r="B389" s="168"/>
      <c r="C389" s="215">
        <f>'Short NIS'!A389</f>
        <v>102519912</v>
      </c>
      <c r="D389" s="216" t="str">
        <f>'Short NIS'!B389</f>
        <v>0092338125</v>
      </c>
      <c r="E389" s="175" t="str">
        <f t="shared" si="14"/>
        <v>102519912 /   0092338125</v>
      </c>
      <c r="F389" s="217" t="str">
        <f>'Short NIS'!C389</f>
        <v>ANDYANA KUSNADI</v>
      </c>
      <c r="G389" s="218" t="str">
        <f>'Short NIS'!D389</f>
        <v>L</v>
      </c>
      <c r="H389" s="218" t="str">
        <f>'Short NIS'!E389</f>
        <v>X TJKT 3</v>
      </c>
      <c r="I389" s="219" t="s">
        <v>6386</v>
      </c>
      <c r="J389" s="175"/>
      <c r="K389" s="175"/>
    </row>
    <row r="390" spans="1:11" x14ac:dyDescent="0.25">
      <c r="A390" s="175" t="str">
        <f t="shared" si="13"/>
        <v>X TJKT 3</v>
      </c>
      <c r="B390" s="168"/>
      <c r="C390" s="215">
        <f>'Short NIS'!A390</f>
        <v>102519913</v>
      </c>
      <c r="D390" s="216" t="str">
        <f>'Short NIS'!B390</f>
        <v>0092157814</v>
      </c>
      <c r="E390" s="175" t="str">
        <f t="shared" si="14"/>
        <v>102519913 /   0092157814</v>
      </c>
      <c r="F390" s="217" t="str">
        <f>'Short NIS'!C390</f>
        <v>ARIA GUSTIAN</v>
      </c>
      <c r="G390" s="218" t="str">
        <f>'Short NIS'!D390</f>
        <v>L</v>
      </c>
      <c r="H390" s="218" t="str">
        <f>'Short NIS'!E390</f>
        <v>X TJKT 3</v>
      </c>
      <c r="I390" s="219" t="s">
        <v>6386</v>
      </c>
      <c r="J390" s="175"/>
      <c r="K390" s="175"/>
    </row>
    <row r="391" spans="1:11" x14ac:dyDescent="0.25">
      <c r="A391" s="175" t="str">
        <f t="shared" si="13"/>
        <v>X TJKT 3</v>
      </c>
      <c r="B391" s="168"/>
      <c r="C391" s="215">
        <f>'Short NIS'!A391</f>
        <v>102519914</v>
      </c>
      <c r="D391" s="216" t="str">
        <f>'Short NIS'!B391</f>
        <v>3095931203</v>
      </c>
      <c r="E391" s="175" t="str">
        <f t="shared" si="14"/>
        <v>102519914 /   3095931203</v>
      </c>
      <c r="F391" s="217" t="str">
        <f>'Short NIS'!C391</f>
        <v>ARUNGGA TOSANAJI BENTZEMA</v>
      </c>
      <c r="G391" s="218" t="str">
        <f>'Short NIS'!D391</f>
        <v>L</v>
      </c>
      <c r="H391" s="218" t="str">
        <f>'Short NIS'!E391</f>
        <v>X TJKT 3</v>
      </c>
      <c r="I391" s="219" t="s">
        <v>6386</v>
      </c>
      <c r="J391" s="175"/>
      <c r="K391" s="175"/>
    </row>
    <row r="392" spans="1:11" x14ac:dyDescent="0.25">
      <c r="A392" s="175" t="str">
        <f t="shared" ref="A392:A422" si="15">H392&amp;B392</f>
        <v>X TJKT 3</v>
      </c>
      <c r="B392" s="168"/>
      <c r="C392" s="215">
        <f>'Short NIS'!A392</f>
        <v>102519915</v>
      </c>
      <c r="D392" s="216" t="str">
        <f>'Short NIS'!B392</f>
        <v>0091925107</v>
      </c>
      <c r="E392" s="175" t="str">
        <f t="shared" ref="E392:E422" si="16">C392&amp;" /   "&amp;D392</f>
        <v>102519915 /   0091925107</v>
      </c>
      <c r="F392" s="217" t="str">
        <f>'Short NIS'!C392</f>
        <v>CAHYANDI RIZQI MAULID</v>
      </c>
      <c r="G392" s="218" t="str">
        <f>'Short NIS'!D392</f>
        <v>L</v>
      </c>
      <c r="H392" s="218" t="str">
        <f>'Short NIS'!E392</f>
        <v>X TJKT 3</v>
      </c>
      <c r="I392" s="219" t="s">
        <v>6386</v>
      </c>
    </row>
    <row r="393" spans="1:11" x14ac:dyDescent="0.25">
      <c r="A393" s="175" t="str">
        <f t="shared" si="15"/>
        <v>X TJKT 3</v>
      </c>
      <c r="B393" s="168"/>
      <c r="C393" s="215">
        <f>'Short NIS'!A393</f>
        <v>102519916</v>
      </c>
      <c r="D393" s="216">
        <f>'Short NIS'!B393</f>
        <v>0</v>
      </c>
      <c r="E393" s="175" t="str">
        <f t="shared" si="16"/>
        <v>102519916 /   0</v>
      </c>
      <c r="F393" s="217" t="str">
        <f>'Short NIS'!C393</f>
        <v>DINDA RIZKI DZAHABIYYAH</v>
      </c>
      <c r="G393" s="218" t="str">
        <f>'Short NIS'!D393</f>
        <v>P</v>
      </c>
      <c r="H393" s="218" t="str">
        <f>'Short NIS'!E393</f>
        <v>X TJKT 3</v>
      </c>
      <c r="I393" s="219" t="s">
        <v>6386</v>
      </c>
    </row>
    <row r="394" spans="1:11" x14ac:dyDescent="0.25">
      <c r="A394" s="175" t="str">
        <f t="shared" si="15"/>
        <v>X TJKT 3</v>
      </c>
      <c r="B394" s="168"/>
      <c r="C394" s="215">
        <f>'Short NIS'!A394</f>
        <v>102519917</v>
      </c>
      <c r="D394" s="216">
        <f>'Short NIS'!B394</f>
        <v>0</v>
      </c>
      <c r="E394" s="175" t="str">
        <f t="shared" si="16"/>
        <v>102519917 /   0</v>
      </c>
      <c r="F394" s="217" t="str">
        <f>'Short NIS'!C394</f>
        <v>EBRAN JIBRIL EARLY</v>
      </c>
      <c r="G394" s="218" t="str">
        <f>'Short NIS'!D394</f>
        <v>L</v>
      </c>
      <c r="H394" s="218" t="str">
        <f>'Short NIS'!E394</f>
        <v>X TJKT 3</v>
      </c>
      <c r="I394" s="219" t="s">
        <v>6386</v>
      </c>
    </row>
    <row r="395" spans="1:11" x14ac:dyDescent="0.25">
      <c r="A395" s="175" t="str">
        <f t="shared" si="15"/>
        <v>X TJKT 3</v>
      </c>
      <c r="B395" s="168"/>
      <c r="C395" s="215">
        <f>'Short NIS'!A395</f>
        <v>102519918</v>
      </c>
      <c r="D395" s="216" t="str">
        <f>'Short NIS'!B395</f>
        <v>3099833368</v>
      </c>
      <c r="E395" s="175" t="str">
        <f t="shared" si="16"/>
        <v>102519918 /   3099833368</v>
      </c>
      <c r="F395" s="217" t="str">
        <f>'Short NIS'!C395</f>
        <v>FAAIQ FADHLILLAH</v>
      </c>
      <c r="G395" s="218" t="str">
        <f>'Short NIS'!D395</f>
        <v>L</v>
      </c>
      <c r="H395" s="218" t="str">
        <f>'Short NIS'!E395</f>
        <v>X TJKT 3</v>
      </c>
      <c r="I395" s="219" t="s">
        <v>6386</v>
      </c>
    </row>
    <row r="396" spans="1:11" x14ac:dyDescent="0.25">
      <c r="A396" s="175" t="str">
        <f t="shared" si="15"/>
        <v>X TJKT 3</v>
      </c>
      <c r="B396" s="168"/>
      <c r="C396" s="215">
        <f>'Short NIS'!A396</f>
        <v>102519919</v>
      </c>
      <c r="D396" s="216" t="str">
        <f>'Short NIS'!B396</f>
        <v>0091685872</v>
      </c>
      <c r="E396" s="175" t="str">
        <f t="shared" si="16"/>
        <v>102519919 /   0091685872</v>
      </c>
      <c r="F396" s="217" t="str">
        <f>'Short NIS'!C396</f>
        <v>FARHAN LUTFIANSYAH</v>
      </c>
      <c r="G396" s="218" t="str">
        <f>'Short NIS'!D396</f>
        <v>L</v>
      </c>
      <c r="H396" s="218" t="str">
        <f>'Short NIS'!E396</f>
        <v>X TJKT 3</v>
      </c>
      <c r="I396" s="219" t="s">
        <v>6386</v>
      </c>
    </row>
    <row r="397" spans="1:11" x14ac:dyDescent="0.25">
      <c r="A397" s="175" t="str">
        <f t="shared" si="15"/>
        <v>X TJKT 3</v>
      </c>
      <c r="B397" s="168"/>
      <c r="C397" s="215">
        <f>'Short NIS'!A397</f>
        <v>102519920</v>
      </c>
      <c r="D397" s="216" t="str">
        <f>'Short NIS'!B397</f>
        <v>0089884756</v>
      </c>
      <c r="E397" s="175" t="str">
        <f t="shared" si="16"/>
        <v>102519920 /   0089884756</v>
      </c>
      <c r="F397" s="217" t="str">
        <f>'Short NIS'!C397</f>
        <v>FAUZAN KUSTIAWAN</v>
      </c>
      <c r="G397" s="218" t="str">
        <f>'Short NIS'!D397</f>
        <v>L</v>
      </c>
      <c r="H397" s="218" t="str">
        <f>'Short NIS'!E397</f>
        <v>X TJKT 3</v>
      </c>
      <c r="I397" s="219" t="s">
        <v>6386</v>
      </c>
    </row>
    <row r="398" spans="1:11" x14ac:dyDescent="0.25">
      <c r="A398" s="175" t="str">
        <f t="shared" si="15"/>
        <v>X TJKT 3</v>
      </c>
      <c r="B398" s="168"/>
      <c r="C398" s="215">
        <f>'Short NIS'!A398</f>
        <v>102519921</v>
      </c>
      <c r="D398" s="216" t="str">
        <f>'Short NIS'!B398</f>
        <v>0096776530</v>
      </c>
      <c r="E398" s="175" t="str">
        <f t="shared" si="16"/>
        <v>102519921 /   0096776530</v>
      </c>
      <c r="F398" s="217" t="str">
        <f>'Short NIS'!C398</f>
        <v>GALUH RAMADAN</v>
      </c>
      <c r="G398" s="218" t="str">
        <f>'Short NIS'!D398</f>
        <v>L</v>
      </c>
      <c r="H398" s="218" t="str">
        <f>'Short NIS'!E398</f>
        <v>X TJKT 3</v>
      </c>
      <c r="I398" s="219" t="s">
        <v>6386</v>
      </c>
    </row>
    <row r="399" spans="1:11" x14ac:dyDescent="0.25">
      <c r="A399" s="175" t="str">
        <f t="shared" si="15"/>
        <v>X TJKT 3</v>
      </c>
      <c r="B399" s="168"/>
      <c r="C399" s="215">
        <f>'Short NIS'!A399</f>
        <v>102519922</v>
      </c>
      <c r="D399" s="216" t="str">
        <f>'Short NIS'!B399</f>
        <v>0108065085</v>
      </c>
      <c r="E399" s="175" t="str">
        <f t="shared" si="16"/>
        <v>102519922 /   0108065085</v>
      </c>
      <c r="F399" s="217" t="str">
        <f>'Short NIS'!C399</f>
        <v>HILMI TAUFIQURRAHMAN</v>
      </c>
      <c r="G399" s="218" t="str">
        <f>'Short NIS'!D399</f>
        <v>L</v>
      </c>
      <c r="H399" s="218" t="str">
        <f>'Short NIS'!E399</f>
        <v>X TJKT 3</v>
      </c>
      <c r="I399" s="219" t="s">
        <v>6386</v>
      </c>
    </row>
    <row r="400" spans="1:11" x14ac:dyDescent="0.25">
      <c r="A400" s="175" t="str">
        <f t="shared" si="15"/>
        <v>X TJKT 3</v>
      </c>
      <c r="B400" s="168"/>
      <c r="C400" s="215">
        <f>'Short NIS'!A400</f>
        <v>102519923</v>
      </c>
      <c r="D400" s="216" t="str">
        <f>'Short NIS'!B400</f>
        <v>0106368743</v>
      </c>
      <c r="E400" s="175" t="str">
        <f t="shared" si="16"/>
        <v>102519923 /   0106368743</v>
      </c>
      <c r="F400" s="217" t="str">
        <f>'Short NIS'!C400</f>
        <v>KELVIN ARKENZY SALMANSYAH</v>
      </c>
      <c r="G400" s="218" t="str">
        <f>'Short NIS'!D400</f>
        <v>L</v>
      </c>
      <c r="H400" s="218" t="str">
        <f>'Short NIS'!E400</f>
        <v>X TJKT 3</v>
      </c>
      <c r="I400" s="219" t="s">
        <v>6386</v>
      </c>
    </row>
    <row r="401" spans="1:9" x14ac:dyDescent="0.25">
      <c r="A401" s="175" t="str">
        <f t="shared" si="15"/>
        <v>X TJKT 3</v>
      </c>
      <c r="B401" s="168"/>
      <c r="C401" s="215">
        <f>'Short NIS'!A401</f>
        <v>102519924</v>
      </c>
      <c r="D401" s="216" t="str">
        <f>'Short NIS'!B401</f>
        <v>0093029487</v>
      </c>
      <c r="E401" s="175" t="str">
        <f t="shared" si="16"/>
        <v>102519924 /   0093029487</v>
      </c>
      <c r="F401" s="217" t="str">
        <f>'Short NIS'!C401</f>
        <v>KEYLA SELVIA AZAHRA</v>
      </c>
      <c r="G401" s="218" t="str">
        <f>'Short NIS'!D401</f>
        <v>P</v>
      </c>
      <c r="H401" s="218" t="str">
        <f>'Short NIS'!E401</f>
        <v>X TJKT 3</v>
      </c>
      <c r="I401" s="219" t="s">
        <v>6386</v>
      </c>
    </row>
    <row r="402" spans="1:9" x14ac:dyDescent="0.25">
      <c r="A402" s="175" t="str">
        <f t="shared" si="15"/>
        <v>X TJKT 3</v>
      </c>
      <c r="B402" s="168"/>
      <c r="C402" s="215">
        <f>'Short NIS'!A402</f>
        <v>102519925</v>
      </c>
      <c r="D402" s="216">
        <f>'Short NIS'!B402</f>
        <v>0</v>
      </c>
      <c r="E402" s="175" t="str">
        <f t="shared" si="16"/>
        <v>102519925 /   0</v>
      </c>
      <c r="F402" s="217" t="str">
        <f>'Short NIS'!C402</f>
        <v>MILAN RAMDHANI</v>
      </c>
      <c r="G402" s="218" t="str">
        <f>'Short NIS'!D402</f>
        <v>P</v>
      </c>
      <c r="H402" s="218" t="str">
        <f>'Short NIS'!E402</f>
        <v>X TJKT 3</v>
      </c>
      <c r="I402" s="219" t="s">
        <v>6386</v>
      </c>
    </row>
    <row r="403" spans="1:9" x14ac:dyDescent="0.25">
      <c r="A403" s="175" t="str">
        <f t="shared" si="15"/>
        <v>X TJKT 3</v>
      </c>
      <c r="B403" s="168"/>
      <c r="C403" s="215">
        <f>'Short NIS'!A403</f>
        <v>102519926</v>
      </c>
      <c r="D403" s="216" t="str">
        <f>'Short NIS'!B403</f>
        <v>0095163747</v>
      </c>
      <c r="E403" s="175" t="str">
        <f t="shared" si="16"/>
        <v>102519926 /   0095163747</v>
      </c>
      <c r="F403" s="217" t="str">
        <f>'Short NIS'!C403</f>
        <v>MOHAMAD FAHMI RAHADIANSYAH</v>
      </c>
      <c r="G403" s="218" t="str">
        <f>'Short NIS'!D403</f>
        <v>L</v>
      </c>
      <c r="H403" s="218" t="str">
        <f>'Short NIS'!E403</f>
        <v>X TJKT 3</v>
      </c>
      <c r="I403" s="219" t="s">
        <v>6386</v>
      </c>
    </row>
    <row r="404" spans="1:9" x14ac:dyDescent="0.25">
      <c r="A404" s="175" t="str">
        <f t="shared" si="15"/>
        <v>X TJKT 3</v>
      </c>
      <c r="B404" s="168"/>
      <c r="C404" s="215">
        <f>'Short NIS'!A404</f>
        <v>102519927</v>
      </c>
      <c r="D404" s="216" t="str">
        <f>'Short NIS'!B404</f>
        <v>0107695957</v>
      </c>
      <c r="E404" s="175" t="str">
        <f t="shared" si="16"/>
        <v>102519927 /   0107695957</v>
      </c>
      <c r="F404" s="217" t="str">
        <f>'Short NIS'!C404</f>
        <v>MOHAMAD HAIKAL</v>
      </c>
      <c r="G404" s="218" t="str">
        <f>'Short NIS'!D404</f>
        <v>L</v>
      </c>
      <c r="H404" s="218" t="str">
        <f>'Short NIS'!E404</f>
        <v>X TJKT 3</v>
      </c>
      <c r="I404" s="219" t="s">
        <v>6386</v>
      </c>
    </row>
    <row r="405" spans="1:9" x14ac:dyDescent="0.25">
      <c r="A405" s="175" t="str">
        <f t="shared" si="15"/>
        <v>X TJKT 3</v>
      </c>
      <c r="B405" s="168"/>
      <c r="C405" s="215">
        <f>'Short NIS'!A405</f>
        <v>102519928</v>
      </c>
      <c r="D405" s="216">
        <f>'Short NIS'!B405</f>
        <v>0</v>
      </c>
      <c r="E405" s="175" t="str">
        <f t="shared" si="16"/>
        <v>102519928 /   0</v>
      </c>
      <c r="F405" s="217" t="str">
        <f>'Short NIS'!C405</f>
        <v>MOHAMMAD ADITYA ALI PRADANA</v>
      </c>
      <c r="G405" s="218" t="str">
        <f>'Short NIS'!D405</f>
        <v>L</v>
      </c>
      <c r="H405" s="218" t="str">
        <f>'Short NIS'!E405</f>
        <v>X TJKT 3</v>
      </c>
      <c r="I405" s="219" t="s">
        <v>6386</v>
      </c>
    </row>
    <row r="406" spans="1:9" x14ac:dyDescent="0.25">
      <c r="A406" s="175" t="str">
        <f t="shared" si="15"/>
        <v>X TJKT 3</v>
      </c>
      <c r="B406" s="168"/>
      <c r="C406" s="215">
        <f>'Short NIS'!A406</f>
        <v>102519929</v>
      </c>
      <c r="D406" s="216" t="str">
        <f>'Short NIS'!B406</f>
        <v>0095233073</v>
      </c>
      <c r="E406" s="175" t="str">
        <f t="shared" si="16"/>
        <v>102519929 /   0095233073</v>
      </c>
      <c r="F406" s="217" t="str">
        <f>'Short NIS'!C406</f>
        <v>MUHAMAD ADRIANSAH</v>
      </c>
      <c r="G406" s="218" t="str">
        <f>'Short NIS'!D406</f>
        <v>L</v>
      </c>
      <c r="H406" s="218" t="str">
        <f>'Short NIS'!E406</f>
        <v>X TJKT 3</v>
      </c>
      <c r="I406" s="219" t="s">
        <v>6386</v>
      </c>
    </row>
    <row r="407" spans="1:9" x14ac:dyDescent="0.25">
      <c r="A407" s="175" t="str">
        <f t="shared" si="15"/>
        <v>X TJKT 3</v>
      </c>
      <c r="B407" s="168"/>
      <c r="C407" s="215">
        <f>'Short NIS'!A407</f>
        <v>102519930</v>
      </c>
      <c r="D407" s="216" t="str">
        <f>'Short NIS'!B407</f>
        <v>0102625019</v>
      </c>
      <c r="E407" s="175" t="str">
        <f t="shared" si="16"/>
        <v>102519930 /   0102625019</v>
      </c>
      <c r="F407" s="217" t="str">
        <f>'Short NIS'!C407</f>
        <v>MUHAMAD NUR HIZAM</v>
      </c>
      <c r="G407" s="218" t="str">
        <f>'Short NIS'!D407</f>
        <v>L</v>
      </c>
      <c r="H407" s="218" t="str">
        <f>'Short NIS'!E407</f>
        <v>X TJKT 3</v>
      </c>
      <c r="I407" s="219" t="s">
        <v>6386</v>
      </c>
    </row>
    <row r="408" spans="1:9" x14ac:dyDescent="0.25">
      <c r="A408" s="175" t="str">
        <f t="shared" si="15"/>
        <v>X TJKT 3</v>
      </c>
      <c r="B408" s="168"/>
      <c r="C408" s="215">
        <f>'Short NIS'!A408</f>
        <v>102519931</v>
      </c>
      <c r="D408" s="216" t="str">
        <f>'Short NIS'!B408</f>
        <v>0094856497</v>
      </c>
      <c r="E408" s="175" t="str">
        <f t="shared" si="16"/>
        <v>102519931 /   0094856497</v>
      </c>
      <c r="F408" s="217" t="str">
        <f>'Short NIS'!C408</f>
        <v>MUHAMAD RIZAL</v>
      </c>
      <c r="G408" s="218" t="str">
        <f>'Short NIS'!D408</f>
        <v>L</v>
      </c>
      <c r="H408" s="218" t="str">
        <f>'Short NIS'!E408</f>
        <v>X TJKT 3</v>
      </c>
      <c r="I408" s="219" t="s">
        <v>6386</v>
      </c>
    </row>
    <row r="409" spans="1:9" x14ac:dyDescent="0.25">
      <c r="A409" s="175" t="str">
        <f t="shared" si="15"/>
        <v>X TJKT 3</v>
      </c>
      <c r="B409" s="168"/>
      <c r="C409" s="215">
        <f>'Short NIS'!A409</f>
        <v>102519932</v>
      </c>
      <c r="D409" s="216" t="str">
        <f>'Short NIS'!B409</f>
        <v>0086886058</v>
      </c>
      <c r="E409" s="175" t="str">
        <f t="shared" si="16"/>
        <v>102519932 /   0086886058</v>
      </c>
      <c r="F409" s="217" t="str">
        <f>'Short NIS'!C409</f>
        <v>MUHAMMAD ASSAKHI</v>
      </c>
      <c r="G409" s="218" t="str">
        <f>'Short NIS'!D409</f>
        <v>L</v>
      </c>
      <c r="H409" s="218" t="str">
        <f>'Short NIS'!E409</f>
        <v>X TJKT 3</v>
      </c>
      <c r="I409" s="219" t="s">
        <v>6386</v>
      </c>
    </row>
    <row r="410" spans="1:9" x14ac:dyDescent="0.25">
      <c r="A410" s="175" t="str">
        <f t="shared" si="15"/>
        <v>X TJKT 3</v>
      </c>
      <c r="B410" s="168"/>
      <c r="C410" s="215">
        <f>'Short NIS'!A410</f>
        <v>102519933</v>
      </c>
      <c r="D410" s="216" t="str">
        <f>'Short NIS'!B410</f>
        <v>0101803419</v>
      </c>
      <c r="E410" s="175" t="str">
        <f t="shared" si="16"/>
        <v>102519933 /   0101803419</v>
      </c>
      <c r="F410" s="217" t="str">
        <f>'Short NIS'!C410</f>
        <v>MUHAMMAD DENIS HERDIANSYAH</v>
      </c>
      <c r="G410" s="218" t="str">
        <f>'Short NIS'!D410</f>
        <v>L</v>
      </c>
      <c r="H410" s="218" t="str">
        <f>'Short NIS'!E410</f>
        <v>X TJKT 3</v>
      </c>
      <c r="I410" s="219" t="s">
        <v>6386</v>
      </c>
    </row>
    <row r="411" spans="1:9" x14ac:dyDescent="0.25">
      <c r="A411" s="175" t="str">
        <f t="shared" si="15"/>
        <v>X TJKT 3</v>
      </c>
      <c r="B411" s="168"/>
      <c r="C411" s="215">
        <f>'Short NIS'!A411</f>
        <v>102519934</v>
      </c>
      <c r="D411" s="216" t="str">
        <f>'Short NIS'!B411</f>
        <v>0097490476</v>
      </c>
      <c r="E411" s="175" t="str">
        <f t="shared" si="16"/>
        <v>102519934 /   0097490476</v>
      </c>
      <c r="F411" s="217" t="str">
        <f>'Short NIS'!C411</f>
        <v>MUHAMMAD FIKRI HIDAYAT</v>
      </c>
      <c r="G411" s="218" t="str">
        <f>'Short NIS'!D411</f>
        <v>L</v>
      </c>
      <c r="H411" s="218" t="str">
        <f>'Short NIS'!E411</f>
        <v>X TJKT 3</v>
      </c>
      <c r="I411" s="219" t="s">
        <v>6386</v>
      </c>
    </row>
    <row r="412" spans="1:9" x14ac:dyDescent="0.25">
      <c r="A412" s="175" t="str">
        <f t="shared" si="15"/>
        <v>X TJKT 3</v>
      </c>
      <c r="B412" s="168"/>
      <c r="C412" s="215">
        <f>'Short NIS'!A412</f>
        <v>102519935</v>
      </c>
      <c r="D412" s="216" t="str">
        <f>'Short NIS'!B412</f>
        <v>0092857850</v>
      </c>
      <c r="E412" s="175" t="str">
        <f t="shared" si="16"/>
        <v>102519935 /   0092857850</v>
      </c>
      <c r="F412" s="217" t="str">
        <f>'Short NIS'!C412</f>
        <v>MUHAMMAD NAUFAL GUNAWAN</v>
      </c>
      <c r="G412" s="218" t="str">
        <f>'Short NIS'!D412</f>
        <v>L</v>
      </c>
      <c r="H412" s="218" t="str">
        <f>'Short NIS'!E412</f>
        <v>X TJKT 3</v>
      </c>
      <c r="I412" s="219" t="s">
        <v>6386</v>
      </c>
    </row>
    <row r="413" spans="1:9" x14ac:dyDescent="0.25">
      <c r="A413" s="175" t="str">
        <f t="shared" si="15"/>
        <v>X TJKT 3</v>
      </c>
      <c r="B413" s="168"/>
      <c r="C413" s="215">
        <f>'Short NIS'!A413</f>
        <v>102519936</v>
      </c>
      <c r="D413" s="216" t="str">
        <f>'Short NIS'!B413</f>
        <v>0104416688</v>
      </c>
      <c r="E413" s="175" t="str">
        <f t="shared" si="16"/>
        <v>102519936 /   0104416688</v>
      </c>
      <c r="F413" s="217" t="str">
        <f>'Short NIS'!C413</f>
        <v>RAFKA RAMLAN ROCHMATULLAH</v>
      </c>
      <c r="G413" s="218" t="str">
        <f>'Short NIS'!D413</f>
        <v>L</v>
      </c>
      <c r="H413" s="218" t="str">
        <f>'Short NIS'!E413</f>
        <v>X TJKT 3</v>
      </c>
      <c r="I413" s="219" t="s">
        <v>6386</v>
      </c>
    </row>
    <row r="414" spans="1:9" x14ac:dyDescent="0.25">
      <c r="A414" s="175" t="str">
        <f t="shared" si="15"/>
        <v>X TJKT 3</v>
      </c>
      <c r="B414" s="168"/>
      <c r="C414" s="215">
        <f>'Short NIS'!A414</f>
        <v>102519937</v>
      </c>
      <c r="D414" s="216" t="str">
        <f>'Short NIS'!B414</f>
        <v>0109371291</v>
      </c>
      <c r="E414" s="175" t="str">
        <f t="shared" si="16"/>
        <v>102519937 /   0109371291</v>
      </c>
      <c r="F414" s="217" t="str">
        <f>'Short NIS'!C414</f>
        <v>RAFKHA SONAGAR PANCANALAR</v>
      </c>
      <c r="G414" s="218" t="str">
        <f>'Short NIS'!D414</f>
        <v>L</v>
      </c>
      <c r="H414" s="218" t="str">
        <f>'Short NIS'!E414</f>
        <v>X TJKT 3</v>
      </c>
      <c r="I414" s="219" t="s">
        <v>6386</v>
      </c>
    </row>
    <row r="415" spans="1:9" x14ac:dyDescent="0.25">
      <c r="A415" s="175" t="str">
        <f t="shared" si="15"/>
        <v>X TJKT 3</v>
      </c>
      <c r="B415" s="168"/>
      <c r="C415" s="215">
        <f>'Short NIS'!A415</f>
        <v>102519938</v>
      </c>
      <c r="D415" s="216" t="str">
        <f>'Short NIS'!B415</f>
        <v>0092161967</v>
      </c>
      <c r="E415" s="175" t="str">
        <f t="shared" si="16"/>
        <v>102519938 /   0092161967</v>
      </c>
      <c r="F415" s="217" t="str">
        <f>'Short NIS'!C415</f>
        <v>RAINANRA YUSUF ALFAROQ</v>
      </c>
      <c r="G415" s="218" t="str">
        <f>'Short NIS'!D415</f>
        <v>L</v>
      </c>
      <c r="H415" s="218" t="str">
        <f>'Short NIS'!E415</f>
        <v>X TJKT 3</v>
      </c>
      <c r="I415" s="219" t="s">
        <v>6386</v>
      </c>
    </row>
    <row r="416" spans="1:9" x14ac:dyDescent="0.25">
      <c r="A416" s="175" t="str">
        <f t="shared" si="15"/>
        <v>X TJKT 3</v>
      </c>
      <c r="B416" s="168"/>
      <c r="C416" s="215">
        <f>'Short NIS'!A416</f>
        <v>102519939</v>
      </c>
      <c r="D416" s="216" t="str">
        <f>'Short NIS'!B416</f>
        <v>0104644713</v>
      </c>
      <c r="E416" s="175" t="str">
        <f t="shared" si="16"/>
        <v>102519939 /   0104644713</v>
      </c>
      <c r="F416" s="217" t="str">
        <f>'Short NIS'!C416</f>
        <v>RASIKH RIZKY PERMANA</v>
      </c>
      <c r="G416" s="218" t="str">
        <f>'Short NIS'!D416</f>
        <v>L</v>
      </c>
      <c r="H416" s="218" t="str">
        <f>'Short NIS'!E416</f>
        <v>X TJKT 3</v>
      </c>
      <c r="I416" s="219" t="s">
        <v>6386</v>
      </c>
    </row>
    <row r="417" spans="1:9" x14ac:dyDescent="0.25">
      <c r="A417" s="175" t="str">
        <f t="shared" si="15"/>
        <v>X TJKT 3</v>
      </c>
      <c r="B417" s="168"/>
      <c r="C417" s="215">
        <f>'Short NIS'!A417</f>
        <v>102519940</v>
      </c>
      <c r="D417" s="216" t="str">
        <f>'Short NIS'!B417</f>
        <v>3096723914</v>
      </c>
      <c r="E417" s="175" t="str">
        <f t="shared" si="16"/>
        <v>102519940 /   3096723914</v>
      </c>
      <c r="F417" s="217" t="str">
        <f>'Short NIS'!C417</f>
        <v>REZKY ANDRIAN</v>
      </c>
      <c r="G417" s="218" t="str">
        <f>'Short NIS'!D417</f>
        <v>L</v>
      </c>
      <c r="H417" s="218" t="str">
        <f>'Short NIS'!E417</f>
        <v>X TJKT 3</v>
      </c>
      <c r="I417" s="219" t="s">
        <v>6386</v>
      </c>
    </row>
    <row r="418" spans="1:9" x14ac:dyDescent="0.25">
      <c r="A418" s="175" t="str">
        <f t="shared" si="15"/>
        <v>X TJKT 3</v>
      </c>
      <c r="B418" s="168"/>
      <c r="C418" s="215">
        <f>'Short NIS'!A418</f>
        <v>102519941</v>
      </c>
      <c r="D418" s="216">
        <f>'Short NIS'!B418</f>
        <v>0</v>
      </c>
      <c r="E418" s="175" t="str">
        <f t="shared" si="16"/>
        <v>102519941 /   0</v>
      </c>
      <c r="F418" s="217" t="str">
        <f>'Short NIS'!C418</f>
        <v>RHAZIQ SANJAYA KUSUMA</v>
      </c>
      <c r="G418" s="218" t="str">
        <f>'Short NIS'!D418</f>
        <v>L</v>
      </c>
      <c r="H418" s="218" t="str">
        <f>'Short NIS'!E418</f>
        <v>X TJKT 3</v>
      </c>
      <c r="I418" s="219" t="s">
        <v>6386</v>
      </c>
    </row>
    <row r="419" spans="1:9" x14ac:dyDescent="0.25">
      <c r="A419" s="175" t="str">
        <f t="shared" si="15"/>
        <v>X TJKT 3</v>
      </c>
      <c r="B419" s="168"/>
      <c r="C419" s="215">
        <f>'Short NIS'!A419</f>
        <v>102519942</v>
      </c>
      <c r="D419" s="216" t="str">
        <f>'Short NIS'!B419</f>
        <v>0107583833</v>
      </c>
      <c r="E419" s="175" t="str">
        <f t="shared" si="16"/>
        <v>102519942 /   0107583833</v>
      </c>
      <c r="F419" s="217" t="str">
        <f>'Short NIS'!C419</f>
        <v>RIANA DANISA PUTRI INDRAWAN</v>
      </c>
      <c r="G419" s="218" t="str">
        <f>'Short NIS'!D419</f>
        <v>P</v>
      </c>
      <c r="H419" s="218" t="str">
        <f>'Short NIS'!E419</f>
        <v>X TJKT 3</v>
      </c>
      <c r="I419" s="219" t="s">
        <v>6386</v>
      </c>
    </row>
    <row r="420" spans="1:9" x14ac:dyDescent="0.25">
      <c r="A420" s="175" t="str">
        <f t="shared" si="15"/>
        <v>X TJKT 3</v>
      </c>
      <c r="B420" s="168"/>
      <c r="C420" s="215">
        <f>'Short NIS'!A420</f>
        <v>102519943</v>
      </c>
      <c r="D420" s="216" t="str">
        <f>'Short NIS'!B420</f>
        <v>0092710514</v>
      </c>
      <c r="E420" s="175" t="str">
        <f t="shared" si="16"/>
        <v>102519943 /   0092710514</v>
      </c>
      <c r="F420" s="217" t="str">
        <f>'Short NIS'!C420</f>
        <v>SALMAN UBAIDILLAH</v>
      </c>
      <c r="G420" s="218" t="str">
        <f>'Short NIS'!D420</f>
        <v>L</v>
      </c>
      <c r="H420" s="218" t="str">
        <f>'Short NIS'!E420</f>
        <v>X TJKT 3</v>
      </c>
      <c r="I420" s="219" t="s">
        <v>6386</v>
      </c>
    </row>
    <row r="421" spans="1:9" x14ac:dyDescent="0.25">
      <c r="A421" s="175" t="str">
        <f t="shared" si="15"/>
        <v>X TJKT 3</v>
      </c>
      <c r="B421" s="168"/>
      <c r="C421" s="215">
        <f>'Short NIS'!A421</f>
        <v>102519944</v>
      </c>
      <c r="D421" s="216" t="str">
        <f>'Short NIS'!B421</f>
        <v>0106809930</v>
      </c>
      <c r="E421" s="175" t="str">
        <f t="shared" si="16"/>
        <v>102519944 /   0106809930</v>
      </c>
      <c r="F421" s="217" t="str">
        <f>'Short NIS'!C421</f>
        <v>SALSA BILA</v>
      </c>
      <c r="G421" s="218" t="str">
        <f>'Short NIS'!D421</f>
        <v>P</v>
      </c>
      <c r="H421" s="218" t="str">
        <f>'Short NIS'!E421</f>
        <v>X TJKT 3</v>
      </c>
      <c r="I421" s="219" t="s">
        <v>6386</v>
      </c>
    </row>
    <row r="422" spans="1:9" x14ac:dyDescent="0.25">
      <c r="A422" s="175" t="str">
        <f t="shared" si="15"/>
        <v>X TJKT 3</v>
      </c>
      <c r="B422" s="168"/>
      <c r="C422" s="215">
        <f>'Short NIS'!A422</f>
        <v>102519945</v>
      </c>
      <c r="D422" s="216" t="str">
        <f>'Short NIS'!B422</f>
        <v>0093035901</v>
      </c>
      <c r="E422" s="175" t="str">
        <f t="shared" si="16"/>
        <v>102519945 /   0093035901</v>
      </c>
      <c r="F422" s="217" t="str">
        <f>'Short NIS'!C422</f>
        <v>SILPANI RETMA SARI</v>
      </c>
      <c r="G422" s="218" t="str">
        <f>'Short NIS'!D422</f>
        <v>P</v>
      </c>
      <c r="H422" s="218" t="str">
        <f>'Short NIS'!E422</f>
        <v>X TJKT 3</v>
      </c>
      <c r="I422" s="219" t="s">
        <v>6386</v>
      </c>
    </row>
    <row r="423" spans="1:9" x14ac:dyDescent="0.25">
      <c r="A423" s="175" t="str">
        <f t="shared" ref="A423:A427" si="17">H423&amp;B423</f>
        <v>X TJKT 3</v>
      </c>
      <c r="B423" s="168"/>
      <c r="C423" s="215">
        <f>'Short NIS'!A423</f>
        <v>102519946</v>
      </c>
      <c r="D423" s="216" t="str">
        <f>'Short NIS'!B423</f>
        <v>0101670439</v>
      </c>
      <c r="E423" s="175" t="str">
        <f t="shared" ref="E423:E427" si="18">C423&amp;" /   "&amp;D423</f>
        <v>102519946 /   0101670439</v>
      </c>
      <c r="F423" s="217" t="str">
        <f>'Short NIS'!C423</f>
        <v>SILVI FADIYALATU HIKMAH</v>
      </c>
      <c r="G423" s="218" t="str">
        <f>'Short NIS'!D423</f>
        <v>P</v>
      </c>
      <c r="H423" s="218" t="str">
        <f>'Short NIS'!E423</f>
        <v>X TJKT 3</v>
      </c>
      <c r="I423" s="219" t="s">
        <v>6386</v>
      </c>
    </row>
    <row r="424" spans="1:9" x14ac:dyDescent="0.25">
      <c r="A424" s="175" t="str">
        <f t="shared" si="17"/>
        <v>X TJKT 3</v>
      </c>
      <c r="B424" s="168"/>
      <c r="C424" s="215">
        <f>'Short NIS'!A424</f>
        <v>102519947</v>
      </c>
      <c r="D424" s="216" t="str">
        <f>'Short NIS'!B424</f>
        <v>0092612379</v>
      </c>
      <c r="E424" s="175" t="str">
        <f t="shared" si="18"/>
        <v>102519947 /   0092612379</v>
      </c>
      <c r="F424" s="217" t="str">
        <f>'Short NIS'!C424</f>
        <v>STEVEN LOVELY LINGGA</v>
      </c>
      <c r="G424" s="218" t="str">
        <f>'Short NIS'!D424</f>
        <v>L</v>
      </c>
      <c r="H424" s="218" t="str">
        <f>'Short NIS'!E424</f>
        <v>X TJKT 3</v>
      </c>
      <c r="I424" s="219" t="s">
        <v>6386</v>
      </c>
    </row>
    <row r="425" spans="1:9" x14ac:dyDescent="0.25">
      <c r="A425" s="175" t="str">
        <f t="shared" si="17"/>
        <v>X TJKT 3</v>
      </c>
      <c r="B425" s="168"/>
      <c r="C425" s="215">
        <f>'Short NIS'!A425</f>
        <v>102519948</v>
      </c>
      <c r="D425" s="216" t="str">
        <f>'Short NIS'!B425</f>
        <v>0095493830</v>
      </c>
      <c r="E425" s="175" t="str">
        <f t="shared" si="18"/>
        <v>102519948 /   0095493830</v>
      </c>
      <c r="F425" s="217" t="str">
        <f>'Short NIS'!C425</f>
        <v>ZAKY RASYIK IBRAHIM</v>
      </c>
      <c r="G425" s="218" t="str">
        <f>'Short NIS'!D425</f>
        <v>L</v>
      </c>
      <c r="H425" s="218" t="str">
        <f>'Short NIS'!E425</f>
        <v>X TJKT 3</v>
      </c>
      <c r="I425" s="219" t="s">
        <v>6386</v>
      </c>
    </row>
    <row r="426" spans="1:9" x14ac:dyDescent="0.25">
      <c r="A426" s="175" t="str">
        <f t="shared" si="17"/>
        <v>X TJKT 3</v>
      </c>
      <c r="B426" s="168"/>
      <c r="C426" s="215">
        <f>'Short NIS'!A426</f>
        <v>102519949</v>
      </c>
      <c r="D426" s="216">
        <f>'Short NIS'!B426</f>
        <v>0</v>
      </c>
      <c r="E426" s="175" t="str">
        <f t="shared" si="18"/>
        <v>102519949 /   0</v>
      </c>
      <c r="F426" s="217" t="str">
        <f>'Short NIS'!C426</f>
        <v>ZIYAD HELMI</v>
      </c>
      <c r="G426" s="218" t="str">
        <f>'Short NIS'!D426</f>
        <v>L</v>
      </c>
      <c r="H426" s="218" t="str">
        <f>'Short NIS'!E426</f>
        <v>X TJKT 3</v>
      </c>
      <c r="I426" s="219" t="s">
        <v>6386</v>
      </c>
    </row>
    <row r="427" spans="1:9" x14ac:dyDescent="0.25">
      <c r="A427" s="175" t="str">
        <f t="shared" si="17"/>
        <v>XI TKJ1</v>
      </c>
      <c r="C427" s="215">
        <f>'Short NIS'!A427</f>
        <v>102519950</v>
      </c>
      <c r="D427" s="216" t="str">
        <f>'Short NIS'!B427</f>
        <v>0095921074</v>
      </c>
      <c r="E427" s="175" t="str">
        <f t="shared" si="18"/>
        <v>102519950 /   0095921074</v>
      </c>
      <c r="F427" s="217" t="str">
        <f>'Short NIS'!C427</f>
        <v>DZAKWAAN MUHAMMAD MUFIID</v>
      </c>
      <c r="G427" s="218" t="str">
        <f>'Short NIS'!D427</f>
        <v>L</v>
      </c>
      <c r="H427" s="218" t="str">
        <f>'Short NIS'!E427</f>
        <v>XI TKJ1</v>
      </c>
      <c r="I427" s="219" t="s">
        <v>6025</v>
      </c>
    </row>
  </sheetData>
  <autoFilter ref="A1:K388" xr:uid="{00000000-0009-0000-0000-000004000000}"/>
  <sortState xmlns:xlrd2="http://schemas.microsoft.com/office/spreadsheetml/2017/richdata2" ref="A1:L387">
    <sortCondition ref="H1:H387"/>
  </sortState>
  <phoneticPr fontId="42" type="noConversion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38"/>
  <sheetViews>
    <sheetView topLeftCell="A58" workbookViewId="0">
      <selection sqref="A1:A2"/>
    </sheetView>
  </sheetViews>
  <sheetFormatPr defaultColWidth="9.140625" defaultRowHeight="15" x14ac:dyDescent="0.25"/>
  <cols>
    <col min="1" max="1" width="4.85546875" style="6" customWidth="1"/>
    <col min="2" max="2" width="11" style="54" customWidth="1"/>
    <col min="3" max="3" width="11.42578125" style="54" customWidth="1"/>
    <col min="4" max="4" width="23" style="54" customWidth="1"/>
    <col min="5" max="5" width="46" style="55" customWidth="1"/>
    <col min="6" max="6" width="8.42578125" style="56" customWidth="1"/>
    <col min="7" max="11" width="13.42578125" style="49" customWidth="1"/>
    <col min="12" max="12" width="13.42578125" style="6" customWidth="1"/>
    <col min="13" max="15" width="13.42578125" style="49" customWidth="1"/>
    <col min="16" max="16" width="24" style="49" customWidth="1"/>
    <col min="17" max="16384" width="9.140625" style="49"/>
  </cols>
  <sheetData>
    <row r="1" spans="1:17" s="53" customFormat="1" x14ac:dyDescent="0.25">
      <c r="A1" s="230" t="s">
        <v>430</v>
      </c>
      <c r="B1" s="230" t="s">
        <v>431</v>
      </c>
      <c r="C1" s="230" t="s">
        <v>0</v>
      </c>
      <c r="D1" s="230" t="s">
        <v>432</v>
      </c>
      <c r="E1" s="230" t="s">
        <v>433</v>
      </c>
      <c r="F1" s="230" t="s">
        <v>434</v>
      </c>
      <c r="G1" s="228" t="s">
        <v>435</v>
      </c>
      <c r="H1" s="232"/>
      <c r="I1" s="232"/>
      <c r="J1" s="232"/>
      <c r="K1" s="232"/>
      <c r="L1" s="232"/>
      <c r="M1" s="232"/>
      <c r="N1" s="232"/>
      <c r="O1" s="233"/>
      <c r="P1" s="228" t="s">
        <v>436</v>
      </c>
      <c r="Q1" s="55"/>
    </row>
    <row r="2" spans="1:17" s="53" customFormat="1" x14ac:dyDescent="0.25">
      <c r="A2" s="231"/>
      <c r="B2" s="231"/>
      <c r="C2" s="231"/>
      <c r="D2" s="231"/>
      <c r="E2" s="231"/>
      <c r="F2" s="231"/>
      <c r="G2" s="100" t="s">
        <v>437</v>
      </c>
      <c r="H2" s="100" t="s">
        <v>438</v>
      </c>
      <c r="I2" s="100" t="s">
        <v>439</v>
      </c>
      <c r="J2" s="100" t="s">
        <v>440</v>
      </c>
      <c r="K2" s="173" t="s">
        <v>4674</v>
      </c>
      <c r="L2" s="173" t="s">
        <v>4675</v>
      </c>
      <c r="M2" s="173" t="s">
        <v>4676</v>
      </c>
      <c r="N2" s="173" t="s">
        <v>4677</v>
      </c>
      <c r="O2" s="173" t="s">
        <v>4678</v>
      </c>
      <c r="P2" s="229"/>
    </row>
    <row r="3" spans="1:17" x14ac:dyDescent="0.25">
      <c r="A3" s="5">
        <v>1</v>
      </c>
      <c r="B3" s="60">
        <v>101816762</v>
      </c>
      <c r="C3" s="101" t="s">
        <v>441</v>
      </c>
      <c r="D3" s="60" t="str">
        <f t="shared" ref="D3:D34" si="0">B3&amp;" /"&amp;C3</f>
        <v>101816762 /0034452167</v>
      </c>
      <c r="E3" s="88" t="s">
        <v>442</v>
      </c>
      <c r="F3" s="57" t="s">
        <v>381</v>
      </c>
      <c r="G3" s="72" t="s">
        <v>443</v>
      </c>
      <c r="H3" s="88"/>
      <c r="I3" s="88"/>
      <c r="J3" s="88"/>
      <c r="K3" s="170"/>
      <c r="L3" s="168"/>
      <c r="M3" s="170"/>
      <c r="N3" s="170"/>
      <c r="O3" s="170"/>
      <c r="P3" s="88" t="s">
        <v>444</v>
      </c>
    </row>
    <row r="4" spans="1:17" x14ac:dyDescent="0.25">
      <c r="A4" s="5">
        <v>2</v>
      </c>
      <c r="B4" s="60">
        <v>101816765</v>
      </c>
      <c r="C4" s="60" t="s">
        <v>445</v>
      </c>
      <c r="D4" s="60" t="str">
        <f t="shared" si="0"/>
        <v>101816765 /0028014768</v>
      </c>
      <c r="E4" s="88" t="s">
        <v>446</v>
      </c>
      <c r="F4" s="57" t="s">
        <v>379</v>
      </c>
      <c r="G4" s="72" t="s">
        <v>443</v>
      </c>
      <c r="H4" s="88"/>
      <c r="I4" s="88"/>
      <c r="J4" s="88"/>
      <c r="K4" s="170"/>
      <c r="L4" s="168"/>
      <c r="M4" s="170"/>
      <c r="N4" s="170"/>
      <c r="O4" s="170"/>
      <c r="P4" s="88" t="s">
        <v>444</v>
      </c>
    </row>
    <row r="5" spans="1:17" x14ac:dyDescent="0.25">
      <c r="A5" s="5">
        <v>3</v>
      </c>
      <c r="B5" s="60">
        <v>101816770</v>
      </c>
      <c r="C5" s="102" t="s">
        <v>447</v>
      </c>
      <c r="D5" s="60" t="str">
        <f t="shared" si="0"/>
        <v>101816770 /0034475483</v>
      </c>
      <c r="E5" s="103" t="s">
        <v>448</v>
      </c>
      <c r="F5" s="57" t="s">
        <v>381</v>
      </c>
      <c r="G5" s="72" t="s">
        <v>449</v>
      </c>
      <c r="H5" s="88"/>
      <c r="I5" s="88"/>
      <c r="J5" s="88"/>
      <c r="K5" s="170"/>
      <c r="L5" s="168"/>
      <c r="M5" s="170"/>
      <c r="N5" s="170"/>
      <c r="O5" s="170"/>
      <c r="P5" s="88" t="s">
        <v>444</v>
      </c>
    </row>
    <row r="6" spans="1:17" x14ac:dyDescent="0.25">
      <c r="A6" s="5">
        <v>4</v>
      </c>
      <c r="B6" s="60">
        <v>101816771</v>
      </c>
      <c r="C6" s="102" t="s">
        <v>450</v>
      </c>
      <c r="D6" s="60" t="str">
        <f t="shared" si="0"/>
        <v>101816771 /0033681597</v>
      </c>
      <c r="E6" s="103" t="s">
        <v>451</v>
      </c>
      <c r="F6" s="57" t="s">
        <v>381</v>
      </c>
      <c r="G6" s="72" t="s">
        <v>452</v>
      </c>
      <c r="H6" s="88"/>
      <c r="I6" s="88"/>
      <c r="J6" s="88"/>
      <c r="K6" s="170"/>
      <c r="L6" s="168"/>
      <c r="M6" s="170"/>
      <c r="N6" s="170"/>
      <c r="O6" s="170"/>
      <c r="P6" s="88" t="s">
        <v>444</v>
      </c>
    </row>
    <row r="7" spans="1:17" x14ac:dyDescent="0.25">
      <c r="A7" s="5">
        <v>5</v>
      </c>
      <c r="B7" s="60">
        <v>101816772</v>
      </c>
      <c r="C7" s="102" t="s">
        <v>453</v>
      </c>
      <c r="D7" s="60" t="str">
        <f t="shared" si="0"/>
        <v>101816772 /0028941471</v>
      </c>
      <c r="E7" s="103" t="s">
        <v>454</v>
      </c>
      <c r="F7" s="57" t="s">
        <v>381</v>
      </c>
      <c r="G7" s="72" t="s">
        <v>455</v>
      </c>
      <c r="H7" s="88"/>
      <c r="I7" s="88"/>
      <c r="J7" s="88"/>
      <c r="K7" s="170"/>
      <c r="L7" s="168"/>
      <c r="M7" s="170"/>
      <c r="N7" s="170"/>
      <c r="O7" s="170"/>
      <c r="P7" s="88" t="s">
        <v>444</v>
      </c>
    </row>
    <row r="8" spans="1:17" x14ac:dyDescent="0.25">
      <c r="A8" s="5">
        <v>6</v>
      </c>
      <c r="B8" s="60">
        <v>101816774</v>
      </c>
      <c r="C8" s="102" t="s">
        <v>456</v>
      </c>
      <c r="D8" s="60" t="str">
        <f t="shared" si="0"/>
        <v>101816774 /0033370746</v>
      </c>
      <c r="E8" s="103" t="s">
        <v>457</v>
      </c>
      <c r="F8" s="57" t="s">
        <v>379</v>
      </c>
      <c r="G8" s="72" t="s">
        <v>449</v>
      </c>
      <c r="H8" s="88"/>
      <c r="I8" s="88"/>
      <c r="J8" s="88"/>
      <c r="K8" s="170"/>
      <c r="L8" s="168"/>
      <c r="M8" s="170"/>
      <c r="N8" s="170"/>
      <c r="O8" s="170"/>
      <c r="P8" s="88" t="s">
        <v>444</v>
      </c>
    </row>
    <row r="9" spans="1:17" x14ac:dyDescent="0.25">
      <c r="A9" s="5">
        <v>7</v>
      </c>
      <c r="B9" s="60">
        <v>101816775</v>
      </c>
      <c r="C9" s="60" t="s">
        <v>458</v>
      </c>
      <c r="D9" s="60" t="str">
        <f t="shared" si="0"/>
        <v>101816775 /0037735544</v>
      </c>
      <c r="E9" s="88" t="s">
        <v>459</v>
      </c>
      <c r="F9" s="57" t="s">
        <v>379</v>
      </c>
      <c r="G9" s="72" t="s">
        <v>443</v>
      </c>
      <c r="H9" s="88"/>
      <c r="I9" s="88"/>
      <c r="J9" s="88"/>
      <c r="K9" s="170"/>
      <c r="L9" s="168"/>
      <c r="M9" s="170"/>
      <c r="N9" s="170"/>
      <c r="O9" s="170"/>
      <c r="P9" s="88" t="s">
        <v>444</v>
      </c>
    </row>
    <row r="10" spans="1:17" x14ac:dyDescent="0.25">
      <c r="A10" s="5">
        <v>8</v>
      </c>
      <c r="B10" s="60">
        <v>101816779</v>
      </c>
      <c r="C10" s="60" t="s">
        <v>460</v>
      </c>
      <c r="D10" s="60" t="str">
        <f t="shared" si="0"/>
        <v>101816779 /0031331031</v>
      </c>
      <c r="E10" s="88" t="s">
        <v>461</v>
      </c>
      <c r="F10" s="57" t="s">
        <v>381</v>
      </c>
      <c r="G10" s="72" t="s">
        <v>462</v>
      </c>
      <c r="H10" s="88"/>
      <c r="I10" s="88"/>
      <c r="J10" s="88"/>
      <c r="K10" s="170"/>
      <c r="L10" s="168"/>
      <c r="M10" s="170"/>
      <c r="N10" s="170"/>
      <c r="O10" s="170"/>
      <c r="P10" s="88" t="s">
        <v>444</v>
      </c>
    </row>
    <row r="11" spans="1:17" x14ac:dyDescent="0.25">
      <c r="A11" s="5">
        <v>9</v>
      </c>
      <c r="B11" s="60">
        <v>101816780</v>
      </c>
      <c r="C11" s="102" t="s">
        <v>463</v>
      </c>
      <c r="D11" s="60" t="str">
        <f t="shared" si="0"/>
        <v>101816780 /0037593018</v>
      </c>
      <c r="E11" s="103" t="s">
        <v>464</v>
      </c>
      <c r="F11" s="57" t="s">
        <v>379</v>
      </c>
      <c r="G11" s="72" t="s">
        <v>455</v>
      </c>
      <c r="H11" s="88"/>
      <c r="I11" s="88"/>
      <c r="J11" s="88"/>
      <c r="K11" s="170"/>
      <c r="L11" s="168"/>
      <c r="M11" s="170"/>
      <c r="N11" s="170"/>
      <c r="O11" s="170"/>
      <c r="P11" s="88" t="s">
        <v>444</v>
      </c>
    </row>
    <row r="12" spans="1:17" x14ac:dyDescent="0.25">
      <c r="A12" s="5">
        <v>10</v>
      </c>
      <c r="B12" s="60">
        <v>101816784</v>
      </c>
      <c r="C12" s="102" t="s">
        <v>465</v>
      </c>
      <c r="D12" s="60" t="str">
        <f t="shared" si="0"/>
        <v>101816784 /0009155871</v>
      </c>
      <c r="E12" s="103" t="s">
        <v>466</v>
      </c>
      <c r="F12" s="57" t="s">
        <v>379</v>
      </c>
      <c r="G12" s="72" t="s">
        <v>449</v>
      </c>
      <c r="H12" s="88"/>
      <c r="I12" s="88"/>
      <c r="J12" s="88"/>
      <c r="K12" s="170"/>
      <c r="L12" s="168"/>
      <c r="M12" s="170"/>
      <c r="N12" s="170"/>
      <c r="O12" s="170"/>
      <c r="P12" s="88" t="s">
        <v>444</v>
      </c>
    </row>
    <row r="13" spans="1:17" x14ac:dyDescent="0.25">
      <c r="A13" s="5">
        <v>11</v>
      </c>
      <c r="B13" s="60">
        <v>101816789</v>
      </c>
      <c r="C13" s="101" t="s">
        <v>467</v>
      </c>
      <c r="D13" s="60" t="str">
        <f t="shared" si="0"/>
        <v>101816789 /0029831699</v>
      </c>
      <c r="E13" s="104" t="s">
        <v>468</v>
      </c>
      <c r="F13" s="57" t="s">
        <v>381</v>
      </c>
      <c r="G13" s="72" t="s">
        <v>449</v>
      </c>
      <c r="H13" s="88"/>
      <c r="I13" s="88"/>
      <c r="J13" s="88"/>
      <c r="K13" s="170"/>
      <c r="L13" s="168"/>
      <c r="M13" s="170"/>
      <c r="N13" s="170"/>
      <c r="O13" s="170"/>
      <c r="P13" s="88" t="s">
        <v>444</v>
      </c>
    </row>
    <row r="14" spans="1:17" x14ac:dyDescent="0.25">
      <c r="A14" s="5">
        <v>12</v>
      </c>
      <c r="B14" s="60">
        <v>101816791</v>
      </c>
      <c r="C14" s="102" t="s">
        <v>469</v>
      </c>
      <c r="D14" s="60" t="str">
        <f t="shared" si="0"/>
        <v>101816791 /0033864103</v>
      </c>
      <c r="E14" s="103" t="s">
        <v>470</v>
      </c>
      <c r="F14" s="57" t="s">
        <v>381</v>
      </c>
      <c r="G14" s="72" t="s">
        <v>449</v>
      </c>
      <c r="H14" s="88"/>
      <c r="I14" s="88"/>
      <c r="J14" s="88"/>
      <c r="K14" s="170"/>
      <c r="L14" s="168"/>
      <c r="M14" s="170"/>
      <c r="N14" s="170"/>
      <c r="O14" s="170"/>
      <c r="P14" s="88" t="s">
        <v>444</v>
      </c>
    </row>
    <row r="15" spans="1:17" x14ac:dyDescent="0.25">
      <c r="A15" s="5">
        <v>13</v>
      </c>
      <c r="B15" s="60">
        <v>101816793</v>
      </c>
      <c r="C15" s="101" t="s">
        <v>471</v>
      </c>
      <c r="D15" s="60" t="str">
        <f t="shared" si="0"/>
        <v>101816793 /0036297993</v>
      </c>
      <c r="E15" s="96" t="s">
        <v>472</v>
      </c>
      <c r="F15" s="57" t="s">
        <v>381</v>
      </c>
      <c r="G15" s="72" t="s">
        <v>443</v>
      </c>
      <c r="H15" s="88"/>
      <c r="I15" s="88"/>
      <c r="J15" s="88"/>
      <c r="K15" s="170"/>
      <c r="L15" s="168"/>
      <c r="M15" s="170"/>
      <c r="N15" s="170"/>
      <c r="O15" s="170"/>
      <c r="P15" s="88" t="s">
        <v>444</v>
      </c>
    </row>
    <row r="16" spans="1:17" x14ac:dyDescent="0.25">
      <c r="A16" s="5">
        <v>14</v>
      </c>
      <c r="B16" s="60">
        <v>101816794</v>
      </c>
      <c r="C16" s="102" t="s">
        <v>473</v>
      </c>
      <c r="D16" s="60" t="str">
        <f t="shared" si="0"/>
        <v>101816794 /0027686582</v>
      </c>
      <c r="E16" s="103" t="s">
        <v>474</v>
      </c>
      <c r="F16" s="57" t="s">
        <v>379</v>
      </c>
      <c r="G16" s="72" t="s">
        <v>462</v>
      </c>
      <c r="H16" s="88"/>
      <c r="I16" s="88"/>
      <c r="J16" s="88"/>
      <c r="K16" s="170"/>
      <c r="L16" s="168"/>
      <c r="M16" s="170"/>
      <c r="N16" s="170"/>
      <c r="O16" s="170"/>
      <c r="P16" s="88" t="s">
        <v>444</v>
      </c>
    </row>
    <row r="17" spans="1:16" x14ac:dyDescent="0.25">
      <c r="A17" s="5">
        <v>15</v>
      </c>
      <c r="B17" s="60">
        <v>101816795</v>
      </c>
      <c r="C17" s="102" t="s">
        <v>475</v>
      </c>
      <c r="D17" s="60" t="str">
        <f t="shared" si="0"/>
        <v>101816795 /0033175792</v>
      </c>
      <c r="E17" s="103" t="s">
        <v>476</v>
      </c>
      <c r="F17" s="57" t="s">
        <v>381</v>
      </c>
      <c r="G17" s="72" t="s">
        <v>455</v>
      </c>
      <c r="H17" s="88"/>
      <c r="I17" s="88"/>
      <c r="J17" s="88"/>
      <c r="K17" s="170"/>
      <c r="L17" s="168"/>
      <c r="M17" s="170"/>
      <c r="N17" s="170"/>
      <c r="O17" s="170"/>
      <c r="P17" s="88" t="s">
        <v>444</v>
      </c>
    </row>
    <row r="18" spans="1:16" x14ac:dyDescent="0.25">
      <c r="A18" s="5">
        <v>16</v>
      </c>
      <c r="B18" s="60">
        <v>101816796</v>
      </c>
      <c r="C18" s="60" t="s">
        <v>477</v>
      </c>
      <c r="D18" s="60" t="str">
        <f t="shared" si="0"/>
        <v>101816796 /0033934863</v>
      </c>
      <c r="E18" s="88" t="s">
        <v>478</v>
      </c>
      <c r="F18" s="57" t="s">
        <v>379</v>
      </c>
      <c r="G18" s="72" t="s">
        <v>449</v>
      </c>
      <c r="H18" s="88"/>
      <c r="I18" s="88"/>
      <c r="J18" s="88"/>
      <c r="K18" s="170"/>
      <c r="L18" s="168"/>
      <c r="M18" s="170"/>
      <c r="N18" s="170"/>
      <c r="O18" s="170"/>
      <c r="P18" s="88" t="s">
        <v>444</v>
      </c>
    </row>
    <row r="19" spans="1:16" x14ac:dyDescent="0.25">
      <c r="A19" s="5">
        <v>17</v>
      </c>
      <c r="B19" s="60">
        <v>101816797</v>
      </c>
      <c r="C19" s="102" t="s">
        <v>479</v>
      </c>
      <c r="D19" s="60" t="str">
        <f t="shared" si="0"/>
        <v>101816797 /0026312394</v>
      </c>
      <c r="E19" s="103" t="s">
        <v>480</v>
      </c>
      <c r="F19" s="57" t="s">
        <v>379</v>
      </c>
      <c r="G19" s="72" t="s">
        <v>452</v>
      </c>
      <c r="H19" s="88"/>
      <c r="I19" s="88"/>
      <c r="J19" s="88"/>
      <c r="K19" s="170"/>
      <c r="L19" s="168"/>
      <c r="M19" s="170"/>
      <c r="N19" s="170"/>
      <c r="O19" s="170"/>
      <c r="P19" s="88" t="s">
        <v>444</v>
      </c>
    </row>
    <row r="20" spans="1:16" x14ac:dyDescent="0.25">
      <c r="A20" s="5">
        <v>18</v>
      </c>
      <c r="B20" s="60">
        <v>101816800</v>
      </c>
      <c r="C20" s="129" t="s">
        <v>481</v>
      </c>
      <c r="D20" s="60" t="str">
        <f t="shared" si="0"/>
        <v>101816800 /0038412471</v>
      </c>
      <c r="E20" s="103" t="s">
        <v>482</v>
      </c>
      <c r="F20" s="57" t="s">
        <v>381</v>
      </c>
      <c r="G20" s="72" t="s">
        <v>483</v>
      </c>
      <c r="H20" s="88"/>
      <c r="I20" s="88"/>
      <c r="J20" s="88"/>
      <c r="K20" s="170"/>
      <c r="L20" s="168"/>
      <c r="M20" s="170"/>
      <c r="N20" s="170"/>
      <c r="O20" s="170"/>
      <c r="P20" s="88" t="s">
        <v>444</v>
      </c>
    </row>
    <row r="21" spans="1:16" x14ac:dyDescent="0.25">
      <c r="A21" s="5">
        <v>19</v>
      </c>
      <c r="B21" s="60">
        <v>101816801</v>
      </c>
      <c r="C21" s="102" t="s">
        <v>484</v>
      </c>
      <c r="D21" s="60" t="str">
        <f t="shared" si="0"/>
        <v>101816801 /0033370747</v>
      </c>
      <c r="E21" s="103" t="s">
        <v>485</v>
      </c>
      <c r="F21" s="57" t="s">
        <v>381</v>
      </c>
      <c r="G21" s="72" t="s">
        <v>483</v>
      </c>
      <c r="H21" s="88"/>
      <c r="I21" s="88"/>
      <c r="J21" s="88"/>
      <c r="K21" s="170"/>
      <c r="L21" s="168"/>
      <c r="M21" s="170"/>
      <c r="N21" s="170"/>
      <c r="O21" s="170"/>
      <c r="P21" s="88" t="s">
        <v>444</v>
      </c>
    </row>
    <row r="22" spans="1:16" x14ac:dyDescent="0.25">
      <c r="A22" s="5">
        <v>20</v>
      </c>
      <c r="B22" s="60">
        <v>101816802</v>
      </c>
      <c r="C22" s="60" t="s">
        <v>486</v>
      </c>
      <c r="D22" s="60" t="str">
        <f t="shared" si="0"/>
        <v>101816802 /0025439786</v>
      </c>
      <c r="E22" s="88" t="s">
        <v>487</v>
      </c>
      <c r="F22" s="57" t="s">
        <v>381</v>
      </c>
      <c r="G22" s="72" t="s">
        <v>452</v>
      </c>
      <c r="H22" s="88"/>
      <c r="I22" s="88"/>
      <c r="J22" s="88"/>
      <c r="K22" s="170"/>
      <c r="L22" s="168"/>
      <c r="M22" s="170"/>
      <c r="N22" s="170"/>
      <c r="O22" s="170"/>
      <c r="P22" s="88" t="s">
        <v>444</v>
      </c>
    </row>
    <row r="23" spans="1:16" x14ac:dyDescent="0.25">
      <c r="A23" s="5">
        <v>21</v>
      </c>
      <c r="B23" s="60">
        <v>101816803</v>
      </c>
      <c r="C23" s="60" t="s">
        <v>488</v>
      </c>
      <c r="D23" s="60" t="str">
        <f t="shared" si="0"/>
        <v>101816803 /0032495447</v>
      </c>
      <c r="E23" s="88" t="s">
        <v>489</v>
      </c>
      <c r="F23" s="57" t="s">
        <v>381</v>
      </c>
      <c r="G23" s="72" t="s">
        <v>483</v>
      </c>
      <c r="H23" s="88"/>
      <c r="I23" s="88"/>
      <c r="J23" s="88"/>
      <c r="K23" s="170"/>
      <c r="L23" s="168"/>
      <c r="M23" s="170"/>
      <c r="N23" s="170"/>
      <c r="O23" s="170"/>
      <c r="P23" s="88" t="s">
        <v>444</v>
      </c>
    </row>
    <row r="24" spans="1:16" x14ac:dyDescent="0.25">
      <c r="A24" s="5">
        <v>22</v>
      </c>
      <c r="B24" s="60">
        <v>101816804</v>
      </c>
      <c r="C24" s="102" t="s">
        <v>490</v>
      </c>
      <c r="D24" s="60" t="str">
        <f t="shared" si="0"/>
        <v>101816804 /0029899415</v>
      </c>
      <c r="E24" s="103" t="s">
        <v>491</v>
      </c>
      <c r="F24" s="57" t="s">
        <v>381</v>
      </c>
      <c r="G24" s="72" t="s">
        <v>443</v>
      </c>
      <c r="H24" s="88"/>
      <c r="I24" s="88"/>
      <c r="J24" s="88"/>
      <c r="K24" s="170"/>
      <c r="L24" s="168"/>
      <c r="M24" s="170"/>
      <c r="N24" s="170"/>
      <c r="O24" s="170"/>
      <c r="P24" s="88" t="s">
        <v>444</v>
      </c>
    </row>
    <row r="25" spans="1:16" x14ac:dyDescent="0.25">
      <c r="A25" s="5">
        <v>23</v>
      </c>
      <c r="B25" s="60">
        <v>101816805</v>
      </c>
      <c r="C25" s="60" t="s">
        <v>492</v>
      </c>
      <c r="D25" s="60" t="str">
        <f t="shared" si="0"/>
        <v>101816805 /0027932385</v>
      </c>
      <c r="E25" s="88" t="s">
        <v>493</v>
      </c>
      <c r="F25" s="57" t="s">
        <v>381</v>
      </c>
      <c r="G25" s="72" t="s">
        <v>452</v>
      </c>
      <c r="H25" s="88"/>
      <c r="I25" s="88"/>
      <c r="J25" s="88"/>
      <c r="K25" s="170"/>
      <c r="L25" s="168"/>
      <c r="M25" s="170"/>
      <c r="N25" s="170"/>
      <c r="O25" s="170"/>
      <c r="P25" s="88" t="s">
        <v>444</v>
      </c>
    </row>
    <row r="26" spans="1:16" x14ac:dyDescent="0.25">
      <c r="A26" s="5">
        <v>24</v>
      </c>
      <c r="B26" s="60">
        <v>101816806</v>
      </c>
      <c r="C26" s="60" t="s">
        <v>494</v>
      </c>
      <c r="D26" s="60" t="str">
        <f t="shared" si="0"/>
        <v>101816806 /0033831579</v>
      </c>
      <c r="E26" s="88" t="s">
        <v>495</v>
      </c>
      <c r="F26" s="57" t="s">
        <v>381</v>
      </c>
      <c r="G26" s="72" t="s">
        <v>449</v>
      </c>
      <c r="H26" s="88"/>
      <c r="I26" s="88"/>
      <c r="J26" s="88"/>
      <c r="K26" s="170"/>
      <c r="L26" s="168"/>
      <c r="M26" s="170"/>
      <c r="N26" s="170"/>
      <c r="O26" s="170"/>
      <c r="P26" s="88" t="s">
        <v>444</v>
      </c>
    </row>
    <row r="27" spans="1:16" x14ac:dyDescent="0.25">
      <c r="A27" s="5">
        <v>25</v>
      </c>
      <c r="B27" s="60">
        <v>101816808</v>
      </c>
      <c r="C27" s="102" t="s">
        <v>496</v>
      </c>
      <c r="D27" s="60" t="str">
        <f t="shared" si="0"/>
        <v>101816808 /0033858808</v>
      </c>
      <c r="E27" s="103" t="s">
        <v>497</v>
      </c>
      <c r="F27" s="57" t="s">
        <v>381</v>
      </c>
      <c r="G27" s="72" t="s">
        <v>462</v>
      </c>
      <c r="H27" s="88"/>
      <c r="I27" s="88"/>
      <c r="J27" s="88"/>
      <c r="K27" s="170"/>
      <c r="L27" s="168"/>
      <c r="M27" s="170"/>
      <c r="N27" s="170"/>
      <c r="O27" s="170"/>
      <c r="P27" s="88" t="s">
        <v>444</v>
      </c>
    </row>
    <row r="28" spans="1:16" x14ac:dyDescent="0.25">
      <c r="A28" s="5">
        <v>26</v>
      </c>
      <c r="B28" s="60">
        <v>101816809</v>
      </c>
      <c r="C28" s="102" t="s">
        <v>498</v>
      </c>
      <c r="D28" s="60" t="str">
        <f t="shared" si="0"/>
        <v>101816809 /0033657281</v>
      </c>
      <c r="E28" s="103" t="s">
        <v>499</v>
      </c>
      <c r="F28" s="57" t="s">
        <v>381</v>
      </c>
      <c r="G28" s="72" t="s">
        <v>462</v>
      </c>
      <c r="H28" s="88"/>
      <c r="I28" s="88"/>
      <c r="J28" s="88"/>
      <c r="K28" s="170"/>
      <c r="L28" s="168"/>
      <c r="M28" s="170"/>
      <c r="N28" s="170"/>
      <c r="O28" s="170"/>
      <c r="P28" s="88" t="s">
        <v>444</v>
      </c>
    </row>
    <row r="29" spans="1:16" x14ac:dyDescent="0.25">
      <c r="A29" s="5">
        <v>27</v>
      </c>
      <c r="B29" s="60">
        <v>101816811</v>
      </c>
      <c r="C29" s="102" t="s">
        <v>500</v>
      </c>
      <c r="D29" s="60" t="str">
        <f t="shared" si="0"/>
        <v>101816811 /0034215513</v>
      </c>
      <c r="E29" s="103" t="s">
        <v>501</v>
      </c>
      <c r="F29" s="57" t="s">
        <v>381</v>
      </c>
      <c r="G29" s="72" t="s">
        <v>449</v>
      </c>
      <c r="H29" s="88"/>
      <c r="I29" s="88"/>
      <c r="J29" s="88"/>
      <c r="K29" s="170"/>
      <c r="L29" s="168"/>
      <c r="M29" s="170"/>
      <c r="N29" s="170"/>
      <c r="O29" s="170"/>
      <c r="P29" s="88" t="s">
        <v>444</v>
      </c>
    </row>
    <row r="30" spans="1:16" x14ac:dyDescent="0.25">
      <c r="A30" s="5">
        <v>28</v>
      </c>
      <c r="B30" s="60">
        <v>101816813</v>
      </c>
      <c r="C30" s="102" t="s">
        <v>502</v>
      </c>
      <c r="D30" s="60" t="str">
        <f t="shared" si="0"/>
        <v>101816813 /0029291975</v>
      </c>
      <c r="E30" s="103" t="s">
        <v>503</v>
      </c>
      <c r="F30" s="57" t="s">
        <v>379</v>
      </c>
      <c r="G30" s="72" t="s">
        <v>452</v>
      </c>
      <c r="H30" s="88"/>
      <c r="I30" s="88"/>
      <c r="J30" s="88"/>
      <c r="K30" s="170"/>
      <c r="L30" s="168"/>
      <c r="M30" s="170"/>
      <c r="N30" s="170"/>
      <c r="O30" s="170"/>
      <c r="P30" s="88" t="s">
        <v>444</v>
      </c>
    </row>
    <row r="31" spans="1:16" x14ac:dyDescent="0.25">
      <c r="A31" s="5">
        <v>29</v>
      </c>
      <c r="B31" s="60">
        <v>101816814</v>
      </c>
      <c r="C31" s="60" t="s">
        <v>504</v>
      </c>
      <c r="D31" s="60" t="str">
        <f t="shared" si="0"/>
        <v>101816814 /0026859347</v>
      </c>
      <c r="E31" s="88" t="s">
        <v>505</v>
      </c>
      <c r="F31" s="57" t="s">
        <v>379</v>
      </c>
      <c r="G31" s="72" t="s">
        <v>483</v>
      </c>
      <c r="H31" s="88"/>
      <c r="I31" s="88"/>
      <c r="J31" s="88"/>
      <c r="K31" s="170"/>
      <c r="L31" s="168"/>
      <c r="M31" s="170"/>
      <c r="N31" s="170"/>
      <c r="O31" s="170"/>
      <c r="P31" s="88" t="s">
        <v>444</v>
      </c>
    </row>
    <row r="32" spans="1:16" x14ac:dyDescent="0.25">
      <c r="A32" s="5">
        <v>30</v>
      </c>
      <c r="B32" s="60">
        <v>101816815</v>
      </c>
      <c r="C32" s="102" t="s">
        <v>506</v>
      </c>
      <c r="D32" s="60" t="str">
        <f t="shared" si="0"/>
        <v>101816815 /0037541520</v>
      </c>
      <c r="E32" s="103" t="s">
        <v>507</v>
      </c>
      <c r="F32" s="57" t="s">
        <v>381</v>
      </c>
      <c r="G32" s="72" t="s">
        <v>449</v>
      </c>
      <c r="H32" s="88"/>
      <c r="I32" s="88"/>
      <c r="J32" s="88"/>
      <c r="K32" s="170"/>
      <c r="L32" s="168"/>
      <c r="M32" s="170"/>
      <c r="N32" s="170"/>
      <c r="O32" s="170"/>
      <c r="P32" s="88" t="s">
        <v>444</v>
      </c>
    </row>
    <row r="33" spans="1:16" x14ac:dyDescent="0.25">
      <c r="A33" s="5">
        <v>31</v>
      </c>
      <c r="B33" s="60">
        <v>101816817</v>
      </c>
      <c r="C33" s="102" t="s">
        <v>508</v>
      </c>
      <c r="D33" s="60" t="str">
        <f t="shared" si="0"/>
        <v>101816817 /0033335630</v>
      </c>
      <c r="E33" s="103" t="s">
        <v>509</v>
      </c>
      <c r="F33" s="57" t="s">
        <v>381</v>
      </c>
      <c r="G33" s="72" t="s">
        <v>455</v>
      </c>
      <c r="H33" s="88"/>
      <c r="I33" s="88"/>
      <c r="J33" s="88"/>
      <c r="K33" s="170"/>
      <c r="L33" s="168"/>
      <c r="M33" s="170"/>
      <c r="N33" s="170"/>
      <c r="O33" s="170"/>
      <c r="P33" s="88" t="s">
        <v>444</v>
      </c>
    </row>
    <row r="34" spans="1:16" x14ac:dyDescent="0.25">
      <c r="A34" s="5">
        <v>32</v>
      </c>
      <c r="B34" s="60">
        <v>101816818</v>
      </c>
      <c r="C34" s="102" t="s">
        <v>510</v>
      </c>
      <c r="D34" s="60" t="str">
        <f t="shared" si="0"/>
        <v>101816818 /0026296140</v>
      </c>
      <c r="E34" s="103" t="s">
        <v>511</v>
      </c>
      <c r="F34" s="57" t="s">
        <v>381</v>
      </c>
      <c r="G34" s="72" t="s">
        <v>443</v>
      </c>
      <c r="H34" s="88"/>
      <c r="I34" s="88"/>
      <c r="J34" s="88"/>
      <c r="K34" s="170"/>
      <c r="L34" s="168"/>
      <c r="M34" s="170"/>
      <c r="N34" s="170"/>
      <c r="O34" s="170"/>
      <c r="P34" s="88" t="s">
        <v>444</v>
      </c>
    </row>
    <row r="35" spans="1:16" x14ac:dyDescent="0.25">
      <c r="A35" s="5">
        <v>33</v>
      </c>
      <c r="B35" s="60">
        <v>101816822</v>
      </c>
      <c r="C35" s="130" t="s">
        <v>512</v>
      </c>
      <c r="D35" s="60" t="str">
        <f t="shared" ref="D35:D66" si="1">B35&amp;" /"&amp;C35</f>
        <v>101816822 /0027335690</v>
      </c>
      <c r="E35" s="104" t="s">
        <v>513</v>
      </c>
      <c r="F35" s="57" t="s">
        <v>379</v>
      </c>
      <c r="G35" s="72" t="s">
        <v>443</v>
      </c>
      <c r="H35" s="88"/>
      <c r="I35" s="88"/>
      <c r="J35" s="88"/>
      <c r="K35" s="170"/>
      <c r="L35" s="168"/>
      <c r="M35" s="170"/>
      <c r="N35" s="170"/>
      <c r="O35" s="170"/>
      <c r="P35" s="88" t="s">
        <v>444</v>
      </c>
    </row>
    <row r="36" spans="1:16" x14ac:dyDescent="0.25">
      <c r="A36" s="5">
        <v>34</v>
      </c>
      <c r="B36" s="60">
        <v>101816823</v>
      </c>
      <c r="C36" s="60" t="s">
        <v>514</v>
      </c>
      <c r="D36" s="60" t="str">
        <f t="shared" si="1"/>
        <v>101816823 /0033564045</v>
      </c>
      <c r="E36" s="88" t="s">
        <v>515</v>
      </c>
      <c r="F36" s="57" t="s">
        <v>379</v>
      </c>
      <c r="G36" s="72" t="s">
        <v>483</v>
      </c>
      <c r="H36" s="88"/>
      <c r="I36" s="88"/>
      <c r="J36" s="88"/>
      <c r="K36" s="170"/>
      <c r="L36" s="168"/>
      <c r="M36" s="170"/>
      <c r="N36" s="170"/>
      <c r="O36" s="170"/>
      <c r="P36" s="88" t="s">
        <v>444</v>
      </c>
    </row>
    <row r="37" spans="1:16" x14ac:dyDescent="0.25">
      <c r="A37" s="5">
        <v>35</v>
      </c>
      <c r="B37" s="60">
        <v>101816824</v>
      </c>
      <c r="C37" s="60" t="s">
        <v>516</v>
      </c>
      <c r="D37" s="60" t="str">
        <f t="shared" si="1"/>
        <v>101816824 /0036017581</v>
      </c>
      <c r="E37" s="88" t="s">
        <v>517</v>
      </c>
      <c r="F37" s="57" t="s">
        <v>381</v>
      </c>
      <c r="G37" s="72" t="s">
        <v>455</v>
      </c>
      <c r="H37" s="88"/>
      <c r="I37" s="88"/>
      <c r="J37" s="88"/>
      <c r="K37" s="170"/>
      <c r="L37" s="168"/>
      <c r="M37" s="170"/>
      <c r="N37" s="170"/>
      <c r="O37" s="170"/>
      <c r="P37" s="88" t="s">
        <v>444</v>
      </c>
    </row>
    <row r="38" spans="1:16" x14ac:dyDescent="0.25">
      <c r="A38" s="5">
        <v>36</v>
      </c>
      <c r="B38" s="60">
        <v>101816828</v>
      </c>
      <c r="C38" s="102" t="s">
        <v>518</v>
      </c>
      <c r="D38" s="60" t="str">
        <f t="shared" si="1"/>
        <v>101816828 /0023582813</v>
      </c>
      <c r="E38" s="103" t="s">
        <v>519</v>
      </c>
      <c r="F38" s="57" t="s">
        <v>381</v>
      </c>
      <c r="G38" s="72" t="s">
        <v>455</v>
      </c>
      <c r="H38" s="88"/>
      <c r="I38" s="88"/>
      <c r="J38" s="88"/>
      <c r="K38" s="170"/>
      <c r="L38" s="168"/>
      <c r="M38" s="170"/>
      <c r="N38" s="170"/>
      <c r="O38" s="170"/>
      <c r="P38" s="88" t="s">
        <v>444</v>
      </c>
    </row>
    <row r="39" spans="1:16" x14ac:dyDescent="0.25">
      <c r="A39" s="5">
        <v>37</v>
      </c>
      <c r="B39" s="60">
        <v>101816829</v>
      </c>
      <c r="C39" s="60" t="s">
        <v>520</v>
      </c>
      <c r="D39" s="60" t="str">
        <f t="shared" si="1"/>
        <v>101816829 /0039124497</v>
      </c>
      <c r="E39" s="88" t="s">
        <v>521</v>
      </c>
      <c r="F39" s="57" t="s">
        <v>381</v>
      </c>
      <c r="G39" s="72" t="s">
        <v>483</v>
      </c>
      <c r="H39" s="88"/>
      <c r="I39" s="88"/>
      <c r="J39" s="88"/>
      <c r="K39" s="170"/>
      <c r="L39" s="168"/>
      <c r="M39" s="170"/>
      <c r="N39" s="170"/>
      <c r="O39" s="170"/>
      <c r="P39" s="88" t="s">
        <v>444</v>
      </c>
    </row>
    <row r="40" spans="1:16" x14ac:dyDescent="0.25">
      <c r="A40" s="5">
        <v>38</v>
      </c>
      <c r="B40" s="60">
        <v>101816835</v>
      </c>
      <c r="C40" s="60" t="s">
        <v>522</v>
      </c>
      <c r="D40" s="60" t="str">
        <f t="shared" si="1"/>
        <v>101816835 /0025617372</v>
      </c>
      <c r="E40" s="88" t="s">
        <v>523</v>
      </c>
      <c r="F40" s="57" t="s">
        <v>379</v>
      </c>
      <c r="G40" s="72" t="s">
        <v>455</v>
      </c>
      <c r="H40" s="88"/>
      <c r="I40" s="88"/>
      <c r="J40" s="88"/>
      <c r="K40" s="170"/>
      <c r="L40" s="168"/>
      <c r="M40" s="170"/>
      <c r="N40" s="170"/>
      <c r="O40" s="170"/>
      <c r="P40" s="88" t="s">
        <v>444</v>
      </c>
    </row>
    <row r="41" spans="1:16" x14ac:dyDescent="0.25">
      <c r="A41" s="5">
        <v>39</v>
      </c>
      <c r="B41" s="60">
        <v>101816836</v>
      </c>
      <c r="C41" s="102" t="s">
        <v>524</v>
      </c>
      <c r="D41" s="60" t="str">
        <f t="shared" si="1"/>
        <v>101816836 /0025217336</v>
      </c>
      <c r="E41" s="103" t="s">
        <v>525</v>
      </c>
      <c r="F41" s="57" t="s">
        <v>379</v>
      </c>
      <c r="G41" s="72" t="s">
        <v>483</v>
      </c>
      <c r="H41" s="88"/>
      <c r="I41" s="88"/>
      <c r="J41" s="88"/>
      <c r="K41" s="170"/>
      <c r="L41" s="168"/>
      <c r="M41" s="170"/>
      <c r="N41" s="170"/>
      <c r="O41" s="170"/>
      <c r="P41" s="88" t="s">
        <v>444</v>
      </c>
    </row>
    <row r="42" spans="1:16" x14ac:dyDescent="0.25">
      <c r="A42" s="5">
        <v>40</v>
      </c>
      <c r="B42" s="60">
        <v>101816837</v>
      </c>
      <c r="C42" s="102" t="s">
        <v>526</v>
      </c>
      <c r="D42" s="60" t="str">
        <f t="shared" si="1"/>
        <v>101816837 /0038529355</v>
      </c>
      <c r="E42" s="103" t="s">
        <v>527</v>
      </c>
      <c r="F42" s="57" t="s">
        <v>379</v>
      </c>
      <c r="G42" s="72" t="s">
        <v>449</v>
      </c>
      <c r="H42" s="88"/>
      <c r="I42" s="88"/>
      <c r="J42" s="88"/>
      <c r="K42" s="170"/>
      <c r="L42" s="168"/>
      <c r="M42" s="170"/>
      <c r="N42" s="170"/>
      <c r="O42" s="170"/>
      <c r="P42" s="88" t="s">
        <v>444</v>
      </c>
    </row>
    <row r="43" spans="1:16" x14ac:dyDescent="0.25">
      <c r="A43" s="5">
        <v>41</v>
      </c>
      <c r="B43" s="60">
        <v>101816840</v>
      </c>
      <c r="C43" s="60" t="s">
        <v>528</v>
      </c>
      <c r="D43" s="60" t="str">
        <f t="shared" si="1"/>
        <v>101816840 /0044286603</v>
      </c>
      <c r="E43" s="88" t="s">
        <v>529</v>
      </c>
      <c r="F43" s="57" t="s">
        <v>381</v>
      </c>
      <c r="G43" s="72" t="s">
        <v>455</v>
      </c>
      <c r="H43" s="88"/>
      <c r="I43" s="88"/>
      <c r="J43" s="88"/>
      <c r="K43" s="170"/>
      <c r="L43" s="168"/>
      <c r="M43" s="170"/>
      <c r="N43" s="170"/>
      <c r="O43" s="170"/>
      <c r="P43" s="88" t="s">
        <v>444</v>
      </c>
    </row>
    <row r="44" spans="1:16" x14ac:dyDescent="0.25">
      <c r="A44" s="5">
        <v>42</v>
      </c>
      <c r="B44" s="60">
        <v>101816843</v>
      </c>
      <c r="C44" s="102" t="s">
        <v>530</v>
      </c>
      <c r="D44" s="60" t="str">
        <f t="shared" si="1"/>
        <v>101816843 /0031061982</v>
      </c>
      <c r="E44" s="103" t="s">
        <v>531</v>
      </c>
      <c r="F44" s="57" t="s">
        <v>381</v>
      </c>
      <c r="G44" s="72" t="s">
        <v>462</v>
      </c>
      <c r="H44" s="88"/>
      <c r="I44" s="88"/>
      <c r="J44" s="88"/>
      <c r="K44" s="170"/>
      <c r="L44" s="168"/>
      <c r="M44" s="170"/>
      <c r="N44" s="170"/>
      <c r="O44" s="170"/>
      <c r="P44" s="88" t="s">
        <v>444</v>
      </c>
    </row>
    <row r="45" spans="1:16" x14ac:dyDescent="0.25">
      <c r="A45" s="5">
        <v>43</v>
      </c>
      <c r="B45" s="60">
        <v>101816844</v>
      </c>
      <c r="C45" s="102" t="s">
        <v>532</v>
      </c>
      <c r="D45" s="60" t="str">
        <f t="shared" si="1"/>
        <v>101816844 /0033565802</v>
      </c>
      <c r="E45" s="103" t="s">
        <v>533</v>
      </c>
      <c r="F45" s="57" t="s">
        <v>379</v>
      </c>
      <c r="G45" s="72" t="s">
        <v>443</v>
      </c>
      <c r="H45" s="88"/>
      <c r="I45" s="88"/>
      <c r="J45" s="88"/>
      <c r="K45" s="170"/>
      <c r="L45" s="168"/>
      <c r="M45" s="170"/>
      <c r="N45" s="170"/>
      <c r="O45" s="170"/>
      <c r="P45" s="88" t="s">
        <v>444</v>
      </c>
    </row>
    <row r="46" spans="1:16" x14ac:dyDescent="0.25">
      <c r="A46" s="5">
        <v>44</v>
      </c>
      <c r="B46" s="60">
        <v>101816845</v>
      </c>
      <c r="C46" s="102" t="s">
        <v>534</v>
      </c>
      <c r="D46" s="60" t="str">
        <f t="shared" si="1"/>
        <v>101816845 /0026251226</v>
      </c>
      <c r="E46" s="103" t="s">
        <v>535</v>
      </c>
      <c r="F46" s="57" t="s">
        <v>381</v>
      </c>
      <c r="G46" s="72" t="s">
        <v>452</v>
      </c>
      <c r="H46" s="88"/>
      <c r="I46" s="88"/>
      <c r="J46" s="88"/>
      <c r="K46" s="170"/>
      <c r="L46" s="168"/>
      <c r="M46" s="170"/>
      <c r="N46" s="170"/>
      <c r="O46" s="170"/>
      <c r="P46" s="88" t="s">
        <v>444</v>
      </c>
    </row>
    <row r="47" spans="1:16" x14ac:dyDescent="0.25">
      <c r="A47" s="5">
        <v>45</v>
      </c>
      <c r="B47" s="60">
        <v>101816846</v>
      </c>
      <c r="C47" s="102" t="s">
        <v>536</v>
      </c>
      <c r="D47" s="60" t="str">
        <f t="shared" si="1"/>
        <v>101816846 /0033548624</v>
      </c>
      <c r="E47" s="103" t="s">
        <v>537</v>
      </c>
      <c r="F47" s="57" t="s">
        <v>381</v>
      </c>
      <c r="G47" s="72" t="s">
        <v>452</v>
      </c>
      <c r="H47" s="88"/>
      <c r="I47" s="88"/>
      <c r="J47" s="88"/>
      <c r="K47" s="170"/>
      <c r="L47" s="168"/>
      <c r="M47" s="170"/>
      <c r="N47" s="170"/>
      <c r="O47" s="170"/>
      <c r="P47" s="88" t="s">
        <v>444</v>
      </c>
    </row>
    <row r="48" spans="1:16" x14ac:dyDescent="0.25">
      <c r="A48" s="5">
        <v>46</v>
      </c>
      <c r="B48" s="60">
        <v>101816847</v>
      </c>
      <c r="C48" s="102" t="s">
        <v>538</v>
      </c>
      <c r="D48" s="60" t="str">
        <f t="shared" si="1"/>
        <v>101816847 /0040272151</v>
      </c>
      <c r="E48" s="103" t="s">
        <v>539</v>
      </c>
      <c r="F48" s="57" t="s">
        <v>381</v>
      </c>
      <c r="G48" s="72" t="s">
        <v>443</v>
      </c>
      <c r="H48" s="88"/>
      <c r="I48" s="88"/>
      <c r="J48" s="88"/>
      <c r="K48" s="170"/>
      <c r="L48" s="168"/>
      <c r="M48" s="170"/>
      <c r="N48" s="170"/>
      <c r="O48" s="170"/>
      <c r="P48" s="88" t="s">
        <v>444</v>
      </c>
    </row>
    <row r="49" spans="1:16" x14ac:dyDescent="0.25">
      <c r="A49" s="5">
        <v>47</v>
      </c>
      <c r="B49" s="60">
        <v>101816849</v>
      </c>
      <c r="C49" s="60" t="s">
        <v>540</v>
      </c>
      <c r="D49" s="60" t="str">
        <f t="shared" si="1"/>
        <v>101816849 /0036501920</v>
      </c>
      <c r="E49" s="88" t="s">
        <v>541</v>
      </c>
      <c r="F49" s="57" t="s">
        <v>381</v>
      </c>
      <c r="G49" s="72" t="s">
        <v>449</v>
      </c>
      <c r="H49" s="88"/>
      <c r="I49" s="88"/>
      <c r="J49" s="88"/>
      <c r="K49" s="170"/>
      <c r="L49" s="168"/>
      <c r="M49" s="170"/>
      <c r="N49" s="170"/>
      <c r="O49" s="170"/>
      <c r="P49" s="88" t="s">
        <v>444</v>
      </c>
    </row>
    <row r="50" spans="1:16" x14ac:dyDescent="0.25">
      <c r="A50" s="5">
        <v>48</v>
      </c>
      <c r="B50" s="60">
        <v>101816850</v>
      </c>
      <c r="C50" s="60" t="s">
        <v>542</v>
      </c>
      <c r="D50" s="60" t="str">
        <f t="shared" si="1"/>
        <v>101816850 /0027869803</v>
      </c>
      <c r="E50" s="88" t="s">
        <v>543</v>
      </c>
      <c r="F50" s="57" t="s">
        <v>381</v>
      </c>
      <c r="G50" s="72" t="s">
        <v>462</v>
      </c>
      <c r="H50" s="88"/>
      <c r="I50" s="88"/>
      <c r="J50" s="88"/>
      <c r="K50" s="170"/>
      <c r="L50" s="168"/>
      <c r="M50" s="170"/>
      <c r="N50" s="170"/>
      <c r="O50" s="170"/>
      <c r="P50" s="88" t="s">
        <v>444</v>
      </c>
    </row>
    <row r="51" spans="1:16" x14ac:dyDescent="0.25">
      <c r="A51" s="5">
        <v>49</v>
      </c>
      <c r="B51" s="60">
        <v>101816851</v>
      </c>
      <c r="C51" s="60" t="s">
        <v>544</v>
      </c>
      <c r="D51" s="60" t="str">
        <f t="shared" si="1"/>
        <v>101816851 /0028590543</v>
      </c>
      <c r="E51" s="88" t="s">
        <v>545</v>
      </c>
      <c r="F51" s="57" t="s">
        <v>381</v>
      </c>
      <c r="G51" s="72" t="s">
        <v>462</v>
      </c>
      <c r="H51" s="88"/>
      <c r="I51" s="88"/>
      <c r="J51" s="88"/>
      <c r="K51" s="170"/>
      <c r="L51" s="168"/>
      <c r="M51" s="170"/>
      <c r="N51" s="170"/>
      <c r="O51" s="170"/>
      <c r="P51" s="88" t="s">
        <v>444</v>
      </c>
    </row>
    <row r="52" spans="1:16" x14ac:dyDescent="0.25">
      <c r="A52" s="5">
        <v>50</v>
      </c>
      <c r="B52" s="60">
        <v>101816853</v>
      </c>
      <c r="C52" s="102" t="s">
        <v>546</v>
      </c>
      <c r="D52" s="60" t="str">
        <f t="shared" si="1"/>
        <v>101816853 /0033956994</v>
      </c>
      <c r="E52" s="103" t="s">
        <v>547</v>
      </c>
      <c r="F52" s="57" t="s">
        <v>379</v>
      </c>
      <c r="G52" s="72" t="s">
        <v>462</v>
      </c>
      <c r="H52" s="88"/>
      <c r="I52" s="88"/>
      <c r="J52" s="88"/>
      <c r="K52" s="170"/>
      <c r="L52" s="168"/>
      <c r="M52" s="170"/>
      <c r="N52" s="170"/>
      <c r="O52" s="170"/>
      <c r="P52" s="88" t="s">
        <v>444</v>
      </c>
    </row>
    <row r="53" spans="1:16" x14ac:dyDescent="0.25">
      <c r="A53" s="5">
        <v>51</v>
      </c>
      <c r="B53" s="60">
        <v>101816855</v>
      </c>
      <c r="C53" s="102" t="s">
        <v>548</v>
      </c>
      <c r="D53" s="60" t="str">
        <f t="shared" si="1"/>
        <v>101816855 /0023339311</v>
      </c>
      <c r="E53" s="103" t="s">
        <v>549</v>
      </c>
      <c r="F53" s="57" t="s">
        <v>381</v>
      </c>
      <c r="G53" s="72" t="s">
        <v>452</v>
      </c>
      <c r="H53" s="88"/>
      <c r="I53" s="88"/>
      <c r="J53" s="88"/>
      <c r="K53" s="170"/>
      <c r="L53" s="168"/>
      <c r="M53" s="170"/>
      <c r="N53" s="170"/>
      <c r="O53" s="170"/>
      <c r="P53" s="88" t="s">
        <v>444</v>
      </c>
    </row>
    <row r="54" spans="1:16" x14ac:dyDescent="0.25">
      <c r="A54" s="5">
        <v>52</v>
      </c>
      <c r="B54" s="60">
        <v>101816856</v>
      </c>
      <c r="C54" s="60" t="s">
        <v>550</v>
      </c>
      <c r="D54" s="60" t="str">
        <f t="shared" si="1"/>
        <v>101816856 /0035463195</v>
      </c>
      <c r="E54" s="88" t="s">
        <v>551</v>
      </c>
      <c r="F54" s="57" t="s">
        <v>381</v>
      </c>
      <c r="G54" s="72" t="s">
        <v>449</v>
      </c>
      <c r="H54" s="88"/>
      <c r="I54" s="88"/>
      <c r="J54" s="88"/>
      <c r="K54" s="170"/>
      <c r="L54" s="168"/>
      <c r="M54" s="170"/>
      <c r="N54" s="170"/>
      <c r="O54" s="170"/>
      <c r="P54" s="88" t="s">
        <v>444</v>
      </c>
    </row>
    <row r="55" spans="1:16" x14ac:dyDescent="0.25">
      <c r="A55" s="5">
        <v>53</v>
      </c>
      <c r="B55" s="60">
        <v>101816857</v>
      </c>
      <c r="C55" s="60" t="s">
        <v>552</v>
      </c>
      <c r="D55" s="60" t="str">
        <f t="shared" si="1"/>
        <v>101816857 /0033415454</v>
      </c>
      <c r="E55" s="88" t="s">
        <v>553</v>
      </c>
      <c r="F55" s="57" t="s">
        <v>381</v>
      </c>
      <c r="G55" s="72" t="s">
        <v>462</v>
      </c>
      <c r="H55" s="88"/>
      <c r="I55" s="88"/>
      <c r="J55" s="88"/>
      <c r="K55" s="170"/>
      <c r="L55" s="168"/>
      <c r="M55" s="170"/>
      <c r="N55" s="170"/>
      <c r="O55" s="170"/>
      <c r="P55" s="88" t="s">
        <v>444</v>
      </c>
    </row>
    <row r="56" spans="1:16" x14ac:dyDescent="0.25">
      <c r="A56" s="5">
        <v>54</v>
      </c>
      <c r="B56" s="60">
        <v>101816858</v>
      </c>
      <c r="C56" s="60" t="s">
        <v>554</v>
      </c>
      <c r="D56" s="60" t="str">
        <f t="shared" si="1"/>
        <v>101816858 /0029011933</v>
      </c>
      <c r="E56" s="88" t="s">
        <v>555</v>
      </c>
      <c r="F56" s="57" t="s">
        <v>381</v>
      </c>
      <c r="G56" s="72" t="s">
        <v>462</v>
      </c>
      <c r="H56" s="88"/>
      <c r="I56" s="88"/>
      <c r="J56" s="88"/>
      <c r="K56" s="170"/>
      <c r="L56" s="168"/>
      <c r="M56" s="170"/>
      <c r="N56" s="170"/>
      <c r="O56" s="170"/>
      <c r="P56" s="88" t="s">
        <v>444</v>
      </c>
    </row>
    <row r="57" spans="1:16" x14ac:dyDescent="0.25">
      <c r="A57" s="5">
        <v>55</v>
      </c>
      <c r="B57" s="60">
        <v>101816859</v>
      </c>
      <c r="C57" s="102" t="s">
        <v>556</v>
      </c>
      <c r="D57" s="60" t="str">
        <f t="shared" si="1"/>
        <v>101816859 /0024772604</v>
      </c>
      <c r="E57" s="103" t="s">
        <v>557</v>
      </c>
      <c r="F57" s="57" t="s">
        <v>379</v>
      </c>
      <c r="G57" s="72" t="s">
        <v>452</v>
      </c>
      <c r="H57" s="88"/>
      <c r="I57" s="88"/>
      <c r="J57" s="88"/>
      <c r="K57" s="170"/>
      <c r="L57" s="168"/>
      <c r="M57" s="170"/>
      <c r="N57" s="170"/>
      <c r="O57" s="170"/>
      <c r="P57" s="88" t="s">
        <v>444</v>
      </c>
    </row>
    <row r="58" spans="1:16" x14ac:dyDescent="0.25">
      <c r="A58" s="5">
        <v>56</v>
      </c>
      <c r="B58" s="60">
        <v>101816860</v>
      </c>
      <c r="C58" s="60" t="s">
        <v>558</v>
      </c>
      <c r="D58" s="60" t="str">
        <f t="shared" si="1"/>
        <v>101816860 /0033273975</v>
      </c>
      <c r="E58" s="88" t="s">
        <v>559</v>
      </c>
      <c r="F58" s="57" t="s">
        <v>381</v>
      </c>
      <c r="G58" s="72" t="s">
        <v>455</v>
      </c>
      <c r="H58" s="88"/>
      <c r="I58" s="88"/>
      <c r="J58" s="88"/>
      <c r="K58" s="170"/>
      <c r="L58" s="168"/>
      <c r="M58" s="170"/>
      <c r="N58" s="170"/>
      <c r="O58" s="170"/>
      <c r="P58" s="88" t="s">
        <v>444</v>
      </c>
    </row>
    <row r="59" spans="1:16" x14ac:dyDescent="0.25">
      <c r="A59" s="5">
        <v>57</v>
      </c>
      <c r="B59" s="60">
        <v>101816862</v>
      </c>
      <c r="C59" s="60" t="s">
        <v>560</v>
      </c>
      <c r="D59" s="60" t="str">
        <f t="shared" si="1"/>
        <v>101816862 /0032693668</v>
      </c>
      <c r="E59" s="88" t="s">
        <v>561</v>
      </c>
      <c r="F59" s="57" t="s">
        <v>381</v>
      </c>
      <c r="G59" s="72" t="s">
        <v>462</v>
      </c>
      <c r="H59" s="88"/>
      <c r="I59" s="88"/>
      <c r="J59" s="88"/>
      <c r="K59" s="170"/>
      <c r="L59" s="168"/>
      <c r="M59" s="170"/>
      <c r="N59" s="170"/>
      <c r="O59" s="170"/>
      <c r="P59" s="88" t="s">
        <v>444</v>
      </c>
    </row>
    <row r="60" spans="1:16" x14ac:dyDescent="0.25">
      <c r="A60" s="5">
        <v>58</v>
      </c>
      <c r="B60" s="60">
        <v>101816865</v>
      </c>
      <c r="C60" s="102" t="s">
        <v>562</v>
      </c>
      <c r="D60" s="60" t="str">
        <f t="shared" si="1"/>
        <v>101816865 /0020282451</v>
      </c>
      <c r="E60" s="103" t="s">
        <v>563</v>
      </c>
      <c r="F60" s="57" t="s">
        <v>381</v>
      </c>
      <c r="G60" s="72" t="s">
        <v>449</v>
      </c>
      <c r="H60" s="88"/>
      <c r="I60" s="88"/>
      <c r="J60" s="88"/>
      <c r="K60" s="170"/>
      <c r="L60" s="168"/>
      <c r="M60" s="170"/>
      <c r="N60" s="170"/>
      <c r="O60" s="170"/>
      <c r="P60" s="88" t="s">
        <v>444</v>
      </c>
    </row>
    <row r="61" spans="1:16" x14ac:dyDescent="0.25">
      <c r="A61" s="5">
        <v>59</v>
      </c>
      <c r="B61" s="60">
        <v>101816867</v>
      </c>
      <c r="C61" s="60" t="s">
        <v>564</v>
      </c>
      <c r="D61" s="60" t="str">
        <f t="shared" si="1"/>
        <v>101816867 /0020304631</v>
      </c>
      <c r="E61" s="88" t="s">
        <v>565</v>
      </c>
      <c r="F61" s="57" t="s">
        <v>379</v>
      </c>
      <c r="G61" s="72" t="s">
        <v>462</v>
      </c>
      <c r="H61" s="88"/>
      <c r="I61" s="88"/>
      <c r="J61" s="88"/>
      <c r="K61" s="170"/>
      <c r="L61" s="168"/>
      <c r="M61" s="170"/>
      <c r="N61" s="170"/>
      <c r="O61" s="170"/>
      <c r="P61" s="88" t="s">
        <v>444</v>
      </c>
    </row>
    <row r="62" spans="1:16" x14ac:dyDescent="0.25">
      <c r="A62" s="5">
        <v>60</v>
      </c>
      <c r="B62" s="60">
        <v>101816869</v>
      </c>
      <c r="C62" s="60" t="s">
        <v>566</v>
      </c>
      <c r="D62" s="60" t="str">
        <f t="shared" si="1"/>
        <v>101816869 /0032116975</v>
      </c>
      <c r="E62" s="88" t="s">
        <v>567</v>
      </c>
      <c r="F62" s="57" t="s">
        <v>381</v>
      </c>
      <c r="G62" s="72" t="s">
        <v>462</v>
      </c>
      <c r="H62" s="88"/>
      <c r="I62" s="88"/>
      <c r="J62" s="88"/>
      <c r="K62" s="170"/>
      <c r="L62" s="168"/>
      <c r="M62" s="170"/>
      <c r="N62" s="170"/>
      <c r="O62" s="170"/>
      <c r="P62" s="88" t="s">
        <v>444</v>
      </c>
    </row>
    <row r="63" spans="1:16" x14ac:dyDescent="0.25">
      <c r="A63" s="5">
        <v>61</v>
      </c>
      <c r="B63" s="60">
        <v>101816875</v>
      </c>
      <c r="C63" s="102" t="s">
        <v>568</v>
      </c>
      <c r="D63" s="60" t="str">
        <f t="shared" si="1"/>
        <v>101816875 /0033858826</v>
      </c>
      <c r="E63" s="103" t="s">
        <v>569</v>
      </c>
      <c r="F63" s="57" t="s">
        <v>379</v>
      </c>
      <c r="G63" s="72" t="s">
        <v>449</v>
      </c>
      <c r="H63" s="88"/>
      <c r="I63" s="88"/>
      <c r="J63" s="88"/>
      <c r="K63" s="170"/>
      <c r="L63" s="168"/>
      <c r="M63" s="170"/>
      <c r="N63" s="170"/>
      <c r="O63" s="170"/>
      <c r="P63" s="88" t="s">
        <v>444</v>
      </c>
    </row>
    <row r="64" spans="1:16" x14ac:dyDescent="0.25">
      <c r="A64" s="5">
        <v>62</v>
      </c>
      <c r="B64" s="60">
        <v>101816877</v>
      </c>
      <c r="C64" s="60" t="s">
        <v>570</v>
      </c>
      <c r="D64" s="60" t="str">
        <f t="shared" si="1"/>
        <v>101816877 /0031207610</v>
      </c>
      <c r="E64" s="88" t="s">
        <v>571</v>
      </c>
      <c r="F64" s="57" t="s">
        <v>381</v>
      </c>
      <c r="G64" s="72" t="s">
        <v>452</v>
      </c>
      <c r="H64" s="88"/>
      <c r="I64" s="88"/>
      <c r="J64" s="88"/>
      <c r="K64" s="170"/>
      <c r="L64" s="168"/>
      <c r="M64" s="170"/>
      <c r="N64" s="170"/>
      <c r="O64" s="170"/>
      <c r="P64" s="88" t="s">
        <v>444</v>
      </c>
    </row>
    <row r="65" spans="1:16" x14ac:dyDescent="0.25">
      <c r="A65" s="5">
        <v>63</v>
      </c>
      <c r="B65" s="60">
        <v>101816879</v>
      </c>
      <c r="C65" s="101" t="s">
        <v>572</v>
      </c>
      <c r="D65" s="60" t="str">
        <f t="shared" si="1"/>
        <v>101816879 /0011621514</v>
      </c>
      <c r="E65" s="96" t="s">
        <v>573</v>
      </c>
      <c r="F65" s="57" t="s">
        <v>379</v>
      </c>
      <c r="G65" s="72" t="s">
        <v>449</v>
      </c>
      <c r="H65" s="88"/>
      <c r="I65" s="88"/>
      <c r="J65" s="88"/>
      <c r="K65" s="170"/>
      <c r="L65" s="168"/>
      <c r="M65" s="170"/>
      <c r="N65" s="170"/>
      <c r="O65" s="170"/>
      <c r="P65" s="88" t="s">
        <v>444</v>
      </c>
    </row>
    <row r="66" spans="1:16" x14ac:dyDescent="0.25">
      <c r="A66" s="5">
        <v>64</v>
      </c>
      <c r="B66" s="60">
        <v>101816880</v>
      </c>
      <c r="C66" s="60" t="s">
        <v>574</v>
      </c>
      <c r="D66" s="60" t="str">
        <f t="shared" si="1"/>
        <v>101816880 /0032965950</v>
      </c>
      <c r="E66" s="88" t="s">
        <v>575</v>
      </c>
      <c r="F66" s="57" t="s">
        <v>379</v>
      </c>
      <c r="G66" s="72" t="s">
        <v>452</v>
      </c>
      <c r="H66" s="88"/>
      <c r="I66" s="88"/>
      <c r="J66" s="88"/>
      <c r="K66" s="170"/>
      <c r="L66" s="168"/>
      <c r="M66" s="170"/>
      <c r="N66" s="170"/>
      <c r="O66" s="170"/>
      <c r="P66" s="88" t="s">
        <v>444</v>
      </c>
    </row>
    <row r="67" spans="1:16" x14ac:dyDescent="0.25">
      <c r="A67" s="5">
        <v>65</v>
      </c>
      <c r="B67" s="60">
        <v>101816882</v>
      </c>
      <c r="C67" s="60" t="s">
        <v>576</v>
      </c>
      <c r="D67" s="60" t="str">
        <f t="shared" ref="D67:D93" si="2">B67&amp;" /"&amp;C67</f>
        <v>101816882 /0033018743</v>
      </c>
      <c r="E67" s="88" t="s">
        <v>577</v>
      </c>
      <c r="F67" s="57" t="s">
        <v>379</v>
      </c>
      <c r="G67" s="72" t="s">
        <v>449</v>
      </c>
      <c r="H67" s="88"/>
      <c r="I67" s="88"/>
      <c r="J67" s="88"/>
      <c r="K67" s="170"/>
      <c r="L67" s="168"/>
      <c r="M67" s="170"/>
      <c r="N67" s="170"/>
      <c r="O67" s="170"/>
      <c r="P67" s="88" t="s">
        <v>444</v>
      </c>
    </row>
    <row r="68" spans="1:16" x14ac:dyDescent="0.25">
      <c r="A68" s="5">
        <v>66</v>
      </c>
      <c r="B68" s="60">
        <v>101816884</v>
      </c>
      <c r="C68" s="102" t="s">
        <v>578</v>
      </c>
      <c r="D68" s="60" t="str">
        <f t="shared" si="2"/>
        <v>101816884 /0032354726</v>
      </c>
      <c r="E68" s="103" t="s">
        <v>579</v>
      </c>
      <c r="F68" s="57" t="s">
        <v>381</v>
      </c>
      <c r="G68" s="72" t="s">
        <v>483</v>
      </c>
      <c r="H68" s="88"/>
      <c r="I68" s="88"/>
      <c r="J68" s="88"/>
      <c r="K68" s="170"/>
      <c r="L68" s="168"/>
      <c r="M68" s="170"/>
      <c r="N68" s="170"/>
      <c r="O68" s="170"/>
      <c r="P68" s="88" t="s">
        <v>444</v>
      </c>
    </row>
    <row r="69" spans="1:16" x14ac:dyDescent="0.25">
      <c r="A69" s="5">
        <v>67</v>
      </c>
      <c r="B69" s="60">
        <v>101816886</v>
      </c>
      <c r="C69" s="102" t="s">
        <v>580</v>
      </c>
      <c r="D69" s="60" t="str">
        <f t="shared" si="2"/>
        <v>101816886 /0033495567</v>
      </c>
      <c r="E69" s="103" t="s">
        <v>581</v>
      </c>
      <c r="F69" s="57" t="s">
        <v>381</v>
      </c>
      <c r="G69" s="72" t="s">
        <v>443</v>
      </c>
      <c r="H69" s="88"/>
      <c r="I69" s="88"/>
      <c r="J69" s="88"/>
      <c r="K69" s="170"/>
      <c r="L69" s="168"/>
      <c r="M69" s="170"/>
      <c r="N69" s="170"/>
      <c r="O69" s="170"/>
      <c r="P69" s="88" t="s">
        <v>444</v>
      </c>
    </row>
    <row r="70" spans="1:16" x14ac:dyDescent="0.25">
      <c r="A70" s="5">
        <v>68</v>
      </c>
      <c r="B70" s="60">
        <v>101816887</v>
      </c>
      <c r="C70" s="60" t="s">
        <v>582</v>
      </c>
      <c r="D70" s="60" t="str">
        <f t="shared" si="2"/>
        <v>101816887 /0025915335</v>
      </c>
      <c r="E70" s="88" t="s">
        <v>583</v>
      </c>
      <c r="F70" s="57" t="s">
        <v>381</v>
      </c>
      <c r="G70" s="72" t="s">
        <v>483</v>
      </c>
      <c r="H70" s="88"/>
      <c r="I70" s="88"/>
      <c r="J70" s="88"/>
      <c r="K70" s="170"/>
      <c r="L70" s="168"/>
      <c r="M70" s="170"/>
      <c r="N70" s="170"/>
      <c r="O70" s="170"/>
      <c r="P70" s="88" t="s">
        <v>444</v>
      </c>
    </row>
    <row r="71" spans="1:16" x14ac:dyDescent="0.25">
      <c r="A71" s="5">
        <v>69</v>
      </c>
      <c r="B71" s="60">
        <v>101816888</v>
      </c>
      <c r="C71" s="102" t="s">
        <v>584</v>
      </c>
      <c r="D71" s="60" t="str">
        <f t="shared" si="2"/>
        <v>101816888 /0032207053</v>
      </c>
      <c r="E71" s="103" t="s">
        <v>585</v>
      </c>
      <c r="F71" s="57" t="s">
        <v>381</v>
      </c>
      <c r="G71" s="72" t="s">
        <v>455</v>
      </c>
      <c r="H71" s="88"/>
      <c r="I71" s="88"/>
      <c r="J71" s="88"/>
      <c r="K71" s="170"/>
      <c r="L71" s="168"/>
      <c r="M71" s="170"/>
      <c r="N71" s="170"/>
      <c r="O71" s="170"/>
      <c r="P71" s="88" t="s">
        <v>444</v>
      </c>
    </row>
    <row r="72" spans="1:16" x14ac:dyDescent="0.25">
      <c r="A72" s="5">
        <v>70</v>
      </c>
      <c r="B72" s="60">
        <v>101816889</v>
      </c>
      <c r="C72" s="60" t="s">
        <v>586</v>
      </c>
      <c r="D72" s="60" t="str">
        <f t="shared" si="2"/>
        <v>101816889 /0036156860</v>
      </c>
      <c r="E72" s="88" t="s">
        <v>587</v>
      </c>
      <c r="F72" s="57" t="s">
        <v>379</v>
      </c>
      <c r="G72" s="72" t="s">
        <v>452</v>
      </c>
      <c r="H72" s="88"/>
      <c r="I72" s="88"/>
      <c r="J72" s="88"/>
      <c r="K72" s="170"/>
      <c r="L72" s="168"/>
      <c r="M72" s="170"/>
      <c r="N72" s="170"/>
      <c r="O72" s="170"/>
      <c r="P72" s="88" t="s">
        <v>444</v>
      </c>
    </row>
    <row r="73" spans="1:16" x14ac:dyDescent="0.25">
      <c r="A73" s="5">
        <v>71</v>
      </c>
      <c r="B73" s="60">
        <v>101816890</v>
      </c>
      <c r="C73" s="101" t="s">
        <v>588</v>
      </c>
      <c r="D73" s="60" t="str">
        <f t="shared" si="2"/>
        <v>101816890 /0037797555</v>
      </c>
      <c r="E73" s="104" t="s">
        <v>589</v>
      </c>
      <c r="F73" s="57" t="s">
        <v>379</v>
      </c>
      <c r="G73" s="72" t="s">
        <v>455</v>
      </c>
      <c r="H73" s="88"/>
      <c r="I73" s="88"/>
      <c r="J73" s="88"/>
      <c r="K73" s="170"/>
      <c r="L73" s="168"/>
      <c r="M73" s="170"/>
      <c r="N73" s="170"/>
      <c r="O73" s="170"/>
      <c r="P73" s="88" t="s">
        <v>444</v>
      </c>
    </row>
    <row r="74" spans="1:16" x14ac:dyDescent="0.25">
      <c r="A74" s="5">
        <v>72</v>
      </c>
      <c r="B74" s="60">
        <v>101816891</v>
      </c>
      <c r="C74" s="60" t="s">
        <v>590</v>
      </c>
      <c r="D74" s="60" t="str">
        <f t="shared" si="2"/>
        <v>101816891 /0035489131</v>
      </c>
      <c r="E74" s="88" t="s">
        <v>591</v>
      </c>
      <c r="F74" s="57" t="s">
        <v>381</v>
      </c>
      <c r="G74" s="72" t="s">
        <v>443</v>
      </c>
      <c r="H74" s="88"/>
      <c r="I74" s="88"/>
      <c r="J74" s="88"/>
      <c r="K74" s="170"/>
      <c r="L74" s="168"/>
      <c r="M74" s="170"/>
      <c r="N74" s="170"/>
      <c r="O74" s="170"/>
      <c r="P74" s="88" t="s">
        <v>444</v>
      </c>
    </row>
    <row r="75" spans="1:16" x14ac:dyDescent="0.25">
      <c r="A75" s="5">
        <v>73</v>
      </c>
      <c r="B75" s="60">
        <v>101816893</v>
      </c>
      <c r="C75" s="60" t="s">
        <v>592</v>
      </c>
      <c r="D75" s="60" t="str">
        <f t="shared" si="2"/>
        <v>101816893 /0032155118</v>
      </c>
      <c r="E75" s="88" t="s">
        <v>593</v>
      </c>
      <c r="F75" s="57" t="s">
        <v>379</v>
      </c>
      <c r="G75" s="72" t="s">
        <v>455</v>
      </c>
      <c r="H75" s="88"/>
      <c r="I75" s="88"/>
      <c r="J75" s="88"/>
      <c r="K75" s="170"/>
      <c r="L75" s="168"/>
      <c r="M75" s="170"/>
      <c r="N75" s="170"/>
      <c r="O75" s="170"/>
      <c r="P75" s="88" t="s">
        <v>444</v>
      </c>
    </row>
    <row r="76" spans="1:16" x14ac:dyDescent="0.25">
      <c r="A76" s="5">
        <v>74</v>
      </c>
      <c r="B76" s="60">
        <v>101816895</v>
      </c>
      <c r="C76" s="60" t="s">
        <v>594</v>
      </c>
      <c r="D76" s="60" t="str">
        <f t="shared" si="2"/>
        <v>101816895 /0034215527</v>
      </c>
      <c r="E76" s="88" t="s">
        <v>595</v>
      </c>
      <c r="F76" s="57" t="s">
        <v>381</v>
      </c>
      <c r="G76" s="72" t="s">
        <v>483</v>
      </c>
      <c r="H76" s="88"/>
      <c r="I76" s="88"/>
      <c r="J76" s="88"/>
      <c r="K76" s="170"/>
      <c r="L76" s="168"/>
      <c r="M76" s="170"/>
      <c r="N76" s="170"/>
      <c r="O76" s="170"/>
      <c r="P76" s="88" t="s">
        <v>444</v>
      </c>
    </row>
    <row r="77" spans="1:16" x14ac:dyDescent="0.25">
      <c r="A77" s="5">
        <v>75</v>
      </c>
      <c r="B77" s="60">
        <v>101816896</v>
      </c>
      <c r="C77" s="60" t="s">
        <v>596</v>
      </c>
      <c r="D77" s="60" t="str">
        <f t="shared" si="2"/>
        <v>101816896 /0032076603</v>
      </c>
      <c r="E77" s="88" t="s">
        <v>597</v>
      </c>
      <c r="F77" s="57" t="s">
        <v>381</v>
      </c>
      <c r="G77" s="72" t="s">
        <v>455</v>
      </c>
      <c r="H77" s="88"/>
      <c r="I77" s="88"/>
      <c r="J77" s="88"/>
      <c r="K77" s="170"/>
      <c r="L77" s="168"/>
      <c r="M77" s="170"/>
      <c r="N77" s="170"/>
      <c r="O77" s="170"/>
      <c r="P77" s="88" t="s">
        <v>444</v>
      </c>
    </row>
    <row r="78" spans="1:16" x14ac:dyDescent="0.25">
      <c r="A78" s="5">
        <v>76</v>
      </c>
      <c r="B78" s="60">
        <v>101816897</v>
      </c>
      <c r="C78" s="102" t="s">
        <v>598</v>
      </c>
      <c r="D78" s="60" t="str">
        <f t="shared" si="2"/>
        <v>101816897 /0026967069</v>
      </c>
      <c r="E78" s="103" t="s">
        <v>599</v>
      </c>
      <c r="F78" s="57" t="s">
        <v>381</v>
      </c>
      <c r="G78" s="72" t="s">
        <v>483</v>
      </c>
      <c r="H78" s="88"/>
      <c r="I78" s="88"/>
      <c r="J78" s="88"/>
      <c r="K78" s="170"/>
      <c r="L78" s="168"/>
      <c r="M78" s="170"/>
      <c r="N78" s="170"/>
      <c r="O78" s="170"/>
      <c r="P78" s="88" t="s">
        <v>444</v>
      </c>
    </row>
    <row r="79" spans="1:16" x14ac:dyDescent="0.25">
      <c r="A79" s="5">
        <v>77</v>
      </c>
      <c r="B79" s="60">
        <v>101816898</v>
      </c>
      <c r="C79" s="60" t="s">
        <v>600</v>
      </c>
      <c r="D79" s="60" t="str">
        <f t="shared" si="2"/>
        <v>101816898 /0024169338</v>
      </c>
      <c r="E79" s="88" t="s">
        <v>601</v>
      </c>
      <c r="F79" s="57" t="s">
        <v>381</v>
      </c>
      <c r="G79" s="72" t="s">
        <v>455</v>
      </c>
      <c r="H79" s="88"/>
      <c r="I79" s="88"/>
      <c r="J79" s="88"/>
      <c r="K79" s="170"/>
      <c r="L79" s="168"/>
      <c r="M79" s="170"/>
      <c r="N79" s="170"/>
      <c r="O79" s="170"/>
      <c r="P79" s="88" t="s">
        <v>444</v>
      </c>
    </row>
    <row r="80" spans="1:16" x14ac:dyDescent="0.25">
      <c r="A80" s="5">
        <v>78</v>
      </c>
      <c r="B80" s="60">
        <v>101816903</v>
      </c>
      <c r="C80" s="60" t="s">
        <v>602</v>
      </c>
      <c r="D80" s="60" t="str">
        <f t="shared" si="2"/>
        <v>101816903 /0022360594</v>
      </c>
      <c r="E80" s="88" t="s">
        <v>603</v>
      </c>
      <c r="F80" s="57" t="s">
        <v>381</v>
      </c>
      <c r="G80" s="72" t="s">
        <v>443</v>
      </c>
      <c r="H80" s="88"/>
      <c r="I80" s="88"/>
      <c r="J80" s="88"/>
      <c r="K80" s="170"/>
      <c r="L80" s="168"/>
      <c r="M80" s="170"/>
      <c r="N80" s="170"/>
      <c r="O80" s="170"/>
      <c r="P80" s="88" t="s">
        <v>444</v>
      </c>
    </row>
    <row r="81" spans="1:16" x14ac:dyDescent="0.25">
      <c r="A81" s="5">
        <v>79</v>
      </c>
      <c r="B81" s="60">
        <v>101816905</v>
      </c>
      <c r="C81" s="60" t="s">
        <v>604</v>
      </c>
      <c r="D81" s="60" t="str">
        <f t="shared" si="2"/>
        <v>101816905 /0031797470</v>
      </c>
      <c r="E81" s="88" t="s">
        <v>605</v>
      </c>
      <c r="F81" s="57" t="s">
        <v>379</v>
      </c>
      <c r="G81" s="72" t="s">
        <v>449</v>
      </c>
      <c r="H81" s="88"/>
      <c r="I81" s="88"/>
      <c r="J81" s="88"/>
      <c r="K81" s="170"/>
      <c r="L81" s="168"/>
      <c r="M81" s="170"/>
      <c r="N81" s="170"/>
      <c r="O81" s="170"/>
      <c r="P81" s="88" t="s">
        <v>444</v>
      </c>
    </row>
    <row r="82" spans="1:16" x14ac:dyDescent="0.25">
      <c r="A82" s="5">
        <v>80</v>
      </c>
      <c r="B82" s="60">
        <v>101816909</v>
      </c>
      <c r="C82" s="60" t="s">
        <v>606</v>
      </c>
      <c r="D82" s="60" t="str">
        <f t="shared" si="2"/>
        <v>101816909 /0036376336</v>
      </c>
      <c r="E82" s="88" t="s">
        <v>607</v>
      </c>
      <c r="F82" s="57" t="s">
        <v>381</v>
      </c>
      <c r="G82" s="72" t="s">
        <v>449</v>
      </c>
      <c r="H82" s="88"/>
      <c r="I82" s="88"/>
      <c r="J82" s="88"/>
      <c r="K82" s="170"/>
      <c r="L82" s="168"/>
      <c r="M82" s="170"/>
      <c r="N82" s="170"/>
      <c r="O82" s="170"/>
      <c r="P82" s="88" t="s">
        <v>444</v>
      </c>
    </row>
    <row r="83" spans="1:16" x14ac:dyDescent="0.25">
      <c r="A83" s="5">
        <v>81</v>
      </c>
      <c r="B83" s="60">
        <v>101816910</v>
      </c>
      <c r="C83" s="102" t="s">
        <v>608</v>
      </c>
      <c r="D83" s="60" t="str">
        <f t="shared" si="2"/>
        <v>101816910 /0033274302</v>
      </c>
      <c r="E83" s="103" t="s">
        <v>609</v>
      </c>
      <c r="F83" s="57" t="s">
        <v>381</v>
      </c>
      <c r="G83" s="72" t="s">
        <v>449</v>
      </c>
      <c r="H83" s="88"/>
      <c r="I83" s="88"/>
      <c r="J83" s="88"/>
      <c r="K83" s="170"/>
      <c r="L83" s="168"/>
      <c r="M83" s="170"/>
      <c r="N83" s="170"/>
      <c r="O83" s="170"/>
      <c r="P83" s="88" t="s">
        <v>444</v>
      </c>
    </row>
    <row r="84" spans="1:16" x14ac:dyDescent="0.25">
      <c r="A84" s="5">
        <v>82</v>
      </c>
      <c r="B84" s="60">
        <v>101816912</v>
      </c>
      <c r="C84" s="102" t="s">
        <v>610</v>
      </c>
      <c r="D84" s="60" t="str">
        <f t="shared" si="2"/>
        <v>101816912 /0034754344</v>
      </c>
      <c r="E84" s="103" t="s">
        <v>611</v>
      </c>
      <c r="F84" s="57" t="s">
        <v>381</v>
      </c>
      <c r="G84" s="72" t="s">
        <v>443</v>
      </c>
      <c r="H84" s="88"/>
      <c r="I84" s="88"/>
      <c r="J84" s="88"/>
      <c r="K84" s="170"/>
      <c r="L84" s="168"/>
      <c r="M84" s="170"/>
      <c r="N84" s="170"/>
      <c r="O84" s="170"/>
      <c r="P84" s="88" t="s">
        <v>444</v>
      </c>
    </row>
    <row r="85" spans="1:16" x14ac:dyDescent="0.25">
      <c r="A85" s="5">
        <v>83</v>
      </c>
      <c r="B85" s="60">
        <v>101816916</v>
      </c>
      <c r="C85" s="60" t="s">
        <v>612</v>
      </c>
      <c r="D85" s="60" t="str">
        <f t="shared" si="2"/>
        <v>101816916 /0033033156</v>
      </c>
      <c r="E85" s="88" t="s">
        <v>613</v>
      </c>
      <c r="F85" s="57" t="s">
        <v>381</v>
      </c>
      <c r="G85" s="72" t="s">
        <v>462</v>
      </c>
      <c r="H85" s="88"/>
      <c r="I85" s="88"/>
      <c r="J85" s="88"/>
      <c r="K85" s="170"/>
      <c r="L85" s="168"/>
      <c r="M85" s="170"/>
      <c r="N85" s="170"/>
      <c r="O85" s="170"/>
      <c r="P85" s="88" t="s">
        <v>444</v>
      </c>
    </row>
    <row r="86" spans="1:16" x14ac:dyDescent="0.25">
      <c r="A86" s="5">
        <v>84</v>
      </c>
      <c r="B86" s="60">
        <v>101816919</v>
      </c>
      <c r="C86" s="60" t="s">
        <v>614</v>
      </c>
      <c r="D86" s="60" t="str">
        <f t="shared" si="2"/>
        <v>101816919 /0032530946</v>
      </c>
      <c r="E86" s="88" t="s">
        <v>615</v>
      </c>
      <c r="F86" s="57" t="s">
        <v>381</v>
      </c>
      <c r="G86" s="72" t="s">
        <v>449</v>
      </c>
      <c r="H86" s="88"/>
      <c r="I86" s="88"/>
      <c r="J86" s="88"/>
      <c r="K86" s="170"/>
      <c r="L86" s="168"/>
      <c r="M86" s="170"/>
      <c r="N86" s="170"/>
      <c r="O86" s="170"/>
      <c r="P86" s="88" t="s">
        <v>444</v>
      </c>
    </row>
    <row r="87" spans="1:16" x14ac:dyDescent="0.25">
      <c r="A87" s="5">
        <v>85</v>
      </c>
      <c r="B87" s="60">
        <v>101816920</v>
      </c>
      <c r="C87" s="60" t="s">
        <v>616</v>
      </c>
      <c r="D87" s="60" t="str">
        <f t="shared" si="2"/>
        <v>101816920 /0035589569</v>
      </c>
      <c r="E87" s="88" t="s">
        <v>617</v>
      </c>
      <c r="F87" s="57" t="s">
        <v>381</v>
      </c>
      <c r="G87" s="72" t="s">
        <v>443</v>
      </c>
      <c r="H87" s="88"/>
      <c r="I87" s="88"/>
      <c r="J87" s="88"/>
      <c r="K87" s="170"/>
      <c r="L87" s="168"/>
      <c r="M87" s="170"/>
      <c r="N87" s="170"/>
      <c r="O87" s="170"/>
      <c r="P87" s="88" t="s">
        <v>444</v>
      </c>
    </row>
    <row r="88" spans="1:16" x14ac:dyDescent="0.25">
      <c r="A88" s="5">
        <v>86</v>
      </c>
      <c r="B88" s="60">
        <v>101816923</v>
      </c>
      <c r="C88" s="102" t="s">
        <v>618</v>
      </c>
      <c r="D88" s="60" t="str">
        <f t="shared" si="2"/>
        <v>101816923 /0039954568</v>
      </c>
      <c r="E88" s="103" t="s">
        <v>619</v>
      </c>
      <c r="F88" s="57" t="s">
        <v>381</v>
      </c>
      <c r="G88" s="72" t="s">
        <v>443</v>
      </c>
      <c r="H88" s="88"/>
      <c r="I88" s="88"/>
      <c r="J88" s="88"/>
      <c r="K88" s="170"/>
      <c r="L88" s="168"/>
      <c r="M88" s="170"/>
      <c r="N88" s="170"/>
      <c r="O88" s="170"/>
      <c r="P88" s="88" t="s">
        <v>444</v>
      </c>
    </row>
    <row r="89" spans="1:16" x14ac:dyDescent="0.25">
      <c r="A89" s="5">
        <v>87</v>
      </c>
      <c r="B89" s="60">
        <v>101816924</v>
      </c>
      <c r="C89" s="60" t="s">
        <v>620</v>
      </c>
      <c r="D89" s="60" t="str">
        <f t="shared" si="2"/>
        <v>101816924 /0036017569</v>
      </c>
      <c r="E89" s="88" t="s">
        <v>621</v>
      </c>
      <c r="F89" s="57" t="s">
        <v>381</v>
      </c>
      <c r="G89" s="72" t="s">
        <v>443</v>
      </c>
      <c r="H89" s="88"/>
      <c r="I89" s="88"/>
      <c r="J89" s="88"/>
      <c r="K89" s="170"/>
      <c r="L89" s="168"/>
      <c r="M89" s="170"/>
      <c r="N89" s="170"/>
      <c r="O89" s="170"/>
      <c r="P89" s="88" t="s">
        <v>444</v>
      </c>
    </row>
    <row r="90" spans="1:16" x14ac:dyDescent="0.25">
      <c r="A90" s="5">
        <v>88</v>
      </c>
      <c r="B90" s="60">
        <v>101816926</v>
      </c>
      <c r="C90" s="102" t="s">
        <v>622</v>
      </c>
      <c r="D90" s="60" t="str">
        <f t="shared" si="2"/>
        <v>101816926 /0027590295</v>
      </c>
      <c r="E90" s="103" t="s">
        <v>623</v>
      </c>
      <c r="F90" s="57" t="s">
        <v>381</v>
      </c>
      <c r="G90" s="72" t="s">
        <v>483</v>
      </c>
      <c r="H90" s="88"/>
      <c r="I90" s="88"/>
      <c r="J90" s="88"/>
      <c r="K90" s="170"/>
      <c r="L90" s="168"/>
      <c r="M90" s="170"/>
      <c r="N90" s="170"/>
      <c r="O90" s="170"/>
      <c r="P90" s="88" t="s">
        <v>444</v>
      </c>
    </row>
    <row r="91" spans="1:16" x14ac:dyDescent="0.25">
      <c r="A91" s="5">
        <v>89</v>
      </c>
      <c r="B91" s="60">
        <v>101816927</v>
      </c>
      <c r="C91" s="60" t="s">
        <v>624</v>
      </c>
      <c r="D91" s="60" t="str">
        <f t="shared" si="2"/>
        <v>101816927 /0027825519</v>
      </c>
      <c r="E91" s="88" t="s">
        <v>625</v>
      </c>
      <c r="F91" s="57" t="s">
        <v>379</v>
      </c>
      <c r="G91" s="72" t="s">
        <v>455</v>
      </c>
      <c r="H91" s="88"/>
      <c r="I91" s="88"/>
      <c r="J91" s="88"/>
      <c r="K91" s="170"/>
      <c r="L91" s="168"/>
      <c r="M91" s="170"/>
      <c r="N91" s="170"/>
      <c r="O91" s="170"/>
      <c r="P91" s="88" t="s">
        <v>444</v>
      </c>
    </row>
    <row r="92" spans="1:16" x14ac:dyDescent="0.25">
      <c r="A92" s="5">
        <v>90</v>
      </c>
      <c r="B92" s="60">
        <v>101816928</v>
      </c>
      <c r="C92" s="102" t="s">
        <v>626</v>
      </c>
      <c r="D92" s="60" t="str">
        <f t="shared" si="2"/>
        <v>101816928 /0032017592</v>
      </c>
      <c r="E92" s="103" t="s">
        <v>627</v>
      </c>
      <c r="F92" s="57" t="s">
        <v>379</v>
      </c>
      <c r="G92" s="72" t="s">
        <v>449</v>
      </c>
      <c r="H92" s="88"/>
      <c r="I92" s="88"/>
      <c r="J92" s="88"/>
      <c r="K92" s="170"/>
      <c r="L92" s="168"/>
      <c r="M92" s="170"/>
      <c r="N92" s="170"/>
      <c r="O92" s="170"/>
      <c r="P92" s="88" t="s">
        <v>444</v>
      </c>
    </row>
    <row r="93" spans="1:16" x14ac:dyDescent="0.25">
      <c r="A93" s="5">
        <v>91</v>
      </c>
      <c r="B93" s="60">
        <v>101816933</v>
      </c>
      <c r="C93" s="101" t="s">
        <v>628</v>
      </c>
      <c r="D93" s="60" t="str">
        <f t="shared" si="2"/>
        <v>101816933 /0025428633</v>
      </c>
      <c r="E93" s="104" t="s">
        <v>629</v>
      </c>
      <c r="F93" s="57" t="s">
        <v>381</v>
      </c>
      <c r="G93" s="72" t="s">
        <v>443</v>
      </c>
      <c r="H93" s="88"/>
      <c r="I93" s="88"/>
      <c r="J93" s="88"/>
      <c r="K93" s="170"/>
      <c r="L93" s="168"/>
      <c r="M93" s="170"/>
      <c r="N93" s="170"/>
      <c r="O93" s="170"/>
      <c r="P93" s="88" t="s">
        <v>444</v>
      </c>
    </row>
    <row r="94" spans="1:16" x14ac:dyDescent="0.25">
      <c r="A94" s="5">
        <v>92</v>
      </c>
      <c r="B94" s="60">
        <v>101816934</v>
      </c>
      <c r="C94" s="102" t="s">
        <v>630</v>
      </c>
      <c r="D94" s="60" t="s">
        <v>631</v>
      </c>
      <c r="E94" s="103" t="s">
        <v>632</v>
      </c>
      <c r="F94" s="57" t="s">
        <v>381</v>
      </c>
      <c r="G94" s="72" t="s">
        <v>455</v>
      </c>
      <c r="H94" s="88"/>
      <c r="I94" s="88"/>
      <c r="J94" s="88"/>
      <c r="K94" s="170"/>
      <c r="L94" s="168"/>
      <c r="M94" s="170"/>
      <c r="N94" s="170"/>
      <c r="O94" s="170"/>
      <c r="P94" s="88" t="s">
        <v>444</v>
      </c>
    </row>
    <row r="95" spans="1:16" x14ac:dyDescent="0.25">
      <c r="A95" s="5">
        <v>93</v>
      </c>
      <c r="B95" s="60">
        <v>101816935</v>
      </c>
      <c r="C95" s="102" t="s">
        <v>633</v>
      </c>
      <c r="D95" s="60" t="str">
        <f t="shared" ref="D95:D126" si="3">B95&amp;" /"&amp;C95</f>
        <v>101816935 /0013827411</v>
      </c>
      <c r="E95" s="103" t="s">
        <v>634</v>
      </c>
      <c r="F95" s="57" t="s">
        <v>379</v>
      </c>
      <c r="G95" s="72" t="s">
        <v>455</v>
      </c>
      <c r="H95" s="88"/>
      <c r="I95" s="88"/>
      <c r="J95" s="88"/>
      <c r="K95" s="170"/>
      <c r="L95" s="168"/>
      <c r="M95" s="170"/>
      <c r="N95" s="170"/>
      <c r="O95" s="170"/>
      <c r="P95" s="88" t="s">
        <v>444</v>
      </c>
    </row>
    <row r="96" spans="1:16" x14ac:dyDescent="0.25">
      <c r="A96" s="5">
        <v>94</v>
      </c>
      <c r="B96" s="60">
        <v>101816936</v>
      </c>
      <c r="C96" s="60" t="s">
        <v>635</v>
      </c>
      <c r="D96" s="60" t="str">
        <f t="shared" si="3"/>
        <v>101816936 /0035971864</v>
      </c>
      <c r="E96" s="88" t="s">
        <v>636</v>
      </c>
      <c r="F96" s="57" t="s">
        <v>379</v>
      </c>
      <c r="G96" s="72" t="s">
        <v>452</v>
      </c>
      <c r="H96" s="88"/>
      <c r="I96" s="88"/>
      <c r="J96" s="88"/>
      <c r="K96" s="170"/>
      <c r="L96" s="168"/>
      <c r="M96" s="170"/>
      <c r="N96" s="170"/>
      <c r="O96" s="170"/>
      <c r="P96" s="88" t="s">
        <v>444</v>
      </c>
    </row>
    <row r="97" spans="1:16" x14ac:dyDescent="0.25">
      <c r="A97" s="5">
        <v>95</v>
      </c>
      <c r="B97" s="60">
        <v>101816941</v>
      </c>
      <c r="C97" s="60" t="s">
        <v>637</v>
      </c>
      <c r="D97" s="60" t="str">
        <f t="shared" si="3"/>
        <v>101816941 /0045255978</v>
      </c>
      <c r="E97" s="88" t="s">
        <v>638</v>
      </c>
      <c r="F97" s="57" t="s">
        <v>381</v>
      </c>
      <c r="G97" s="72" t="s">
        <v>455</v>
      </c>
      <c r="H97" s="88"/>
      <c r="I97" s="88"/>
      <c r="J97" s="88"/>
      <c r="K97" s="170"/>
      <c r="L97" s="168"/>
      <c r="M97" s="170"/>
      <c r="N97" s="170"/>
      <c r="O97" s="170"/>
      <c r="P97" s="88" t="s">
        <v>444</v>
      </c>
    </row>
    <row r="98" spans="1:16" x14ac:dyDescent="0.25">
      <c r="A98" s="5">
        <v>96</v>
      </c>
      <c r="B98" s="60">
        <v>101816942</v>
      </c>
      <c r="C98" s="60" t="s">
        <v>639</v>
      </c>
      <c r="D98" s="60" t="str">
        <f t="shared" si="3"/>
        <v>101816942 /0025894854</v>
      </c>
      <c r="E98" s="88" t="s">
        <v>640</v>
      </c>
      <c r="F98" s="57" t="s">
        <v>381</v>
      </c>
      <c r="G98" s="72" t="s">
        <v>443</v>
      </c>
      <c r="H98" s="88"/>
      <c r="I98" s="88"/>
      <c r="J98" s="88"/>
      <c r="K98" s="170"/>
      <c r="L98" s="168"/>
      <c r="M98" s="170"/>
      <c r="N98" s="170"/>
      <c r="O98" s="170"/>
      <c r="P98" s="88" t="s">
        <v>444</v>
      </c>
    </row>
    <row r="99" spans="1:16" x14ac:dyDescent="0.25">
      <c r="A99" s="5">
        <v>97</v>
      </c>
      <c r="B99" s="60">
        <v>101816944</v>
      </c>
      <c r="C99" s="102" t="s">
        <v>641</v>
      </c>
      <c r="D99" s="60" t="str">
        <f t="shared" si="3"/>
        <v>101816944 /0033068854</v>
      </c>
      <c r="E99" s="103" t="s">
        <v>642</v>
      </c>
      <c r="F99" s="57" t="s">
        <v>379</v>
      </c>
      <c r="G99" s="72" t="s">
        <v>462</v>
      </c>
      <c r="H99" s="88"/>
      <c r="I99" s="88"/>
      <c r="J99" s="88"/>
      <c r="K99" s="170"/>
      <c r="L99" s="168"/>
      <c r="M99" s="170"/>
      <c r="N99" s="170"/>
      <c r="O99" s="170"/>
      <c r="P99" s="88" t="s">
        <v>444</v>
      </c>
    </row>
    <row r="100" spans="1:16" x14ac:dyDescent="0.25">
      <c r="A100" s="5">
        <v>98</v>
      </c>
      <c r="B100" s="60">
        <v>101816945</v>
      </c>
      <c r="C100" s="60" t="s">
        <v>643</v>
      </c>
      <c r="D100" s="60" t="str">
        <f t="shared" si="3"/>
        <v>101816945 /0033735339</v>
      </c>
      <c r="E100" s="88" t="s">
        <v>644</v>
      </c>
      <c r="F100" s="57" t="s">
        <v>381</v>
      </c>
      <c r="G100" s="72" t="s">
        <v>455</v>
      </c>
      <c r="H100" s="88"/>
      <c r="I100" s="88"/>
      <c r="J100" s="88"/>
      <c r="K100" s="170"/>
      <c r="L100" s="168"/>
      <c r="M100" s="170"/>
      <c r="N100" s="170"/>
      <c r="O100" s="170"/>
      <c r="P100" s="88" t="s">
        <v>444</v>
      </c>
    </row>
    <row r="101" spans="1:16" x14ac:dyDescent="0.25">
      <c r="A101" s="5">
        <v>99</v>
      </c>
      <c r="B101" s="60">
        <v>101816946</v>
      </c>
      <c r="C101" s="102" t="s">
        <v>645</v>
      </c>
      <c r="D101" s="60" t="str">
        <f t="shared" si="3"/>
        <v>101816946 /0034435681</v>
      </c>
      <c r="E101" s="103" t="s">
        <v>646</v>
      </c>
      <c r="F101" s="57" t="s">
        <v>381</v>
      </c>
      <c r="G101" s="72" t="s">
        <v>452</v>
      </c>
      <c r="H101" s="88"/>
      <c r="I101" s="88"/>
      <c r="J101" s="88"/>
      <c r="K101" s="170"/>
      <c r="L101" s="168"/>
      <c r="M101" s="170"/>
      <c r="N101" s="170"/>
      <c r="O101" s="170"/>
      <c r="P101" s="88" t="s">
        <v>444</v>
      </c>
    </row>
    <row r="102" spans="1:16" x14ac:dyDescent="0.25">
      <c r="A102" s="5">
        <v>100</v>
      </c>
      <c r="B102" s="60">
        <v>101816947</v>
      </c>
      <c r="C102" s="102" t="s">
        <v>647</v>
      </c>
      <c r="D102" s="60" t="str">
        <f t="shared" si="3"/>
        <v>101816947 /0037588053</v>
      </c>
      <c r="E102" s="103" t="s">
        <v>648</v>
      </c>
      <c r="F102" s="57" t="s">
        <v>381</v>
      </c>
      <c r="G102" s="72" t="s">
        <v>449</v>
      </c>
      <c r="H102" s="88"/>
      <c r="I102" s="88"/>
      <c r="J102" s="88"/>
      <c r="K102" s="170"/>
      <c r="L102" s="168"/>
      <c r="M102" s="170"/>
      <c r="N102" s="170"/>
      <c r="O102" s="170"/>
      <c r="P102" s="88" t="s">
        <v>444</v>
      </c>
    </row>
    <row r="103" spans="1:16" x14ac:dyDescent="0.25">
      <c r="A103" s="5">
        <v>101</v>
      </c>
      <c r="B103" s="60">
        <v>101816948</v>
      </c>
      <c r="C103" s="60" t="s">
        <v>649</v>
      </c>
      <c r="D103" s="60" t="str">
        <f t="shared" si="3"/>
        <v>101816948 /0035845630</v>
      </c>
      <c r="E103" s="88" t="s">
        <v>650</v>
      </c>
      <c r="F103" s="57" t="s">
        <v>379</v>
      </c>
      <c r="G103" s="72" t="s">
        <v>452</v>
      </c>
      <c r="H103" s="88"/>
      <c r="I103" s="88"/>
      <c r="J103" s="88"/>
      <c r="K103" s="170"/>
      <c r="L103" s="168"/>
      <c r="M103" s="170"/>
      <c r="N103" s="170"/>
      <c r="O103" s="170"/>
      <c r="P103" s="88" t="s">
        <v>444</v>
      </c>
    </row>
    <row r="104" spans="1:16" x14ac:dyDescent="0.25">
      <c r="A104" s="5">
        <v>102</v>
      </c>
      <c r="B104" s="60">
        <v>101816954</v>
      </c>
      <c r="C104" s="102" t="s">
        <v>651</v>
      </c>
      <c r="D104" s="60" t="str">
        <f t="shared" si="3"/>
        <v>101816954 /0026557218</v>
      </c>
      <c r="E104" s="103" t="s">
        <v>652</v>
      </c>
      <c r="F104" s="57" t="s">
        <v>381</v>
      </c>
      <c r="G104" s="72" t="s">
        <v>462</v>
      </c>
      <c r="H104" s="88"/>
      <c r="I104" s="88"/>
      <c r="J104" s="88"/>
      <c r="K104" s="170"/>
      <c r="L104" s="168"/>
      <c r="M104" s="170"/>
      <c r="N104" s="170"/>
      <c r="O104" s="170"/>
      <c r="P104" s="88" t="s">
        <v>444</v>
      </c>
    </row>
    <row r="105" spans="1:16" x14ac:dyDescent="0.25">
      <c r="A105" s="5">
        <v>103</v>
      </c>
      <c r="B105" s="60">
        <v>101816955</v>
      </c>
      <c r="C105" s="102" t="s">
        <v>653</v>
      </c>
      <c r="D105" s="60" t="str">
        <f t="shared" si="3"/>
        <v>101816955 /0022669232</v>
      </c>
      <c r="E105" s="103" t="s">
        <v>654</v>
      </c>
      <c r="F105" s="57" t="s">
        <v>381</v>
      </c>
      <c r="G105" s="72" t="s">
        <v>452</v>
      </c>
      <c r="H105" s="88"/>
      <c r="I105" s="88"/>
      <c r="J105" s="88"/>
      <c r="K105" s="170"/>
      <c r="L105" s="168"/>
      <c r="M105" s="170"/>
      <c r="N105" s="170"/>
      <c r="O105" s="170"/>
      <c r="P105" s="88" t="s">
        <v>444</v>
      </c>
    </row>
    <row r="106" spans="1:16" x14ac:dyDescent="0.25">
      <c r="A106" s="5">
        <v>104</v>
      </c>
      <c r="B106" s="60">
        <v>101816956</v>
      </c>
      <c r="C106" s="60" t="s">
        <v>655</v>
      </c>
      <c r="D106" s="60" t="str">
        <f t="shared" si="3"/>
        <v>101816956 /0031797461</v>
      </c>
      <c r="E106" s="88" t="s">
        <v>656</v>
      </c>
      <c r="F106" s="57" t="s">
        <v>381</v>
      </c>
      <c r="G106" s="72" t="s">
        <v>455</v>
      </c>
      <c r="H106" s="88"/>
      <c r="I106" s="88"/>
      <c r="J106" s="88"/>
      <c r="K106" s="170"/>
      <c r="L106" s="168"/>
      <c r="M106" s="170"/>
      <c r="N106" s="170"/>
      <c r="O106" s="170"/>
      <c r="P106" s="88" t="s">
        <v>444</v>
      </c>
    </row>
    <row r="107" spans="1:16" x14ac:dyDescent="0.25">
      <c r="A107" s="5">
        <v>105</v>
      </c>
      <c r="B107" s="60">
        <v>101816959</v>
      </c>
      <c r="C107" s="60" t="s">
        <v>657</v>
      </c>
      <c r="D107" s="60" t="str">
        <f t="shared" si="3"/>
        <v>101816959 /0053834059</v>
      </c>
      <c r="E107" s="88" t="s">
        <v>658</v>
      </c>
      <c r="F107" s="57" t="s">
        <v>381</v>
      </c>
      <c r="G107" s="72" t="s">
        <v>452</v>
      </c>
      <c r="H107" s="88"/>
      <c r="I107" s="88"/>
      <c r="J107" s="88"/>
      <c r="K107" s="170"/>
      <c r="L107" s="168"/>
      <c r="M107" s="170"/>
      <c r="N107" s="170"/>
      <c r="O107" s="170"/>
      <c r="P107" s="88" t="s">
        <v>444</v>
      </c>
    </row>
    <row r="108" spans="1:16" x14ac:dyDescent="0.25">
      <c r="A108" s="5">
        <v>106</v>
      </c>
      <c r="B108" s="60">
        <v>101816960</v>
      </c>
      <c r="C108" s="102" t="s">
        <v>659</v>
      </c>
      <c r="D108" s="60" t="str">
        <f t="shared" si="3"/>
        <v>101816960 /0038934457</v>
      </c>
      <c r="E108" s="103" t="s">
        <v>660</v>
      </c>
      <c r="F108" s="57" t="s">
        <v>381</v>
      </c>
      <c r="G108" s="72" t="s">
        <v>462</v>
      </c>
      <c r="H108" s="88"/>
      <c r="I108" s="88"/>
      <c r="J108" s="88"/>
      <c r="K108" s="170"/>
      <c r="L108" s="168"/>
      <c r="M108" s="170"/>
      <c r="N108" s="170"/>
      <c r="O108" s="170"/>
      <c r="P108" s="88" t="s">
        <v>444</v>
      </c>
    </row>
    <row r="109" spans="1:16" x14ac:dyDescent="0.25">
      <c r="A109" s="5">
        <v>107</v>
      </c>
      <c r="B109" s="60">
        <v>101816963</v>
      </c>
      <c r="C109" s="60" t="s">
        <v>661</v>
      </c>
      <c r="D109" s="60" t="str">
        <f t="shared" si="3"/>
        <v>101816963 /0031727351</v>
      </c>
      <c r="E109" s="88" t="s">
        <v>662</v>
      </c>
      <c r="F109" s="57" t="s">
        <v>381</v>
      </c>
      <c r="G109" s="72" t="s">
        <v>449</v>
      </c>
      <c r="H109" s="88"/>
      <c r="I109" s="88"/>
      <c r="J109" s="88"/>
      <c r="K109" s="170"/>
      <c r="L109" s="168"/>
      <c r="M109" s="170"/>
      <c r="N109" s="170"/>
      <c r="O109" s="170"/>
      <c r="P109" s="88" t="s">
        <v>444</v>
      </c>
    </row>
    <row r="110" spans="1:16" x14ac:dyDescent="0.25">
      <c r="A110" s="5">
        <v>108</v>
      </c>
      <c r="B110" s="60">
        <v>101816964</v>
      </c>
      <c r="C110" s="102" t="s">
        <v>663</v>
      </c>
      <c r="D110" s="60" t="str">
        <f t="shared" si="3"/>
        <v>101816964 /0027217532</v>
      </c>
      <c r="E110" s="103" t="s">
        <v>664</v>
      </c>
      <c r="F110" s="57" t="s">
        <v>379</v>
      </c>
      <c r="G110" s="72" t="s">
        <v>443</v>
      </c>
      <c r="H110" s="88"/>
      <c r="I110" s="88"/>
      <c r="J110" s="88"/>
      <c r="K110" s="170"/>
      <c r="L110" s="168"/>
      <c r="M110" s="170"/>
      <c r="N110" s="170"/>
      <c r="O110" s="170"/>
      <c r="P110" s="88" t="s">
        <v>444</v>
      </c>
    </row>
    <row r="111" spans="1:16" x14ac:dyDescent="0.25">
      <c r="A111" s="5">
        <v>109</v>
      </c>
      <c r="B111" s="60">
        <v>101816973</v>
      </c>
      <c r="C111" s="102" t="s">
        <v>665</v>
      </c>
      <c r="D111" s="60" t="str">
        <f t="shared" si="3"/>
        <v>101816973 /0031327448</v>
      </c>
      <c r="E111" s="103" t="s">
        <v>666</v>
      </c>
      <c r="F111" s="57" t="s">
        <v>379</v>
      </c>
      <c r="G111" s="72" t="s">
        <v>455</v>
      </c>
      <c r="H111" s="88"/>
      <c r="I111" s="88"/>
      <c r="J111" s="88"/>
      <c r="K111" s="170"/>
      <c r="L111" s="168"/>
      <c r="M111" s="170"/>
      <c r="N111" s="170"/>
      <c r="O111" s="170"/>
      <c r="P111" s="88" t="s">
        <v>444</v>
      </c>
    </row>
    <row r="112" spans="1:16" x14ac:dyDescent="0.25">
      <c r="A112" s="5">
        <v>110</v>
      </c>
      <c r="B112" s="60">
        <v>101816985</v>
      </c>
      <c r="C112" s="102" t="s">
        <v>667</v>
      </c>
      <c r="D112" s="60" t="str">
        <f t="shared" si="3"/>
        <v>101816985 /0034215515</v>
      </c>
      <c r="E112" s="103" t="s">
        <v>668</v>
      </c>
      <c r="F112" s="57" t="s">
        <v>379</v>
      </c>
      <c r="G112" s="72" t="s">
        <v>443</v>
      </c>
      <c r="H112" s="88"/>
      <c r="I112" s="88"/>
      <c r="J112" s="88"/>
      <c r="K112" s="170"/>
      <c r="L112" s="168"/>
      <c r="M112" s="170"/>
      <c r="N112" s="170"/>
      <c r="O112" s="170"/>
      <c r="P112" s="88" t="s">
        <v>444</v>
      </c>
    </row>
    <row r="113" spans="1:16" x14ac:dyDescent="0.25">
      <c r="A113" s="5">
        <v>111</v>
      </c>
      <c r="B113" s="60">
        <v>101816991</v>
      </c>
      <c r="C113" s="102" t="s">
        <v>669</v>
      </c>
      <c r="D113" s="60" t="str">
        <f t="shared" si="3"/>
        <v>101816991 /0035061946</v>
      </c>
      <c r="E113" s="103" t="s">
        <v>670</v>
      </c>
      <c r="F113" s="57" t="s">
        <v>379</v>
      </c>
      <c r="G113" s="72" t="s">
        <v>462</v>
      </c>
      <c r="H113" s="88"/>
      <c r="I113" s="88"/>
      <c r="J113" s="88"/>
      <c r="K113" s="170"/>
      <c r="L113" s="168"/>
      <c r="M113" s="170"/>
      <c r="N113" s="170"/>
      <c r="O113" s="170"/>
      <c r="P113" s="88" t="s">
        <v>444</v>
      </c>
    </row>
    <row r="114" spans="1:16" x14ac:dyDescent="0.25">
      <c r="A114" s="5">
        <v>112</v>
      </c>
      <c r="B114" s="60">
        <v>101816994</v>
      </c>
      <c r="C114" s="60" t="s">
        <v>671</v>
      </c>
      <c r="D114" s="60" t="str">
        <f t="shared" si="3"/>
        <v>101816994 /0037541512</v>
      </c>
      <c r="E114" s="88" t="s">
        <v>672</v>
      </c>
      <c r="F114" s="57" t="s">
        <v>379</v>
      </c>
      <c r="G114" s="72" t="s">
        <v>443</v>
      </c>
      <c r="H114" s="88"/>
      <c r="I114" s="88"/>
      <c r="J114" s="88"/>
      <c r="K114" s="170"/>
      <c r="L114" s="168"/>
      <c r="M114" s="170"/>
      <c r="N114" s="170"/>
      <c r="O114" s="170"/>
      <c r="P114" s="88" t="s">
        <v>444</v>
      </c>
    </row>
    <row r="115" spans="1:16" x14ac:dyDescent="0.25">
      <c r="A115" s="5">
        <v>113</v>
      </c>
      <c r="B115" s="60">
        <v>101816997</v>
      </c>
      <c r="C115" s="60" t="s">
        <v>673</v>
      </c>
      <c r="D115" s="60" t="str">
        <f t="shared" si="3"/>
        <v>101816997 /0025837142</v>
      </c>
      <c r="E115" s="88" t="s">
        <v>674</v>
      </c>
      <c r="F115" s="57" t="s">
        <v>379</v>
      </c>
      <c r="G115" s="72" t="s">
        <v>443</v>
      </c>
      <c r="H115" s="88"/>
      <c r="I115" s="88"/>
      <c r="J115" s="88"/>
      <c r="K115" s="170"/>
      <c r="L115" s="168"/>
      <c r="M115" s="170"/>
      <c r="N115" s="170"/>
      <c r="O115" s="170"/>
      <c r="P115" s="88" t="s">
        <v>444</v>
      </c>
    </row>
    <row r="116" spans="1:16" x14ac:dyDescent="0.25">
      <c r="A116" s="5">
        <v>114</v>
      </c>
      <c r="B116" s="60">
        <v>101817001</v>
      </c>
      <c r="C116" s="102" t="s">
        <v>675</v>
      </c>
      <c r="D116" s="60" t="str">
        <f t="shared" si="3"/>
        <v>101817001 /0022890409</v>
      </c>
      <c r="E116" s="103" t="s">
        <v>676</v>
      </c>
      <c r="F116" s="57" t="s">
        <v>379</v>
      </c>
      <c r="G116" s="72" t="s">
        <v>452</v>
      </c>
      <c r="H116" s="88"/>
      <c r="I116" s="88"/>
      <c r="J116" s="88"/>
      <c r="K116" s="170"/>
      <c r="L116" s="168"/>
      <c r="M116" s="170"/>
      <c r="N116" s="170"/>
      <c r="O116" s="170"/>
      <c r="P116" s="88" t="s">
        <v>444</v>
      </c>
    </row>
    <row r="117" spans="1:16" x14ac:dyDescent="0.25">
      <c r="A117" s="5">
        <v>115</v>
      </c>
      <c r="B117" s="60">
        <v>101817003</v>
      </c>
      <c r="C117" s="60" t="s">
        <v>677</v>
      </c>
      <c r="D117" s="60" t="str">
        <f t="shared" si="3"/>
        <v>101817003 /0033390338</v>
      </c>
      <c r="E117" s="88" t="s">
        <v>678</v>
      </c>
      <c r="F117" s="57" t="s">
        <v>379</v>
      </c>
      <c r="G117" s="72" t="s">
        <v>443</v>
      </c>
      <c r="H117" s="88"/>
      <c r="I117" s="88"/>
      <c r="J117" s="88"/>
      <c r="K117" s="170"/>
      <c r="L117" s="168"/>
      <c r="M117" s="170"/>
      <c r="N117" s="170"/>
      <c r="O117" s="170"/>
      <c r="P117" s="88" t="s">
        <v>444</v>
      </c>
    </row>
    <row r="118" spans="1:16" x14ac:dyDescent="0.25">
      <c r="A118" s="5">
        <v>116</v>
      </c>
      <c r="B118" s="60">
        <v>101817004</v>
      </c>
      <c r="C118" s="102" t="s">
        <v>679</v>
      </c>
      <c r="D118" s="60" t="str">
        <f t="shared" si="3"/>
        <v>101817004 /0032354253</v>
      </c>
      <c r="E118" s="103" t="s">
        <v>680</v>
      </c>
      <c r="F118" s="57" t="s">
        <v>381</v>
      </c>
      <c r="G118" s="72" t="s">
        <v>483</v>
      </c>
      <c r="H118" s="88"/>
      <c r="I118" s="88"/>
      <c r="J118" s="88"/>
      <c r="K118" s="170"/>
      <c r="L118" s="168"/>
      <c r="M118" s="170"/>
      <c r="N118" s="170"/>
      <c r="O118" s="170"/>
      <c r="P118" s="88" t="s">
        <v>444</v>
      </c>
    </row>
    <row r="119" spans="1:16" x14ac:dyDescent="0.25">
      <c r="A119" s="5">
        <v>117</v>
      </c>
      <c r="B119" s="60">
        <v>101817006</v>
      </c>
      <c r="C119" s="102" t="s">
        <v>681</v>
      </c>
      <c r="D119" s="60" t="str">
        <f t="shared" si="3"/>
        <v>101817006 /0038990302</v>
      </c>
      <c r="E119" s="103" t="s">
        <v>682</v>
      </c>
      <c r="F119" s="57" t="s">
        <v>379</v>
      </c>
      <c r="G119" s="72" t="s">
        <v>462</v>
      </c>
      <c r="H119" s="88"/>
      <c r="I119" s="88"/>
      <c r="J119" s="88"/>
      <c r="K119" s="170"/>
      <c r="L119" s="168"/>
      <c r="M119" s="170"/>
      <c r="N119" s="170"/>
      <c r="O119" s="170"/>
      <c r="P119" s="88" t="s">
        <v>444</v>
      </c>
    </row>
    <row r="120" spans="1:16" x14ac:dyDescent="0.25">
      <c r="A120" s="5">
        <v>118</v>
      </c>
      <c r="B120" s="60">
        <v>101817007</v>
      </c>
      <c r="C120" s="102" t="s">
        <v>683</v>
      </c>
      <c r="D120" s="60" t="str">
        <f t="shared" si="3"/>
        <v>101817007 /0031721554</v>
      </c>
      <c r="E120" s="103" t="s">
        <v>684</v>
      </c>
      <c r="F120" s="57" t="s">
        <v>381</v>
      </c>
      <c r="G120" s="72" t="s">
        <v>452</v>
      </c>
      <c r="H120" s="88"/>
      <c r="I120" s="88"/>
      <c r="J120" s="88"/>
      <c r="K120" s="170"/>
      <c r="L120" s="168"/>
      <c r="M120" s="170"/>
      <c r="N120" s="170"/>
      <c r="O120" s="170"/>
      <c r="P120" s="88" t="s">
        <v>444</v>
      </c>
    </row>
    <row r="121" spans="1:16" x14ac:dyDescent="0.25">
      <c r="A121" s="5">
        <v>119</v>
      </c>
      <c r="B121" s="60">
        <v>101817009</v>
      </c>
      <c r="C121" s="60" t="s">
        <v>685</v>
      </c>
      <c r="D121" s="60" t="str">
        <f t="shared" si="3"/>
        <v>101817009 /0004560544</v>
      </c>
      <c r="E121" s="88" t="s">
        <v>686</v>
      </c>
      <c r="F121" s="57" t="s">
        <v>381</v>
      </c>
      <c r="G121" s="72" t="s">
        <v>483</v>
      </c>
      <c r="H121" s="88"/>
      <c r="I121" s="88"/>
      <c r="J121" s="88"/>
      <c r="K121" s="170"/>
      <c r="L121" s="168"/>
      <c r="M121" s="170"/>
      <c r="N121" s="170"/>
      <c r="O121" s="170"/>
      <c r="P121" s="88" t="s">
        <v>444</v>
      </c>
    </row>
    <row r="122" spans="1:16" x14ac:dyDescent="0.25">
      <c r="A122" s="5">
        <v>120</v>
      </c>
      <c r="B122" s="60">
        <v>101817010</v>
      </c>
      <c r="C122" s="60" t="s">
        <v>687</v>
      </c>
      <c r="D122" s="60" t="str">
        <f t="shared" si="3"/>
        <v>101817010 /0039661995</v>
      </c>
      <c r="E122" s="88" t="s">
        <v>688</v>
      </c>
      <c r="F122" s="57" t="s">
        <v>381</v>
      </c>
      <c r="G122" s="72" t="s">
        <v>452</v>
      </c>
      <c r="H122" s="88"/>
      <c r="I122" s="88"/>
      <c r="J122" s="88"/>
      <c r="K122" s="170"/>
      <c r="L122" s="168"/>
      <c r="M122" s="170"/>
      <c r="N122" s="170"/>
      <c r="O122" s="170"/>
      <c r="P122" s="88" t="s">
        <v>444</v>
      </c>
    </row>
    <row r="123" spans="1:16" x14ac:dyDescent="0.25">
      <c r="A123" s="5">
        <v>121</v>
      </c>
      <c r="B123" s="60">
        <v>101817011</v>
      </c>
      <c r="C123" s="60" t="s">
        <v>689</v>
      </c>
      <c r="D123" s="60" t="str">
        <f t="shared" si="3"/>
        <v>101817011 /0033766717</v>
      </c>
      <c r="E123" s="88" t="s">
        <v>690</v>
      </c>
      <c r="F123" s="57" t="s">
        <v>381</v>
      </c>
      <c r="G123" s="72" t="s">
        <v>452</v>
      </c>
      <c r="H123" s="88"/>
      <c r="I123" s="88"/>
      <c r="J123" s="88"/>
      <c r="K123" s="170"/>
      <c r="L123" s="168"/>
      <c r="M123" s="170"/>
      <c r="N123" s="170"/>
      <c r="O123" s="170"/>
      <c r="P123" s="88" t="s">
        <v>444</v>
      </c>
    </row>
    <row r="124" spans="1:16" x14ac:dyDescent="0.25">
      <c r="A124" s="5">
        <v>122</v>
      </c>
      <c r="B124" s="60">
        <v>101817012</v>
      </c>
      <c r="C124" s="60" t="s">
        <v>691</v>
      </c>
      <c r="D124" s="60" t="str">
        <f t="shared" si="3"/>
        <v>101817012 /0037957502</v>
      </c>
      <c r="E124" s="88" t="s">
        <v>692</v>
      </c>
      <c r="F124" s="57" t="s">
        <v>381</v>
      </c>
      <c r="G124" s="72" t="s">
        <v>443</v>
      </c>
      <c r="H124" s="88"/>
      <c r="I124" s="88"/>
      <c r="J124" s="88"/>
      <c r="K124" s="170"/>
      <c r="L124" s="168"/>
      <c r="M124" s="170"/>
      <c r="N124" s="170"/>
      <c r="O124" s="170"/>
      <c r="P124" s="88" t="s">
        <v>444</v>
      </c>
    </row>
    <row r="125" spans="1:16" x14ac:dyDescent="0.25">
      <c r="A125" s="5">
        <v>123</v>
      </c>
      <c r="B125" s="60">
        <v>101817013</v>
      </c>
      <c r="C125" s="60" t="s">
        <v>693</v>
      </c>
      <c r="D125" s="60" t="str">
        <f t="shared" si="3"/>
        <v>101817013 /0038830407</v>
      </c>
      <c r="E125" s="88" t="s">
        <v>694</v>
      </c>
      <c r="F125" s="57" t="s">
        <v>381</v>
      </c>
      <c r="G125" s="72" t="s">
        <v>483</v>
      </c>
      <c r="H125" s="88"/>
      <c r="I125" s="88"/>
      <c r="J125" s="88"/>
      <c r="K125" s="170"/>
      <c r="L125" s="168"/>
      <c r="M125" s="170"/>
      <c r="N125" s="170"/>
      <c r="O125" s="170"/>
      <c r="P125" s="88" t="s">
        <v>444</v>
      </c>
    </row>
    <row r="126" spans="1:16" x14ac:dyDescent="0.25">
      <c r="A126" s="5">
        <v>124</v>
      </c>
      <c r="B126" s="60">
        <v>101817014</v>
      </c>
      <c r="C126" s="101" t="s">
        <v>695</v>
      </c>
      <c r="D126" s="60" t="str">
        <f t="shared" si="3"/>
        <v>101817014 /0024380849</v>
      </c>
      <c r="E126" s="104" t="s">
        <v>696</v>
      </c>
      <c r="F126" s="57" t="s">
        <v>381</v>
      </c>
      <c r="G126" s="72" t="s">
        <v>455</v>
      </c>
      <c r="H126" s="88"/>
      <c r="I126" s="88"/>
      <c r="J126" s="88"/>
      <c r="K126" s="170"/>
      <c r="L126" s="168"/>
      <c r="M126" s="170"/>
      <c r="N126" s="170"/>
      <c r="O126" s="170"/>
      <c r="P126" s="88" t="s">
        <v>444</v>
      </c>
    </row>
    <row r="127" spans="1:16" x14ac:dyDescent="0.25">
      <c r="A127" s="5">
        <v>125</v>
      </c>
      <c r="B127" s="60">
        <v>101817015</v>
      </c>
      <c r="C127" s="60" t="s">
        <v>697</v>
      </c>
      <c r="D127" s="60" t="str">
        <f t="shared" ref="D127:D158" si="4">B127&amp;" /"&amp;C127</f>
        <v>101817015 /0037172802</v>
      </c>
      <c r="E127" s="88" t="s">
        <v>698</v>
      </c>
      <c r="F127" s="57" t="s">
        <v>381</v>
      </c>
      <c r="G127" s="72" t="s">
        <v>443</v>
      </c>
      <c r="H127" s="88"/>
      <c r="I127" s="88"/>
      <c r="J127" s="88"/>
      <c r="K127" s="170"/>
      <c r="L127" s="168"/>
      <c r="M127" s="170"/>
      <c r="N127" s="170"/>
      <c r="O127" s="170"/>
      <c r="P127" s="88" t="s">
        <v>444</v>
      </c>
    </row>
    <row r="128" spans="1:16" x14ac:dyDescent="0.25">
      <c r="A128" s="5">
        <v>126</v>
      </c>
      <c r="B128" s="60">
        <v>101817016</v>
      </c>
      <c r="C128" s="102" t="s">
        <v>699</v>
      </c>
      <c r="D128" s="60" t="str">
        <f t="shared" si="4"/>
        <v>101817016 /0033819252</v>
      </c>
      <c r="E128" s="103" t="s">
        <v>700</v>
      </c>
      <c r="F128" s="57" t="s">
        <v>381</v>
      </c>
      <c r="G128" s="72" t="s">
        <v>449</v>
      </c>
      <c r="H128" s="88"/>
      <c r="I128" s="88"/>
      <c r="J128" s="88"/>
      <c r="K128" s="170"/>
      <c r="L128" s="168"/>
      <c r="M128" s="170"/>
      <c r="N128" s="170"/>
      <c r="O128" s="170"/>
      <c r="P128" s="88" t="s">
        <v>444</v>
      </c>
    </row>
    <row r="129" spans="1:16" x14ac:dyDescent="0.25">
      <c r="A129" s="5">
        <v>127</v>
      </c>
      <c r="B129" s="60">
        <v>101817017</v>
      </c>
      <c r="C129" s="60" t="s">
        <v>701</v>
      </c>
      <c r="D129" s="60" t="str">
        <f t="shared" si="4"/>
        <v>101817017 /0033979317</v>
      </c>
      <c r="E129" s="88" t="s">
        <v>702</v>
      </c>
      <c r="F129" s="57" t="s">
        <v>381</v>
      </c>
      <c r="G129" s="72" t="s">
        <v>452</v>
      </c>
      <c r="H129" s="88"/>
      <c r="I129" s="88"/>
      <c r="J129" s="88"/>
      <c r="K129" s="170"/>
      <c r="L129" s="168"/>
      <c r="M129" s="170"/>
      <c r="N129" s="170"/>
      <c r="O129" s="170"/>
      <c r="P129" s="88" t="s">
        <v>444</v>
      </c>
    </row>
    <row r="130" spans="1:16" x14ac:dyDescent="0.25">
      <c r="A130" s="5">
        <v>128</v>
      </c>
      <c r="B130" s="60">
        <v>101817018</v>
      </c>
      <c r="C130" s="60" t="s">
        <v>703</v>
      </c>
      <c r="D130" s="60" t="str">
        <f t="shared" si="4"/>
        <v>101817018 /0035058103</v>
      </c>
      <c r="E130" s="88" t="s">
        <v>704</v>
      </c>
      <c r="F130" s="57" t="s">
        <v>381</v>
      </c>
      <c r="G130" s="72" t="s">
        <v>449</v>
      </c>
      <c r="H130" s="88"/>
      <c r="I130" s="88"/>
      <c r="J130" s="88"/>
      <c r="K130" s="170"/>
      <c r="L130" s="168"/>
      <c r="M130" s="170"/>
      <c r="N130" s="170"/>
      <c r="O130" s="170"/>
      <c r="P130" s="88" t="s">
        <v>444</v>
      </c>
    </row>
    <row r="131" spans="1:16" x14ac:dyDescent="0.25">
      <c r="A131" s="5">
        <v>129</v>
      </c>
      <c r="B131" s="60">
        <v>101817019</v>
      </c>
      <c r="C131" s="60" t="s">
        <v>705</v>
      </c>
      <c r="D131" s="60" t="str">
        <f t="shared" si="4"/>
        <v>101817019 /0021885349</v>
      </c>
      <c r="E131" s="88" t="s">
        <v>706</v>
      </c>
      <c r="F131" s="57" t="s">
        <v>381</v>
      </c>
      <c r="G131" s="72" t="s">
        <v>452</v>
      </c>
      <c r="H131" s="88"/>
      <c r="I131" s="88"/>
      <c r="J131" s="88"/>
      <c r="K131" s="170"/>
      <c r="L131" s="168"/>
      <c r="M131" s="170"/>
      <c r="N131" s="170"/>
      <c r="O131" s="170"/>
      <c r="P131" s="88" t="s">
        <v>444</v>
      </c>
    </row>
    <row r="132" spans="1:16" x14ac:dyDescent="0.25">
      <c r="A132" s="5">
        <v>130</v>
      </c>
      <c r="B132" s="60">
        <v>101817021</v>
      </c>
      <c r="C132" s="60" t="s">
        <v>707</v>
      </c>
      <c r="D132" s="60" t="str">
        <f t="shared" si="4"/>
        <v>101817021 /0022087836</v>
      </c>
      <c r="E132" s="88" t="s">
        <v>708</v>
      </c>
      <c r="F132" s="57" t="s">
        <v>381</v>
      </c>
      <c r="G132" s="72" t="s">
        <v>449</v>
      </c>
      <c r="H132" s="88"/>
      <c r="I132" s="88"/>
      <c r="J132" s="88"/>
      <c r="K132" s="170"/>
      <c r="L132" s="168"/>
      <c r="M132" s="170"/>
      <c r="N132" s="170"/>
      <c r="O132" s="170"/>
      <c r="P132" s="88" t="s">
        <v>444</v>
      </c>
    </row>
    <row r="133" spans="1:16" x14ac:dyDescent="0.25">
      <c r="A133" s="5">
        <v>131</v>
      </c>
      <c r="B133" s="60">
        <v>101817022</v>
      </c>
      <c r="C133" s="102" t="s">
        <v>709</v>
      </c>
      <c r="D133" s="60" t="str">
        <f t="shared" si="4"/>
        <v>101817022 /0022565727</v>
      </c>
      <c r="E133" s="103" t="s">
        <v>710</v>
      </c>
      <c r="F133" s="57" t="s">
        <v>381</v>
      </c>
      <c r="G133" s="72" t="s">
        <v>462</v>
      </c>
      <c r="H133" s="88"/>
      <c r="I133" s="88"/>
      <c r="J133" s="88"/>
      <c r="K133" s="170"/>
      <c r="L133" s="168"/>
      <c r="M133" s="170"/>
      <c r="N133" s="170"/>
      <c r="O133" s="170"/>
      <c r="P133" s="88" t="s">
        <v>444</v>
      </c>
    </row>
    <row r="134" spans="1:16" x14ac:dyDescent="0.25">
      <c r="A134" s="5">
        <v>132</v>
      </c>
      <c r="B134" s="60">
        <v>101817023</v>
      </c>
      <c r="C134" s="102" t="s">
        <v>711</v>
      </c>
      <c r="D134" s="60" t="str">
        <f t="shared" si="4"/>
        <v>101817023 /0026717115</v>
      </c>
      <c r="E134" s="103" t="s">
        <v>712</v>
      </c>
      <c r="F134" s="57" t="s">
        <v>381</v>
      </c>
      <c r="G134" s="72" t="s">
        <v>483</v>
      </c>
      <c r="H134" s="88"/>
      <c r="I134" s="88"/>
      <c r="J134" s="88"/>
      <c r="K134" s="170"/>
      <c r="L134" s="168"/>
      <c r="M134" s="170"/>
      <c r="N134" s="170"/>
      <c r="O134" s="170"/>
      <c r="P134" s="88" t="s">
        <v>444</v>
      </c>
    </row>
    <row r="135" spans="1:16" x14ac:dyDescent="0.25">
      <c r="A135" s="5">
        <v>133</v>
      </c>
      <c r="B135" s="60">
        <v>101817024</v>
      </c>
      <c r="C135" s="102" t="s">
        <v>713</v>
      </c>
      <c r="D135" s="60" t="str">
        <f t="shared" si="4"/>
        <v>101817024 /0039019544</v>
      </c>
      <c r="E135" s="103" t="s">
        <v>714</v>
      </c>
      <c r="F135" s="57" t="s">
        <v>381</v>
      </c>
      <c r="G135" s="72" t="s">
        <v>449</v>
      </c>
      <c r="H135" s="88"/>
      <c r="I135" s="88"/>
      <c r="J135" s="88"/>
      <c r="K135" s="170"/>
      <c r="L135" s="168"/>
      <c r="M135" s="170"/>
      <c r="N135" s="170"/>
      <c r="O135" s="170"/>
      <c r="P135" s="88" t="s">
        <v>444</v>
      </c>
    </row>
    <row r="136" spans="1:16" x14ac:dyDescent="0.25">
      <c r="A136" s="5">
        <v>134</v>
      </c>
      <c r="B136" s="60">
        <v>101817029</v>
      </c>
      <c r="C136" s="60" t="s">
        <v>715</v>
      </c>
      <c r="D136" s="60" t="str">
        <f t="shared" si="4"/>
        <v>101817029 /0040255852</v>
      </c>
      <c r="E136" s="88" t="s">
        <v>716</v>
      </c>
      <c r="F136" s="57" t="s">
        <v>381</v>
      </c>
      <c r="G136" s="72" t="s">
        <v>483</v>
      </c>
      <c r="H136" s="88"/>
      <c r="I136" s="88"/>
      <c r="J136" s="88"/>
      <c r="K136" s="170"/>
      <c r="L136" s="168"/>
      <c r="M136" s="170"/>
      <c r="N136" s="170"/>
      <c r="O136" s="170"/>
      <c r="P136" s="88" t="s">
        <v>444</v>
      </c>
    </row>
    <row r="137" spans="1:16" x14ac:dyDescent="0.25">
      <c r="A137" s="5">
        <v>135</v>
      </c>
      <c r="B137" s="60">
        <v>101817031</v>
      </c>
      <c r="C137" s="102" t="s">
        <v>717</v>
      </c>
      <c r="D137" s="60" t="str">
        <f t="shared" si="4"/>
        <v>101817031 /0031938809</v>
      </c>
      <c r="E137" s="103" t="s">
        <v>718</v>
      </c>
      <c r="F137" s="57" t="s">
        <v>381</v>
      </c>
      <c r="G137" s="72" t="s">
        <v>452</v>
      </c>
      <c r="H137" s="88"/>
      <c r="I137" s="88"/>
      <c r="J137" s="88"/>
      <c r="K137" s="170"/>
      <c r="L137" s="168"/>
      <c r="M137" s="170"/>
      <c r="N137" s="170"/>
      <c r="O137" s="170"/>
      <c r="P137" s="88" t="s">
        <v>444</v>
      </c>
    </row>
    <row r="138" spans="1:16" x14ac:dyDescent="0.25">
      <c r="A138" s="5">
        <v>136</v>
      </c>
      <c r="B138" s="60">
        <v>101817032</v>
      </c>
      <c r="C138" s="102" t="s">
        <v>719</v>
      </c>
      <c r="D138" s="60" t="str">
        <f t="shared" si="4"/>
        <v>101817032 /0028080181</v>
      </c>
      <c r="E138" s="103" t="s">
        <v>720</v>
      </c>
      <c r="F138" s="57" t="s">
        <v>379</v>
      </c>
      <c r="G138" s="72" t="s">
        <v>483</v>
      </c>
      <c r="H138" s="88"/>
      <c r="I138" s="88"/>
      <c r="J138" s="88"/>
      <c r="K138" s="170"/>
      <c r="L138" s="168"/>
      <c r="M138" s="170"/>
      <c r="N138" s="170"/>
      <c r="O138" s="170"/>
      <c r="P138" s="88" t="s">
        <v>444</v>
      </c>
    </row>
    <row r="139" spans="1:16" x14ac:dyDescent="0.25">
      <c r="A139" s="5">
        <v>137</v>
      </c>
      <c r="B139" s="60">
        <v>101817033</v>
      </c>
      <c r="C139" s="102" t="s">
        <v>721</v>
      </c>
      <c r="D139" s="60" t="str">
        <f t="shared" si="4"/>
        <v>101817033 /0035384454</v>
      </c>
      <c r="E139" s="103" t="s">
        <v>722</v>
      </c>
      <c r="F139" s="57" t="s">
        <v>381</v>
      </c>
      <c r="G139" s="72" t="s">
        <v>483</v>
      </c>
      <c r="H139" s="88"/>
      <c r="I139" s="88"/>
      <c r="J139" s="88"/>
      <c r="K139" s="170"/>
      <c r="L139" s="168"/>
      <c r="M139" s="170"/>
      <c r="N139" s="170"/>
      <c r="O139" s="170"/>
      <c r="P139" s="88" t="s">
        <v>444</v>
      </c>
    </row>
    <row r="140" spans="1:16" x14ac:dyDescent="0.25">
      <c r="A140" s="5">
        <v>138</v>
      </c>
      <c r="B140" s="60">
        <v>101817035</v>
      </c>
      <c r="C140" s="102" t="s">
        <v>723</v>
      </c>
      <c r="D140" s="60" t="str">
        <f t="shared" si="4"/>
        <v>101817035 /0020088029</v>
      </c>
      <c r="E140" s="103" t="s">
        <v>724</v>
      </c>
      <c r="F140" s="57" t="s">
        <v>381</v>
      </c>
      <c r="G140" s="72" t="s">
        <v>443</v>
      </c>
      <c r="H140" s="88"/>
      <c r="I140" s="88"/>
      <c r="J140" s="88"/>
      <c r="K140" s="170"/>
      <c r="L140" s="168"/>
      <c r="M140" s="170"/>
      <c r="N140" s="170"/>
      <c r="O140" s="170"/>
      <c r="P140" s="88" t="s">
        <v>444</v>
      </c>
    </row>
    <row r="141" spans="1:16" x14ac:dyDescent="0.25">
      <c r="A141" s="5">
        <v>139</v>
      </c>
      <c r="B141" s="60">
        <v>101817036</v>
      </c>
      <c r="C141" s="60" t="s">
        <v>725</v>
      </c>
      <c r="D141" s="60" t="str">
        <f t="shared" si="4"/>
        <v>101817036 /0037376215</v>
      </c>
      <c r="E141" s="88" t="s">
        <v>726</v>
      </c>
      <c r="F141" s="57" t="s">
        <v>381</v>
      </c>
      <c r="G141" s="72" t="s">
        <v>483</v>
      </c>
      <c r="H141" s="88"/>
      <c r="I141" s="88"/>
      <c r="J141" s="88"/>
      <c r="K141" s="170"/>
      <c r="L141" s="168"/>
      <c r="M141" s="170"/>
      <c r="N141" s="170"/>
      <c r="O141" s="170"/>
      <c r="P141" s="88" t="s">
        <v>444</v>
      </c>
    </row>
    <row r="142" spans="1:16" x14ac:dyDescent="0.25">
      <c r="A142" s="5">
        <v>140</v>
      </c>
      <c r="B142" s="60">
        <v>101817037</v>
      </c>
      <c r="C142" s="102" t="s">
        <v>727</v>
      </c>
      <c r="D142" s="60" t="str">
        <f t="shared" si="4"/>
        <v>101817037 /0027591041</v>
      </c>
      <c r="E142" s="103" t="s">
        <v>728</v>
      </c>
      <c r="F142" s="57" t="s">
        <v>381</v>
      </c>
      <c r="G142" s="72" t="s">
        <v>483</v>
      </c>
      <c r="H142" s="88"/>
      <c r="I142" s="88"/>
      <c r="J142" s="88"/>
      <c r="K142" s="170"/>
      <c r="L142" s="168"/>
      <c r="M142" s="170"/>
      <c r="N142" s="170"/>
      <c r="O142" s="170"/>
      <c r="P142" s="88" t="s">
        <v>444</v>
      </c>
    </row>
    <row r="143" spans="1:16" x14ac:dyDescent="0.25">
      <c r="A143" s="5">
        <v>141</v>
      </c>
      <c r="B143" s="60">
        <v>101817039</v>
      </c>
      <c r="C143" s="102" t="s">
        <v>729</v>
      </c>
      <c r="D143" s="60" t="str">
        <f t="shared" si="4"/>
        <v>101817039 /0024946064</v>
      </c>
      <c r="E143" s="103" t="s">
        <v>730</v>
      </c>
      <c r="F143" s="57" t="s">
        <v>381</v>
      </c>
      <c r="G143" s="72" t="s">
        <v>449</v>
      </c>
      <c r="H143" s="88"/>
      <c r="I143" s="88"/>
      <c r="J143" s="88"/>
      <c r="K143" s="170"/>
      <c r="L143" s="168"/>
      <c r="M143" s="170"/>
      <c r="N143" s="170"/>
      <c r="O143" s="170"/>
      <c r="P143" s="88" t="s">
        <v>444</v>
      </c>
    </row>
    <row r="144" spans="1:16" x14ac:dyDescent="0.25">
      <c r="A144" s="5">
        <v>142</v>
      </c>
      <c r="B144" s="60">
        <v>101817043</v>
      </c>
      <c r="C144" s="102" t="s">
        <v>731</v>
      </c>
      <c r="D144" s="60" t="str">
        <f t="shared" si="4"/>
        <v>101817043 /0036870906</v>
      </c>
      <c r="E144" s="103" t="s">
        <v>732</v>
      </c>
      <c r="F144" s="57" t="s">
        <v>379</v>
      </c>
      <c r="G144" s="72" t="s">
        <v>452</v>
      </c>
      <c r="H144" s="88"/>
      <c r="I144" s="88"/>
      <c r="J144" s="88"/>
      <c r="K144" s="170"/>
      <c r="L144" s="168"/>
      <c r="M144" s="170"/>
      <c r="N144" s="170"/>
      <c r="O144" s="170"/>
      <c r="P144" s="88" t="s">
        <v>444</v>
      </c>
    </row>
    <row r="145" spans="1:16" x14ac:dyDescent="0.25">
      <c r="A145" s="5">
        <v>143</v>
      </c>
      <c r="B145" s="60">
        <v>101817044</v>
      </c>
      <c r="C145" s="60" t="s">
        <v>733</v>
      </c>
      <c r="D145" s="60" t="str">
        <f t="shared" si="4"/>
        <v>101817044 /0033683470</v>
      </c>
      <c r="E145" s="88" t="s">
        <v>734</v>
      </c>
      <c r="F145" s="57" t="s">
        <v>379</v>
      </c>
      <c r="G145" s="72" t="s">
        <v>449</v>
      </c>
      <c r="H145" s="88"/>
      <c r="I145" s="88"/>
      <c r="J145" s="88"/>
      <c r="K145" s="170"/>
      <c r="L145" s="168"/>
      <c r="M145" s="170"/>
      <c r="N145" s="170"/>
      <c r="O145" s="170"/>
      <c r="P145" s="88" t="s">
        <v>444</v>
      </c>
    </row>
    <row r="146" spans="1:16" x14ac:dyDescent="0.25">
      <c r="A146" s="5">
        <v>144</v>
      </c>
      <c r="B146" s="60">
        <v>101817049</v>
      </c>
      <c r="C146" s="102" t="s">
        <v>735</v>
      </c>
      <c r="D146" s="60" t="str">
        <f t="shared" si="4"/>
        <v>101817049 /0035796094</v>
      </c>
      <c r="E146" s="103" t="s">
        <v>736</v>
      </c>
      <c r="F146" s="57" t="s">
        <v>381</v>
      </c>
      <c r="G146" s="72" t="s">
        <v>452</v>
      </c>
      <c r="H146" s="88"/>
      <c r="I146" s="88"/>
      <c r="J146" s="88"/>
      <c r="K146" s="170"/>
      <c r="L146" s="168"/>
      <c r="M146" s="170"/>
      <c r="N146" s="170"/>
      <c r="O146" s="170"/>
      <c r="P146" s="88" t="s">
        <v>444</v>
      </c>
    </row>
    <row r="147" spans="1:16" x14ac:dyDescent="0.25">
      <c r="A147" s="5">
        <v>145</v>
      </c>
      <c r="B147" s="60">
        <v>101817050</v>
      </c>
      <c r="C147" s="60" t="s">
        <v>737</v>
      </c>
      <c r="D147" s="60" t="str">
        <f t="shared" si="4"/>
        <v>101817050 /0027928352</v>
      </c>
      <c r="E147" s="88" t="s">
        <v>738</v>
      </c>
      <c r="F147" s="57" t="s">
        <v>379</v>
      </c>
      <c r="G147" s="72" t="s">
        <v>462</v>
      </c>
      <c r="H147" s="88"/>
      <c r="I147" s="88"/>
      <c r="J147" s="88"/>
      <c r="K147" s="170"/>
      <c r="L147" s="168"/>
      <c r="M147" s="170"/>
      <c r="N147" s="170"/>
      <c r="O147" s="170"/>
      <c r="P147" s="88" t="s">
        <v>444</v>
      </c>
    </row>
    <row r="148" spans="1:16" x14ac:dyDescent="0.25">
      <c r="A148" s="5">
        <v>146</v>
      </c>
      <c r="B148" s="60">
        <v>101817052</v>
      </c>
      <c r="C148" s="102" t="s">
        <v>739</v>
      </c>
      <c r="D148" s="60" t="str">
        <f t="shared" si="4"/>
        <v>101817052 /0039994677</v>
      </c>
      <c r="E148" s="103" t="s">
        <v>740</v>
      </c>
      <c r="F148" s="57" t="s">
        <v>381</v>
      </c>
      <c r="G148" s="72" t="s">
        <v>462</v>
      </c>
      <c r="H148" s="88"/>
      <c r="I148" s="88"/>
      <c r="J148" s="88"/>
      <c r="K148" s="170"/>
      <c r="L148" s="168"/>
      <c r="M148" s="170"/>
      <c r="N148" s="170"/>
      <c r="O148" s="170"/>
      <c r="P148" s="88" t="s">
        <v>444</v>
      </c>
    </row>
    <row r="149" spans="1:16" x14ac:dyDescent="0.25">
      <c r="A149" s="5">
        <v>147</v>
      </c>
      <c r="B149" s="60">
        <v>101817053</v>
      </c>
      <c r="C149" s="60" t="s">
        <v>741</v>
      </c>
      <c r="D149" s="60" t="str">
        <f t="shared" si="4"/>
        <v>101817053 /0027539192</v>
      </c>
      <c r="E149" s="88" t="s">
        <v>742</v>
      </c>
      <c r="F149" s="57" t="s">
        <v>379</v>
      </c>
      <c r="G149" s="72" t="s">
        <v>462</v>
      </c>
      <c r="H149" s="88"/>
      <c r="I149" s="88"/>
      <c r="J149" s="88"/>
      <c r="K149" s="170"/>
      <c r="L149" s="168"/>
      <c r="M149" s="170"/>
      <c r="N149" s="170"/>
      <c r="O149" s="170"/>
      <c r="P149" s="88" t="s">
        <v>444</v>
      </c>
    </row>
    <row r="150" spans="1:16" x14ac:dyDescent="0.25">
      <c r="A150" s="5">
        <v>148</v>
      </c>
      <c r="B150" s="60">
        <v>101817059</v>
      </c>
      <c r="C150" s="60" t="s">
        <v>743</v>
      </c>
      <c r="D150" s="60" t="str">
        <f t="shared" si="4"/>
        <v>101817059 /0034217551</v>
      </c>
      <c r="E150" s="88" t="s">
        <v>744</v>
      </c>
      <c r="F150" s="57" t="s">
        <v>381</v>
      </c>
      <c r="G150" s="72" t="s">
        <v>462</v>
      </c>
      <c r="H150" s="88"/>
      <c r="I150" s="88"/>
      <c r="J150" s="88"/>
      <c r="K150" s="170"/>
      <c r="L150" s="168"/>
      <c r="M150" s="170"/>
      <c r="N150" s="170"/>
      <c r="O150" s="170"/>
      <c r="P150" s="88" t="s">
        <v>444</v>
      </c>
    </row>
    <row r="151" spans="1:16" x14ac:dyDescent="0.25">
      <c r="A151" s="5">
        <v>149</v>
      </c>
      <c r="B151" s="60">
        <v>101817060</v>
      </c>
      <c r="C151" s="102" t="s">
        <v>745</v>
      </c>
      <c r="D151" s="60" t="str">
        <f t="shared" si="4"/>
        <v>101817060 /0033511707</v>
      </c>
      <c r="E151" s="103" t="s">
        <v>746</v>
      </c>
      <c r="F151" s="57" t="s">
        <v>381</v>
      </c>
      <c r="G151" s="72" t="s">
        <v>443</v>
      </c>
      <c r="H151" s="88"/>
      <c r="I151" s="88"/>
      <c r="J151" s="88"/>
      <c r="K151" s="170"/>
      <c r="L151" s="168"/>
      <c r="M151" s="170"/>
      <c r="N151" s="170"/>
      <c r="O151" s="170"/>
      <c r="P151" s="88" t="s">
        <v>444</v>
      </c>
    </row>
    <row r="152" spans="1:16" x14ac:dyDescent="0.25">
      <c r="A152" s="5">
        <v>150</v>
      </c>
      <c r="B152" s="60">
        <v>101817061</v>
      </c>
      <c r="C152" s="60" t="s">
        <v>747</v>
      </c>
      <c r="D152" s="60" t="str">
        <f t="shared" si="4"/>
        <v>101817061 /0033677784</v>
      </c>
      <c r="E152" s="88" t="s">
        <v>748</v>
      </c>
      <c r="F152" s="57" t="s">
        <v>381</v>
      </c>
      <c r="G152" s="72" t="s">
        <v>483</v>
      </c>
      <c r="H152" s="88"/>
      <c r="I152" s="88"/>
      <c r="J152" s="88"/>
      <c r="K152" s="170"/>
      <c r="L152" s="168"/>
      <c r="M152" s="170"/>
      <c r="N152" s="170"/>
      <c r="O152" s="170"/>
      <c r="P152" s="88" t="s">
        <v>444</v>
      </c>
    </row>
    <row r="153" spans="1:16" x14ac:dyDescent="0.25">
      <c r="A153" s="5">
        <v>151</v>
      </c>
      <c r="B153" s="60">
        <v>101817062</v>
      </c>
      <c r="C153" s="102" t="s">
        <v>749</v>
      </c>
      <c r="D153" s="60" t="str">
        <f t="shared" si="4"/>
        <v>101817062 /0033417763</v>
      </c>
      <c r="E153" s="103" t="s">
        <v>750</v>
      </c>
      <c r="F153" s="57" t="s">
        <v>381</v>
      </c>
      <c r="G153" s="72" t="s">
        <v>462</v>
      </c>
      <c r="H153" s="88"/>
      <c r="I153" s="88"/>
      <c r="J153" s="88"/>
      <c r="K153" s="170"/>
      <c r="L153" s="168"/>
      <c r="M153" s="170"/>
      <c r="N153" s="170"/>
      <c r="O153" s="170"/>
      <c r="P153" s="88" t="s">
        <v>444</v>
      </c>
    </row>
    <row r="154" spans="1:16" x14ac:dyDescent="0.25">
      <c r="A154" s="5">
        <v>152</v>
      </c>
      <c r="B154" s="60">
        <v>101817063</v>
      </c>
      <c r="C154" s="102" t="s">
        <v>751</v>
      </c>
      <c r="D154" s="60" t="str">
        <f t="shared" si="4"/>
        <v>101817063 /0033313918</v>
      </c>
      <c r="E154" s="103" t="s">
        <v>752</v>
      </c>
      <c r="F154" s="57" t="s">
        <v>381</v>
      </c>
      <c r="G154" s="72" t="s">
        <v>452</v>
      </c>
      <c r="H154" s="88"/>
      <c r="I154" s="88"/>
      <c r="J154" s="88"/>
      <c r="K154" s="170"/>
      <c r="L154" s="168"/>
      <c r="M154" s="170"/>
      <c r="N154" s="170"/>
      <c r="O154" s="170"/>
      <c r="P154" s="88" t="s">
        <v>444</v>
      </c>
    </row>
    <row r="155" spans="1:16" x14ac:dyDescent="0.25">
      <c r="A155" s="5">
        <v>153</v>
      </c>
      <c r="B155" s="60">
        <v>101817066</v>
      </c>
      <c r="C155" s="102" t="s">
        <v>753</v>
      </c>
      <c r="D155" s="60" t="str">
        <f t="shared" si="4"/>
        <v>101817066 /0034754346</v>
      </c>
      <c r="E155" s="103" t="s">
        <v>754</v>
      </c>
      <c r="F155" s="57" t="s">
        <v>379</v>
      </c>
      <c r="G155" s="72" t="s">
        <v>449</v>
      </c>
      <c r="H155" s="88"/>
      <c r="I155" s="88"/>
      <c r="J155" s="88"/>
      <c r="K155" s="170"/>
      <c r="L155" s="168"/>
      <c r="M155" s="170"/>
      <c r="N155" s="170"/>
      <c r="O155" s="170"/>
      <c r="P155" s="88" t="s">
        <v>444</v>
      </c>
    </row>
    <row r="156" spans="1:16" x14ac:dyDescent="0.25">
      <c r="A156" s="5">
        <v>154</v>
      </c>
      <c r="B156" s="60">
        <v>101817067</v>
      </c>
      <c r="C156" s="101" t="s">
        <v>755</v>
      </c>
      <c r="D156" s="60" t="str">
        <f t="shared" si="4"/>
        <v>101817067 /0027395354</v>
      </c>
      <c r="E156" s="104" t="s">
        <v>756</v>
      </c>
      <c r="F156" s="57" t="s">
        <v>381</v>
      </c>
      <c r="G156" s="72" t="s">
        <v>452</v>
      </c>
      <c r="H156" s="88"/>
      <c r="I156" s="88"/>
      <c r="J156" s="88"/>
      <c r="K156" s="170"/>
      <c r="L156" s="168"/>
      <c r="M156" s="170"/>
      <c r="N156" s="170"/>
      <c r="O156" s="170"/>
      <c r="P156" s="88" t="s">
        <v>444</v>
      </c>
    </row>
    <row r="157" spans="1:16" x14ac:dyDescent="0.25">
      <c r="A157" s="5">
        <v>155</v>
      </c>
      <c r="B157" s="60">
        <v>101817074</v>
      </c>
      <c r="C157" s="60" t="s">
        <v>757</v>
      </c>
      <c r="D157" s="60" t="str">
        <f t="shared" si="4"/>
        <v>101817074 /0025990342</v>
      </c>
      <c r="E157" s="88" t="s">
        <v>758</v>
      </c>
      <c r="F157" s="57" t="s">
        <v>381</v>
      </c>
      <c r="G157" s="72" t="s">
        <v>452</v>
      </c>
      <c r="H157" s="88"/>
      <c r="I157" s="88"/>
      <c r="J157" s="88"/>
      <c r="K157" s="170"/>
      <c r="L157" s="168"/>
      <c r="M157" s="170"/>
      <c r="N157" s="170"/>
      <c r="O157" s="170"/>
      <c r="P157" s="88" t="s">
        <v>444</v>
      </c>
    </row>
    <row r="158" spans="1:16" x14ac:dyDescent="0.25">
      <c r="A158" s="5">
        <v>156</v>
      </c>
      <c r="B158" s="60">
        <v>101817077</v>
      </c>
      <c r="C158" s="102" t="s">
        <v>759</v>
      </c>
      <c r="D158" s="60" t="str">
        <f t="shared" si="4"/>
        <v>101817077 /0026793418</v>
      </c>
      <c r="E158" s="103" t="s">
        <v>760</v>
      </c>
      <c r="F158" s="57" t="s">
        <v>381</v>
      </c>
      <c r="G158" s="72" t="s">
        <v>443</v>
      </c>
      <c r="H158" s="88"/>
      <c r="I158" s="88"/>
      <c r="J158" s="88"/>
      <c r="K158" s="170"/>
      <c r="L158" s="168"/>
      <c r="M158" s="170"/>
      <c r="N158" s="170"/>
      <c r="O158" s="170"/>
      <c r="P158" s="88" t="s">
        <v>444</v>
      </c>
    </row>
    <row r="159" spans="1:16" x14ac:dyDescent="0.25">
      <c r="A159" s="5">
        <v>157</v>
      </c>
      <c r="B159" s="60">
        <v>101817082</v>
      </c>
      <c r="C159" s="60" t="s">
        <v>761</v>
      </c>
      <c r="D159" s="60" t="str">
        <f t="shared" ref="D159:D190" si="5">B159&amp;" /"&amp;C159</f>
        <v>101817082 /0031879994</v>
      </c>
      <c r="E159" s="88" t="s">
        <v>762</v>
      </c>
      <c r="F159" s="57" t="s">
        <v>379</v>
      </c>
      <c r="G159" s="72" t="s">
        <v>483</v>
      </c>
      <c r="H159" s="88"/>
      <c r="I159" s="88"/>
      <c r="J159" s="88"/>
      <c r="K159" s="170"/>
      <c r="L159" s="168"/>
      <c r="M159" s="170"/>
      <c r="N159" s="170"/>
      <c r="O159" s="170"/>
      <c r="P159" s="88" t="s">
        <v>444</v>
      </c>
    </row>
    <row r="160" spans="1:16" x14ac:dyDescent="0.25">
      <c r="A160" s="5">
        <v>158</v>
      </c>
      <c r="B160" s="60">
        <v>101817083</v>
      </c>
      <c r="C160" s="60" t="s">
        <v>763</v>
      </c>
      <c r="D160" s="60" t="str">
        <f t="shared" si="5"/>
        <v>101817083 /0028801074</v>
      </c>
      <c r="E160" s="88" t="s">
        <v>764</v>
      </c>
      <c r="F160" s="57" t="s">
        <v>381</v>
      </c>
      <c r="G160" s="72" t="s">
        <v>483</v>
      </c>
      <c r="H160" s="88"/>
      <c r="I160" s="88"/>
      <c r="J160" s="88"/>
      <c r="K160" s="170"/>
      <c r="L160" s="168"/>
      <c r="M160" s="170"/>
      <c r="N160" s="170"/>
      <c r="O160" s="170"/>
      <c r="P160" s="88" t="s">
        <v>444</v>
      </c>
    </row>
    <row r="161" spans="1:16" x14ac:dyDescent="0.25">
      <c r="A161" s="5">
        <v>159</v>
      </c>
      <c r="B161" s="60">
        <v>101817086</v>
      </c>
      <c r="C161" s="60" t="s">
        <v>765</v>
      </c>
      <c r="D161" s="60" t="str">
        <f t="shared" si="5"/>
        <v>101817086 /0040310378</v>
      </c>
      <c r="E161" s="88" t="s">
        <v>766</v>
      </c>
      <c r="F161" s="57" t="s">
        <v>381</v>
      </c>
      <c r="G161" s="72" t="s">
        <v>452</v>
      </c>
      <c r="H161" s="88"/>
      <c r="I161" s="88"/>
      <c r="J161" s="88"/>
      <c r="K161" s="170"/>
      <c r="L161" s="168"/>
      <c r="M161" s="170"/>
      <c r="N161" s="170"/>
      <c r="O161" s="170"/>
      <c r="P161" s="88" t="s">
        <v>444</v>
      </c>
    </row>
    <row r="162" spans="1:16" x14ac:dyDescent="0.25">
      <c r="A162" s="5">
        <v>160</v>
      </c>
      <c r="B162" s="60">
        <v>101817087</v>
      </c>
      <c r="C162" s="102" t="s">
        <v>767</v>
      </c>
      <c r="D162" s="60" t="str">
        <f t="shared" si="5"/>
        <v>101817087 /0039050136</v>
      </c>
      <c r="E162" s="103" t="s">
        <v>768</v>
      </c>
      <c r="F162" s="57" t="s">
        <v>379</v>
      </c>
      <c r="G162" s="72" t="s">
        <v>483</v>
      </c>
      <c r="H162" s="88"/>
      <c r="I162" s="88"/>
      <c r="J162" s="88"/>
      <c r="K162" s="170"/>
      <c r="L162" s="168"/>
      <c r="M162" s="170"/>
      <c r="N162" s="170"/>
      <c r="O162" s="170"/>
      <c r="P162" s="88" t="s">
        <v>444</v>
      </c>
    </row>
    <row r="163" spans="1:16" x14ac:dyDescent="0.25">
      <c r="A163" s="5">
        <v>161</v>
      </c>
      <c r="B163" s="60">
        <v>101817088</v>
      </c>
      <c r="C163" s="102" t="s">
        <v>769</v>
      </c>
      <c r="D163" s="60" t="str">
        <f t="shared" si="5"/>
        <v>101817088 /0032157944</v>
      </c>
      <c r="E163" s="103" t="s">
        <v>770</v>
      </c>
      <c r="F163" s="57" t="s">
        <v>379</v>
      </c>
      <c r="G163" s="72" t="s">
        <v>483</v>
      </c>
      <c r="H163" s="88"/>
      <c r="I163" s="88"/>
      <c r="J163" s="88"/>
      <c r="K163" s="170"/>
      <c r="L163" s="168"/>
      <c r="M163" s="170"/>
      <c r="N163" s="170"/>
      <c r="O163" s="170"/>
      <c r="P163" s="88" t="s">
        <v>444</v>
      </c>
    </row>
    <row r="164" spans="1:16" x14ac:dyDescent="0.25">
      <c r="A164" s="5">
        <v>162</v>
      </c>
      <c r="B164" s="60">
        <v>101817089</v>
      </c>
      <c r="C164" s="102" t="s">
        <v>771</v>
      </c>
      <c r="D164" s="60" t="str">
        <f t="shared" si="5"/>
        <v>101817089 /0031549977</v>
      </c>
      <c r="E164" s="103" t="s">
        <v>772</v>
      </c>
      <c r="F164" s="57" t="s">
        <v>381</v>
      </c>
      <c r="G164" s="72" t="s">
        <v>455</v>
      </c>
      <c r="H164" s="88"/>
      <c r="I164" s="88"/>
      <c r="J164" s="88"/>
      <c r="K164" s="170"/>
      <c r="L164" s="168"/>
      <c r="M164" s="170"/>
      <c r="N164" s="170"/>
      <c r="O164" s="170"/>
      <c r="P164" s="88" t="s">
        <v>444</v>
      </c>
    </row>
    <row r="165" spans="1:16" x14ac:dyDescent="0.25">
      <c r="A165" s="5">
        <v>163</v>
      </c>
      <c r="B165" s="60">
        <v>101817090</v>
      </c>
      <c r="C165" s="101" t="s">
        <v>773</v>
      </c>
      <c r="D165" s="60" t="str">
        <f t="shared" si="5"/>
        <v>101817090 /0032365929</v>
      </c>
      <c r="E165" s="104" t="s">
        <v>774</v>
      </c>
      <c r="F165" s="57" t="s">
        <v>381</v>
      </c>
      <c r="G165" s="72" t="s">
        <v>462</v>
      </c>
      <c r="H165" s="88"/>
      <c r="I165" s="88"/>
      <c r="J165" s="88"/>
      <c r="K165" s="170"/>
      <c r="L165" s="168"/>
      <c r="M165" s="170"/>
      <c r="N165" s="170"/>
      <c r="O165" s="170"/>
      <c r="P165" s="88" t="s">
        <v>444</v>
      </c>
    </row>
    <row r="166" spans="1:16" x14ac:dyDescent="0.25">
      <c r="A166" s="5">
        <v>164</v>
      </c>
      <c r="B166" s="60">
        <v>101817097</v>
      </c>
      <c r="C166" s="102" t="s">
        <v>775</v>
      </c>
      <c r="D166" s="60" t="str">
        <f t="shared" si="5"/>
        <v>101817097 /0035842304</v>
      </c>
      <c r="E166" s="103" t="s">
        <v>776</v>
      </c>
      <c r="F166" s="57" t="s">
        <v>381</v>
      </c>
      <c r="G166" s="72" t="s">
        <v>443</v>
      </c>
      <c r="H166" s="88"/>
      <c r="I166" s="88"/>
      <c r="J166" s="88"/>
      <c r="K166" s="170"/>
      <c r="L166" s="168"/>
      <c r="M166" s="170"/>
      <c r="N166" s="170"/>
      <c r="O166" s="170"/>
      <c r="P166" s="88" t="s">
        <v>444</v>
      </c>
    </row>
    <row r="167" spans="1:16" x14ac:dyDescent="0.25">
      <c r="A167" s="5">
        <v>165</v>
      </c>
      <c r="B167" s="60">
        <v>101817098</v>
      </c>
      <c r="C167" s="60" t="s">
        <v>777</v>
      </c>
      <c r="D167" s="60" t="str">
        <f t="shared" si="5"/>
        <v>101817098 /0032354246</v>
      </c>
      <c r="E167" s="88" t="s">
        <v>778</v>
      </c>
      <c r="F167" s="57" t="s">
        <v>381</v>
      </c>
      <c r="G167" s="72" t="s">
        <v>452</v>
      </c>
      <c r="H167" s="88"/>
      <c r="I167" s="88"/>
      <c r="J167" s="88"/>
      <c r="K167" s="170"/>
      <c r="L167" s="168"/>
      <c r="M167" s="170"/>
      <c r="N167" s="170"/>
      <c r="O167" s="170"/>
      <c r="P167" s="88" t="s">
        <v>444</v>
      </c>
    </row>
    <row r="168" spans="1:16" x14ac:dyDescent="0.25">
      <c r="A168" s="5">
        <v>166</v>
      </c>
      <c r="B168" s="60">
        <v>101817099</v>
      </c>
      <c r="C168" s="60" t="s">
        <v>779</v>
      </c>
      <c r="D168" s="60" t="str">
        <f t="shared" si="5"/>
        <v>101817099 /0031810018</v>
      </c>
      <c r="E168" s="88" t="s">
        <v>780</v>
      </c>
      <c r="F168" s="57" t="s">
        <v>381</v>
      </c>
      <c r="G168" s="72" t="s">
        <v>449</v>
      </c>
      <c r="H168" s="88"/>
      <c r="I168" s="88"/>
      <c r="J168" s="88"/>
      <c r="K168" s="170"/>
      <c r="L168" s="168"/>
      <c r="M168" s="170"/>
      <c r="N168" s="170"/>
      <c r="O168" s="170"/>
      <c r="P168" s="88" t="s">
        <v>444</v>
      </c>
    </row>
    <row r="169" spans="1:16" x14ac:dyDescent="0.25">
      <c r="A169" s="5">
        <v>167</v>
      </c>
      <c r="B169" s="60">
        <v>101817100</v>
      </c>
      <c r="C169" s="60" t="s">
        <v>781</v>
      </c>
      <c r="D169" s="60" t="str">
        <f t="shared" si="5"/>
        <v>101817100 /0029362289</v>
      </c>
      <c r="E169" s="88" t="s">
        <v>782</v>
      </c>
      <c r="F169" s="57" t="s">
        <v>381</v>
      </c>
      <c r="G169" s="72" t="s">
        <v>462</v>
      </c>
      <c r="H169" s="88"/>
      <c r="I169" s="88"/>
      <c r="J169" s="88"/>
      <c r="K169" s="170"/>
      <c r="L169" s="168"/>
      <c r="M169" s="170"/>
      <c r="N169" s="170"/>
      <c r="O169" s="170"/>
      <c r="P169" s="88" t="s">
        <v>444</v>
      </c>
    </row>
    <row r="170" spans="1:16" x14ac:dyDescent="0.25">
      <c r="A170" s="5">
        <v>168</v>
      </c>
      <c r="B170" s="60">
        <v>101817102</v>
      </c>
      <c r="C170" s="60" t="s">
        <v>783</v>
      </c>
      <c r="D170" s="60" t="str">
        <f t="shared" si="5"/>
        <v>101817102 /0032107150</v>
      </c>
      <c r="E170" s="88" t="s">
        <v>784</v>
      </c>
      <c r="F170" s="57" t="s">
        <v>381</v>
      </c>
      <c r="G170" s="72" t="s">
        <v>443</v>
      </c>
      <c r="H170" s="88"/>
      <c r="I170" s="88"/>
      <c r="J170" s="88"/>
      <c r="K170" s="170"/>
      <c r="L170" s="168"/>
      <c r="M170" s="170"/>
      <c r="N170" s="170"/>
      <c r="O170" s="170"/>
      <c r="P170" s="88" t="s">
        <v>444</v>
      </c>
    </row>
    <row r="171" spans="1:16" x14ac:dyDescent="0.25">
      <c r="A171" s="5">
        <v>169</v>
      </c>
      <c r="B171" s="60">
        <v>101817104</v>
      </c>
      <c r="C171" s="60" t="s">
        <v>785</v>
      </c>
      <c r="D171" s="60" t="str">
        <f t="shared" si="5"/>
        <v>101817104 /0028590506</v>
      </c>
      <c r="E171" s="88" t="s">
        <v>786</v>
      </c>
      <c r="F171" s="57" t="s">
        <v>379</v>
      </c>
      <c r="G171" s="72" t="s">
        <v>483</v>
      </c>
      <c r="H171" s="88"/>
      <c r="I171" s="88"/>
      <c r="J171" s="88"/>
      <c r="K171" s="170"/>
      <c r="L171" s="168"/>
      <c r="M171" s="170"/>
      <c r="N171" s="170"/>
      <c r="O171" s="170"/>
      <c r="P171" s="88" t="s">
        <v>444</v>
      </c>
    </row>
    <row r="172" spans="1:16" x14ac:dyDescent="0.25">
      <c r="A172" s="5">
        <v>170</v>
      </c>
      <c r="B172" s="60">
        <v>101817105</v>
      </c>
      <c r="C172" s="60" t="s">
        <v>787</v>
      </c>
      <c r="D172" s="60" t="str">
        <f t="shared" si="5"/>
        <v>101817105 /0027335661</v>
      </c>
      <c r="E172" s="88" t="s">
        <v>788</v>
      </c>
      <c r="F172" s="57" t="s">
        <v>381</v>
      </c>
      <c r="G172" s="72" t="s">
        <v>449</v>
      </c>
      <c r="H172" s="88"/>
      <c r="I172" s="88"/>
      <c r="J172" s="88"/>
      <c r="K172" s="170"/>
      <c r="L172" s="168"/>
      <c r="M172" s="170"/>
      <c r="N172" s="170"/>
      <c r="O172" s="170"/>
      <c r="P172" s="88" t="s">
        <v>444</v>
      </c>
    </row>
    <row r="173" spans="1:16" x14ac:dyDescent="0.25">
      <c r="A173" s="5">
        <v>171</v>
      </c>
      <c r="B173" s="60">
        <v>101817106</v>
      </c>
      <c r="C173" s="60" t="s">
        <v>789</v>
      </c>
      <c r="D173" s="60" t="str">
        <f t="shared" si="5"/>
        <v>101817106 /0028918211</v>
      </c>
      <c r="E173" s="88" t="s">
        <v>790</v>
      </c>
      <c r="F173" s="57" t="s">
        <v>381</v>
      </c>
      <c r="G173" s="72" t="s">
        <v>462</v>
      </c>
      <c r="H173" s="88"/>
      <c r="I173" s="88"/>
      <c r="J173" s="88"/>
      <c r="K173" s="170"/>
      <c r="L173" s="168"/>
      <c r="M173" s="170"/>
      <c r="N173" s="170"/>
      <c r="O173" s="170"/>
      <c r="P173" s="88" t="s">
        <v>444</v>
      </c>
    </row>
    <row r="174" spans="1:16" x14ac:dyDescent="0.25">
      <c r="A174" s="5">
        <v>172</v>
      </c>
      <c r="B174" s="60">
        <v>101817107</v>
      </c>
      <c r="C174" s="60" t="s">
        <v>791</v>
      </c>
      <c r="D174" s="60" t="str">
        <f t="shared" si="5"/>
        <v>101817107 /0038636777</v>
      </c>
      <c r="E174" s="88" t="s">
        <v>792</v>
      </c>
      <c r="F174" s="57" t="s">
        <v>381</v>
      </c>
      <c r="G174" s="72" t="s">
        <v>483</v>
      </c>
      <c r="H174" s="88"/>
      <c r="I174" s="88"/>
      <c r="J174" s="88"/>
      <c r="K174" s="170"/>
      <c r="L174" s="168"/>
      <c r="M174" s="170"/>
      <c r="N174" s="170"/>
      <c r="O174" s="170"/>
      <c r="P174" s="88" t="s">
        <v>444</v>
      </c>
    </row>
    <row r="175" spans="1:16" x14ac:dyDescent="0.25">
      <c r="A175" s="5">
        <v>173</v>
      </c>
      <c r="B175" s="60">
        <v>101817109</v>
      </c>
      <c r="C175" s="102" t="s">
        <v>793</v>
      </c>
      <c r="D175" s="60" t="str">
        <f t="shared" si="5"/>
        <v>101817109 /0022269971</v>
      </c>
      <c r="E175" s="103" t="s">
        <v>794</v>
      </c>
      <c r="F175" s="57" t="s">
        <v>381</v>
      </c>
      <c r="G175" s="72" t="s">
        <v>443</v>
      </c>
      <c r="H175" s="88"/>
      <c r="I175" s="88"/>
      <c r="J175" s="88"/>
      <c r="K175" s="170"/>
      <c r="L175" s="168"/>
      <c r="M175" s="170"/>
      <c r="N175" s="170"/>
      <c r="O175" s="170"/>
      <c r="P175" s="88" t="s">
        <v>444</v>
      </c>
    </row>
    <row r="176" spans="1:16" x14ac:dyDescent="0.25">
      <c r="A176" s="5">
        <v>174</v>
      </c>
      <c r="B176" s="60">
        <v>101817113</v>
      </c>
      <c r="C176" s="60" t="s">
        <v>795</v>
      </c>
      <c r="D176" s="60" t="str">
        <f t="shared" si="5"/>
        <v>101817113 /0031797664</v>
      </c>
      <c r="E176" s="88" t="s">
        <v>796</v>
      </c>
      <c r="F176" s="57" t="s">
        <v>381</v>
      </c>
      <c r="G176" s="72" t="s">
        <v>449</v>
      </c>
      <c r="H176" s="88"/>
      <c r="I176" s="88"/>
      <c r="J176" s="88"/>
      <c r="K176" s="170"/>
      <c r="L176" s="168"/>
      <c r="M176" s="170"/>
      <c r="N176" s="170"/>
      <c r="O176" s="170"/>
      <c r="P176" s="88" t="s">
        <v>444</v>
      </c>
    </row>
    <row r="177" spans="1:16" x14ac:dyDescent="0.25">
      <c r="A177" s="5">
        <v>175</v>
      </c>
      <c r="B177" s="60">
        <v>101817114</v>
      </c>
      <c r="C177" s="102" t="s">
        <v>797</v>
      </c>
      <c r="D177" s="60" t="str">
        <f t="shared" si="5"/>
        <v>101817114 /0025615872</v>
      </c>
      <c r="E177" s="103" t="s">
        <v>798</v>
      </c>
      <c r="F177" s="57" t="s">
        <v>381</v>
      </c>
      <c r="G177" s="72" t="s">
        <v>462</v>
      </c>
      <c r="H177" s="88"/>
      <c r="I177" s="88"/>
      <c r="J177" s="88"/>
      <c r="K177" s="170"/>
      <c r="L177" s="168"/>
      <c r="M177" s="170"/>
      <c r="N177" s="170"/>
      <c r="O177" s="170"/>
      <c r="P177" s="88" t="s">
        <v>444</v>
      </c>
    </row>
    <row r="178" spans="1:16" x14ac:dyDescent="0.25">
      <c r="A178" s="5">
        <v>176</v>
      </c>
      <c r="B178" s="60">
        <v>101817115</v>
      </c>
      <c r="C178" s="60" t="s">
        <v>799</v>
      </c>
      <c r="D178" s="60" t="str">
        <f t="shared" si="5"/>
        <v>101817115 /0039125515</v>
      </c>
      <c r="E178" s="88" t="s">
        <v>800</v>
      </c>
      <c r="F178" s="57" t="s">
        <v>381</v>
      </c>
      <c r="G178" s="72" t="s">
        <v>462</v>
      </c>
      <c r="H178" s="88"/>
      <c r="I178" s="88"/>
      <c r="J178" s="88"/>
      <c r="K178" s="170"/>
      <c r="L178" s="168"/>
      <c r="M178" s="170"/>
      <c r="N178" s="170"/>
      <c r="O178" s="170"/>
      <c r="P178" s="88" t="s">
        <v>444</v>
      </c>
    </row>
    <row r="179" spans="1:16" x14ac:dyDescent="0.25">
      <c r="A179" s="5">
        <v>177</v>
      </c>
      <c r="B179" s="60">
        <v>101817117</v>
      </c>
      <c r="C179" s="102" t="s">
        <v>801</v>
      </c>
      <c r="D179" s="60" t="str">
        <f t="shared" si="5"/>
        <v>101817117 /0026930824</v>
      </c>
      <c r="E179" s="103" t="s">
        <v>802</v>
      </c>
      <c r="F179" s="57" t="s">
        <v>381</v>
      </c>
      <c r="G179" s="72" t="s">
        <v>483</v>
      </c>
      <c r="H179" s="88"/>
      <c r="I179" s="88"/>
      <c r="J179" s="88"/>
      <c r="K179" s="170"/>
      <c r="L179" s="168"/>
      <c r="M179" s="170"/>
      <c r="N179" s="170"/>
      <c r="O179" s="170"/>
      <c r="P179" s="88" t="s">
        <v>444</v>
      </c>
    </row>
    <row r="180" spans="1:16" x14ac:dyDescent="0.25">
      <c r="A180" s="5">
        <v>178</v>
      </c>
      <c r="B180" s="60">
        <v>101817119</v>
      </c>
      <c r="C180" s="102" t="s">
        <v>803</v>
      </c>
      <c r="D180" s="60" t="str">
        <f t="shared" si="5"/>
        <v>101817119 /0039070036</v>
      </c>
      <c r="E180" s="103" t="s">
        <v>804</v>
      </c>
      <c r="F180" s="57" t="s">
        <v>381</v>
      </c>
      <c r="G180" s="72" t="s">
        <v>443</v>
      </c>
      <c r="H180" s="88"/>
      <c r="I180" s="88"/>
      <c r="J180" s="88"/>
      <c r="K180" s="170"/>
      <c r="L180" s="168"/>
      <c r="M180" s="170"/>
      <c r="N180" s="170"/>
      <c r="O180" s="170"/>
      <c r="P180" s="88" t="s">
        <v>444</v>
      </c>
    </row>
    <row r="181" spans="1:16" x14ac:dyDescent="0.25">
      <c r="A181" s="5">
        <v>179</v>
      </c>
      <c r="B181" s="60">
        <v>101817120</v>
      </c>
      <c r="C181" s="60" t="s">
        <v>805</v>
      </c>
      <c r="D181" s="60" t="str">
        <f t="shared" si="5"/>
        <v>101817120 /0039727037</v>
      </c>
      <c r="E181" s="88" t="s">
        <v>806</v>
      </c>
      <c r="F181" s="57" t="s">
        <v>379</v>
      </c>
      <c r="G181" s="72" t="s">
        <v>462</v>
      </c>
      <c r="H181" s="88"/>
      <c r="I181" s="88"/>
      <c r="J181" s="88"/>
      <c r="K181" s="170"/>
      <c r="L181" s="168"/>
      <c r="M181" s="170"/>
      <c r="N181" s="170"/>
      <c r="O181" s="170"/>
      <c r="P181" s="88" t="s">
        <v>444</v>
      </c>
    </row>
    <row r="182" spans="1:16" x14ac:dyDescent="0.25">
      <c r="A182" s="5">
        <v>180</v>
      </c>
      <c r="B182" s="60">
        <v>101817122</v>
      </c>
      <c r="C182" s="102" t="s">
        <v>807</v>
      </c>
      <c r="D182" s="60" t="str">
        <f t="shared" si="5"/>
        <v>101817122 /0020304648</v>
      </c>
      <c r="E182" s="103" t="s">
        <v>808</v>
      </c>
      <c r="F182" s="57" t="s">
        <v>379</v>
      </c>
      <c r="G182" s="72" t="s">
        <v>455</v>
      </c>
      <c r="H182" s="88"/>
      <c r="I182" s="88"/>
      <c r="J182" s="88"/>
      <c r="K182" s="170"/>
      <c r="L182" s="168"/>
      <c r="M182" s="170"/>
      <c r="N182" s="170"/>
      <c r="O182" s="170"/>
      <c r="P182" s="88" t="s">
        <v>444</v>
      </c>
    </row>
    <row r="183" spans="1:16" x14ac:dyDescent="0.25">
      <c r="A183" s="5">
        <v>181</v>
      </c>
      <c r="B183" s="60">
        <v>101817126</v>
      </c>
      <c r="C183" s="60" t="s">
        <v>809</v>
      </c>
      <c r="D183" s="60" t="str">
        <f t="shared" si="5"/>
        <v>101817126 /0025619914</v>
      </c>
      <c r="E183" s="88" t="s">
        <v>810</v>
      </c>
      <c r="F183" s="57" t="s">
        <v>381</v>
      </c>
      <c r="G183" s="72" t="s">
        <v>449</v>
      </c>
      <c r="H183" s="88"/>
      <c r="I183" s="88"/>
      <c r="J183" s="88"/>
      <c r="K183" s="170"/>
      <c r="L183" s="168"/>
      <c r="M183" s="170"/>
      <c r="N183" s="170"/>
      <c r="O183" s="170"/>
      <c r="P183" s="88" t="s">
        <v>444</v>
      </c>
    </row>
    <row r="184" spans="1:16" x14ac:dyDescent="0.25">
      <c r="A184" s="5">
        <v>182</v>
      </c>
      <c r="B184" s="60">
        <v>101817127</v>
      </c>
      <c r="C184" s="60" t="s">
        <v>811</v>
      </c>
      <c r="D184" s="60" t="str">
        <f t="shared" si="5"/>
        <v>101817127 /0037989922</v>
      </c>
      <c r="E184" s="88" t="s">
        <v>812</v>
      </c>
      <c r="F184" s="57" t="s">
        <v>381</v>
      </c>
      <c r="G184" s="72" t="s">
        <v>483</v>
      </c>
      <c r="H184" s="88"/>
      <c r="I184" s="88"/>
      <c r="J184" s="88"/>
      <c r="K184" s="170"/>
      <c r="L184" s="168"/>
      <c r="M184" s="170"/>
      <c r="N184" s="170"/>
      <c r="O184" s="170"/>
      <c r="P184" s="88" t="s">
        <v>444</v>
      </c>
    </row>
    <row r="185" spans="1:16" x14ac:dyDescent="0.25">
      <c r="A185" s="5">
        <v>183</v>
      </c>
      <c r="B185" s="60">
        <v>101817128</v>
      </c>
      <c r="C185" s="102" t="s">
        <v>813</v>
      </c>
      <c r="D185" s="60" t="str">
        <f t="shared" si="5"/>
        <v>101817128 /0033438048</v>
      </c>
      <c r="E185" s="103" t="s">
        <v>814</v>
      </c>
      <c r="F185" s="57" t="s">
        <v>381</v>
      </c>
      <c r="G185" s="72" t="s">
        <v>455</v>
      </c>
      <c r="H185" s="88"/>
      <c r="I185" s="88"/>
      <c r="J185" s="88"/>
      <c r="K185" s="170"/>
      <c r="L185" s="168"/>
      <c r="M185" s="170"/>
      <c r="N185" s="170"/>
      <c r="O185" s="170"/>
      <c r="P185" s="88" t="s">
        <v>444</v>
      </c>
    </row>
    <row r="186" spans="1:16" x14ac:dyDescent="0.25">
      <c r="A186" s="5">
        <v>184</v>
      </c>
      <c r="B186" s="60">
        <v>101817130</v>
      </c>
      <c r="C186" s="102" t="s">
        <v>815</v>
      </c>
      <c r="D186" s="60" t="str">
        <f t="shared" si="5"/>
        <v>101817130 /0037091512</v>
      </c>
      <c r="E186" s="103" t="s">
        <v>816</v>
      </c>
      <c r="F186" s="57" t="s">
        <v>381</v>
      </c>
      <c r="G186" s="72" t="s">
        <v>449</v>
      </c>
      <c r="H186" s="88"/>
      <c r="I186" s="88"/>
      <c r="J186" s="88"/>
      <c r="K186" s="170"/>
      <c r="L186" s="168"/>
      <c r="M186" s="170"/>
      <c r="N186" s="170"/>
      <c r="O186" s="170"/>
      <c r="P186" s="88" t="s">
        <v>444</v>
      </c>
    </row>
    <row r="187" spans="1:16" x14ac:dyDescent="0.25">
      <c r="A187" s="5">
        <v>185</v>
      </c>
      <c r="B187" s="60">
        <v>101817131</v>
      </c>
      <c r="C187" s="60" t="s">
        <v>817</v>
      </c>
      <c r="D187" s="60" t="str">
        <f t="shared" si="5"/>
        <v>101817131 /0041690872</v>
      </c>
      <c r="E187" s="88" t="s">
        <v>818</v>
      </c>
      <c r="F187" s="57" t="s">
        <v>381</v>
      </c>
      <c r="G187" s="72" t="s">
        <v>455</v>
      </c>
      <c r="H187" s="88"/>
      <c r="I187" s="88"/>
      <c r="J187" s="88"/>
      <c r="K187" s="170"/>
      <c r="L187" s="168"/>
      <c r="M187" s="170"/>
      <c r="N187" s="170"/>
      <c r="O187" s="170"/>
      <c r="P187" s="88" t="s">
        <v>444</v>
      </c>
    </row>
    <row r="188" spans="1:16" x14ac:dyDescent="0.25">
      <c r="A188" s="5">
        <v>186</v>
      </c>
      <c r="B188" s="60">
        <v>101817135</v>
      </c>
      <c r="C188" s="60" t="s">
        <v>819</v>
      </c>
      <c r="D188" s="60" t="str">
        <f t="shared" si="5"/>
        <v>101817135 /0031817743</v>
      </c>
      <c r="E188" s="88" t="s">
        <v>820</v>
      </c>
      <c r="F188" s="57" t="s">
        <v>381</v>
      </c>
      <c r="G188" s="72" t="s">
        <v>443</v>
      </c>
      <c r="H188" s="88"/>
      <c r="I188" s="88"/>
      <c r="J188" s="88"/>
      <c r="K188" s="170"/>
      <c r="L188" s="168"/>
      <c r="M188" s="170"/>
      <c r="N188" s="170"/>
      <c r="O188" s="170"/>
      <c r="P188" s="88" t="s">
        <v>444</v>
      </c>
    </row>
    <row r="189" spans="1:16" x14ac:dyDescent="0.25">
      <c r="A189" s="5">
        <v>187</v>
      </c>
      <c r="B189" s="60">
        <v>101817137</v>
      </c>
      <c r="C189" s="102" t="s">
        <v>821</v>
      </c>
      <c r="D189" s="60" t="str">
        <f t="shared" si="5"/>
        <v>101817137 /0024504726</v>
      </c>
      <c r="E189" s="103" t="s">
        <v>822</v>
      </c>
      <c r="F189" s="57" t="s">
        <v>381</v>
      </c>
      <c r="G189" s="72" t="s">
        <v>452</v>
      </c>
      <c r="H189" s="88"/>
      <c r="I189" s="88"/>
      <c r="J189" s="88"/>
      <c r="K189" s="170"/>
      <c r="L189" s="168"/>
      <c r="M189" s="170"/>
      <c r="N189" s="170"/>
      <c r="O189" s="170"/>
      <c r="P189" s="88" t="s">
        <v>444</v>
      </c>
    </row>
    <row r="190" spans="1:16" x14ac:dyDescent="0.25">
      <c r="A190" s="5">
        <v>188</v>
      </c>
      <c r="B190" s="60">
        <v>101817138</v>
      </c>
      <c r="C190" s="60" t="s">
        <v>823</v>
      </c>
      <c r="D190" s="60" t="str">
        <f t="shared" si="5"/>
        <v>101817138 /0035632494</v>
      </c>
      <c r="E190" s="88" t="s">
        <v>824</v>
      </c>
      <c r="F190" s="57" t="s">
        <v>381</v>
      </c>
      <c r="G190" s="72" t="s">
        <v>443</v>
      </c>
      <c r="H190" s="88"/>
      <c r="I190" s="88"/>
      <c r="J190" s="88"/>
      <c r="K190" s="170"/>
      <c r="L190" s="168"/>
      <c r="M190" s="170"/>
      <c r="N190" s="170"/>
      <c r="O190" s="170"/>
      <c r="P190" s="88" t="s">
        <v>444</v>
      </c>
    </row>
    <row r="191" spans="1:16" x14ac:dyDescent="0.25">
      <c r="A191" s="5">
        <v>189</v>
      </c>
      <c r="B191" s="60">
        <v>101817142</v>
      </c>
      <c r="C191" s="60" t="s">
        <v>825</v>
      </c>
      <c r="D191" s="60" t="str">
        <f>B191&amp;" /"&amp;C191</f>
        <v>101817142 /0020128041</v>
      </c>
      <c r="E191" s="88" t="s">
        <v>826</v>
      </c>
      <c r="F191" s="57" t="s">
        <v>381</v>
      </c>
      <c r="G191" s="72" t="s">
        <v>452</v>
      </c>
      <c r="H191" s="88"/>
      <c r="I191" s="88"/>
      <c r="J191" s="88"/>
      <c r="K191" s="170"/>
      <c r="L191" s="168"/>
      <c r="M191" s="170"/>
      <c r="N191" s="170"/>
      <c r="O191" s="170"/>
      <c r="P191" s="88" t="s">
        <v>444</v>
      </c>
    </row>
    <row r="192" spans="1:16" x14ac:dyDescent="0.25">
      <c r="A192" s="5">
        <v>190</v>
      </c>
      <c r="B192" s="60">
        <v>101817145</v>
      </c>
      <c r="C192" s="102" t="s">
        <v>827</v>
      </c>
      <c r="D192" s="60" t="str">
        <f>B192&amp;" /"&amp;C192</f>
        <v>101817145 /0033370533</v>
      </c>
      <c r="E192" s="103" t="s">
        <v>828</v>
      </c>
      <c r="F192" s="57" t="s">
        <v>379</v>
      </c>
      <c r="G192" s="72" t="s">
        <v>455</v>
      </c>
      <c r="H192" s="88"/>
      <c r="I192" s="88"/>
      <c r="J192" s="88"/>
      <c r="K192" s="170"/>
      <c r="L192" s="168"/>
      <c r="M192" s="170"/>
      <c r="N192" s="170"/>
      <c r="O192" s="170"/>
      <c r="P192" s="88" t="s">
        <v>444</v>
      </c>
    </row>
    <row r="193" spans="1:16" x14ac:dyDescent="0.25">
      <c r="A193" s="5">
        <v>191</v>
      </c>
      <c r="B193" s="60">
        <v>101817147</v>
      </c>
      <c r="C193" s="102" t="s">
        <v>829</v>
      </c>
      <c r="D193" s="60" t="str">
        <f>B193&amp;" /"&amp;C193</f>
        <v>101817147 /0034764567</v>
      </c>
      <c r="E193" s="103" t="s">
        <v>830</v>
      </c>
      <c r="F193" s="57" t="s">
        <v>381</v>
      </c>
      <c r="G193" s="72" t="s">
        <v>462</v>
      </c>
      <c r="H193" s="88"/>
      <c r="I193" s="88"/>
      <c r="J193" s="88"/>
      <c r="K193" s="170"/>
      <c r="L193" s="168"/>
      <c r="M193" s="170"/>
      <c r="N193" s="170"/>
      <c r="O193" s="170"/>
      <c r="P193" s="88" t="s">
        <v>444</v>
      </c>
    </row>
    <row r="194" spans="1:16" x14ac:dyDescent="0.25">
      <c r="A194" s="5">
        <v>192</v>
      </c>
      <c r="B194" s="60">
        <v>101817150</v>
      </c>
      <c r="C194" s="60" t="s">
        <v>831</v>
      </c>
      <c r="D194" s="60" t="str">
        <f>B194&amp;" /"&amp;C194</f>
        <v>101817150 /0034310852</v>
      </c>
      <c r="E194" s="88" t="s">
        <v>832</v>
      </c>
      <c r="F194" s="57" t="s">
        <v>381</v>
      </c>
      <c r="G194" s="72" t="s">
        <v>462</v>
      </c>
      <c r="H194" s="88"/>
      <c r="I194" s="88"/>
      <c r="J194" s="88"/>
      <c r="K194" s="170"/>
      <c r="L194" s="168"/>
      <c r="M194" s="170"/>
      <c r="N194" s="170"/>
      <c r="O194" s="170"/>
      <c r="P194" s="88" t="s">
        <v>444</v>
      </c>
    </row>
    <row r="195" spans="1:16" x14ac:dyDescent="0.25">
      <c r="A195" s="5">
        <v>193</v>
      </c>
      <c r="B195" s="60">
        <v>101817152</v>
      </c>
      <c r="C195" s="60" t="s">
        <v>833</v>
      </c>
      <c r="D195" s="60" t="str">
        <f>B195&amp;" /"&amp;C195</f>
        <v>101817152 /0027574578</v>
      </c>
      <c r="E195" s="88" t="s">
        <v>834</v>
      </c>
      <c r="F195" s="57" t="s">
        <v>379</v>
      </c>
      <c r="G195" s="72" t="s">
        <v>462</v>
      </c>
      <c r="H195" s="88"/>
      <c r="I195" s="88"/>
      <c r="J195" s="88"/>
      <c r="K195" s="170"/>
      <c r="L195" s="168"/>
      <c r="M195" s="170"/>
      <c r="N195" s="170"/>
      <c r="O195" s="170"/>
      <c r="P195" s="88" t="s">
        <v>444</v>
      </c>
    </row>
    <row r="196" spans="1:16" x14ac:dyDescent="0.25">
      <c r="A196" s="5"/>
      <c r="B196" s="60"/>
      <c r="C196" s="60"/>
      <c r="D196" s="60"/>
      <c r="E196" s="88"/>
      <c r="F196" s="57"/>
      <c r="G196" s="88"/>
      <c r="H196" s="88"/>
      <c r="I196" s="88"/>
      <c r="J196" s="88"/>
      <c r="K196" s="170"/>
      <c r="L196" s="168"/>
      <c r="M196" s="170"/>
      <c r="N196" s="170"/>
      <c r="O196" s="170"/>
      <c r="P196" s="88" t="s">
        <v>1602</v>
      </c>
    </row>
    <row r="197" spans="1:16" x14ac:dyDescent="0.25">
      <c r="A197" s="5">
        <v>1</v>
      </c>
      <c r="B197" s="60">
        <v>101917156</v>
      </c>
      <c r="C197" s="131" t="s">
        <v>835</v>
      </c>
      <c r="D197" s="61" t="str">
        <f t="shared" ref="D197:D228" si="6">B197&amp;"/"&amp;C197</f>
        <v>101917156/0042730521</v>
      </c>
      <c r="E197" s="69" t="s">
        <v>836</v>
      </c>
      <c r="F197" s="57" t="s">
        <v>379</v>
      </c>
      <c r="G197" s="88"/>
      <c r="H197" s="72" t="s">
        <v>837</v>
      </c>
      <c r="I197" s="88"/>
      <c r="J197" s="88"/>
      <c r="K197" s="170"/>
      <c r="L197" s="168"/>
      <c r="M197" s="170"/>
      <c r="N197" s="170"/>
      <c r="O197" s="170"/>
      <c r="P197" s="88" t="s">
        <v>1602</v>
      </c>
    </row>
    <row r="198" spans="1:16" x14ac:dyDescent="0.25">
      <c r="A198" s="5">
        <v>2</v>
      </c>
      <c r="B198" s="60">
        <v>101917192</v>
      </c>
      <c r="C198" s="131" t="s">
        <v>838</v>
      </c>
      <c r="D198" s="61" t="str">
        <f t="shared" si="6"/>
        <v>101917192/0047451133</v>
      </c>
      <c r="E198" s="69" t="s">
        <v>839</v>
      </c>
      <c r="F198" s="57" t="s">
        <v>379</v>
      </c>
      <c r="G198" s="88"/>
      <c r="H198" s="72" t="s">
        <v>840</v>
      </c>
      <c r="I198" s="88"/>
      <c r="J198" s="88"/>
      <c r="K198" s="170"/>
      <c r="L198" s="168"/>
      <c r="M198" s="170"/>
      <c r="N198" s="170"/>
      <c r="O198" s="170"/>
      <c r="P198" s="88" t="s">
        <v>1602</v>
      </c>
    </row>
    <row r="199" spans="1:16" x14ac:dyDescent="0.25">
      <c r="A199" s="5">
        <v>3</v>
      </c>
      <c r="B199" s="60">
        <v>101917444</v>
      </c>
      <c r="C199" s="65" t="s">
        <v>841</v>
      </c>
      <c r="D199" s="61" t="str">
        <f t="shared" si="6"/>
        <v>101917444/0035004289</v>
      </c>
      <c r="E199" s="105" t="s">
        <v>842</v>
      </c>
      <c r="F199" s="57" t="s">
        <v>379</v>
      </c>
      <c r="G199" s="88"/>
      <c r="H199" s="72" t="s">
        <v>843</v>
      </c>
      <c r="I199" s="88"/>
      <c r="J199" s="88"/>
      <c r="K199" s="170"/>
      <c r="L199" s="168"/>
      <c r="M199" s="170"/>
      <c r="N199" s="170"/>
      <c r="O199" s="170"/>
      <c r="P199" s="88" t="s">
        <v>444</v>
      </c>
    </row>
    <row r="200" spans="1:16" x14ac:dyDescent="0.25">
      <c r="A200" s="5">
        <v>4</v>
      </c>
      <c r="B200" s="60">
        <v>101917480</v>
      </c>
      <c r="C200" s="65" t="s">
        <v>844</v>
      </c>
      <c r="D200" s="61" t="str">
        <f t="shared" si="6"/>
        <v>101917480/0033447291</v>
      </c>
      <c r="E200" s="94" t="s">
        <v>845</v>
      </c>
      <c r="F200" s="57" t="s">
        <v>379</v>
      </c>
      <c r="G200" s="88"/>
      <c r="H200" s="72" t="s">
        <v>846</v>
      </c>
      <c r="I200" s="88"/>
      <c r="J200" s="88"/>
      <c r="K200" s="170"/>
      <c r="L200" s="168"/>
      <c r="M200" s="170"/>
      <c r="N200" s="170"/>
      <c r="O200" s="170"/>
      <c r="P200" s="88" t="s">
        <v>444</v>
      </c>
    </row>
    <row r="201" spans="1:16" x14ac:dyDescent="0.25">
      <c r="A201" s="5">
        <v>5</v>
      </c>
      <c r="B201" s="60">
        <v>101917481</v>
      </c>
      <c r="C201" s="65" t="s">
        <v>847</v>
      </c>
      <c r="D201" s="61" t="str">
        <f t="shared" si="6"/>
        <v>101917481/0046314331</v>
      </c>
      <c r="E201" s="94" t="s">
        <v>848</v>
      </c>
      <c r="F201" s="57" t="s">
        <v>379</v>
      </c>
      <c r="G201" s="88"/>
      <c r="H201" s="72" t="s">
        <v>846</v>
      </c>
      <c r="I201" s="88"/>
      <c r="J201" s="88"/>
      <c r="K201" s="170"/>
      <c r="L201" s="168"/>
      <c r="M201" s="170"/>
      <c r="N201" s="170"/>
      <c r="O201" s="170"/>
      <c r="P201" s="88" t="s">
        <v>444</v>
      </c>
    </row>
    <row r="202" spans="1:16" x14ac:dyDescent="0.25">
      <c r="A202" s="5">
        <v>6</v>
      </c>
      <c r="B202" s="60">
        <v>101917264</v>
      </c>
      <c r="C202" s="131" t="s">
        <v>849</v>
      </c>
      <c r="D202" s="61" t="str">
        <f t="shared" si="6"/>
        <v>101917264/0042633534</v>
      </c>
      <c r="E202" s="69" t="s">
        <v>850</v>
      </c>
      <c r="F202" s="57" t="s">
        <v>379</v>
      </c>
      <c r="G202" s="88"/>
      <c r="H202" s="72" t="s">
        <v>851</v>
      </c>
      <c r="I202" s="88"/>
      <c r="J202" s="88"/>
      <c r="K202" s="170"/>
      <c r="L202" s="168"/>
      <c r="M202" s="170"/>
      <c r="N202" s="170"/>
      <c r="O202" s="170"/>
      <c r="P202" s="88" t="s">
        <v>1602</v>
      </c>
    </row>
    <row r="203" spans="1:16" x14ac:dyDescent="0.25">
      <c r="A203" s="5">
        <v>7</v>
      </c>
      <c r="B203" s="60">
        <v>101917408</v>
      </c>
      <c r="C203" s="71" t="s">
        <v>852</v>
      </c>
      <c r="D203" s="61" t="str">
        <f t="shared" si="6"/>
        <v>101917408/0043678101</v>
      </c>
      <c r="E203" s="106" t="s">
        <v>853</v>
      </c>
      <c r="F203" s="57" t="s">
        <v>379</v>
      </c>
      <c r="G203" s="88"/>
      <c r="H203" s="72" t="s">
        <v>854</v>
      </c>
      <c r="I203" s="88"/>
      <c r="J203" s="88"/>
      <c r="K203" s="170"/>
      <c r="L203" s="168"/>
      <c r="M203" s="170"/>
      <c r="N203" s="170"/>
      <c r="O203" s="170"/>
      <c r="P203" s="88" t="s">
        <v>444</v>
      </c>
    </row>
    <row r="204" spans="1:16" x14ac:dyDescent="0.25">
      <c r="A204" s="5">
        <v>8</v>
      </c>
      <c r="B204" s="60">
        <v>101917482</v>
      </c>
      <c r="C204" s="65" t="s">
        <v>855</v>
      </c>
      <c r="D204" s="61" t="str">
        <f t="shared" si="6"/>
        <v>101917482/0045109808</v>
      </c>
      <c r="E204" s="94" t="s">
        <v>856</v>
      </c>
      <c r="F204" s="57" t="s">
        <v>379</v>
      </c>
      <c r="G204" s="88"/>
      <c r="H204" s="72" t="s">
        <v>846</v>
      </c>
      <c r="I204" s="88"/>
      <c r="J204" s="88"/>
      <c r="K204" s="170"/>
      <c r="L204" s="168"/>
      <c r="M204" s="170"/>
      <c r="N204" s="170"/>
      <c r="O204" s="170"/>
      <c r="P204" s="88" t="s">
        <v>444</v>
      </c>
    </row>
    <row r="205" spans="1:16" x14ac:dyDescent="0.25">
      <c r="A205" s="5">
        <v>9</v>
      </c>
      <c r="B205" s="60">
        <v>101917483</v>
      </c>
      <c r="C205" s="65" t="s">
        <v>857</v>
      </c>
      <c r="D205" s="61" t="str">
        <f t="shared" si="6"/>
        <v>101917483/0012606642</v>
      </c>
      <c r="E205" s="94" t="s">
        <v>858</v>
      </c>
      <c r="F205" s="57" t="s">
        <v>379</v>
      </c>
      <c r="G205" s="88"/>
      <c r="H205" s="72" t="s">
        <v>846</v>
      </c>
      <c r="I205" s="88"/>
      <c r="J205" s="88"/>
      <c r="K205" s="170"/>
      <c r="L205" s="168"/>
      <c r="M205" s="170"/>
      <c r="N205" s="170"/>
      <c r="O205" s="170"/>
      <c r="P205" s="88" t="s">
        <v>444</v>
      </c>
    </row>
    <row r="206" spans="1:16" x14ac:dyDescent="0.25">
      <c r="A206" s="5">
        <v>10</v>
      </c>
      <c r="B206" s="60">
        <v>101917409</v>
      </c>
      <c r="C206" s="71" t="s">
        <v>859</v>
      </c>
      <c r="D206" s="61" t="str">
        <f t="shared" si="6"/>
        <v>101917409/0042337357</v>
      </c>
      <c r="E206" s="106" t="s">
        <v>860</v>
      </c>
      <c r="F206" s="57" t="s">
        <v>379</v>
      </c>
      <c r="G206" s="88"/>
      <c r="H206" s="72" t="s">
        <v>854</v>
      </c>
      <c r="I206" s="88"/>
      <c r="J206" s="88"/>
      <c r="K206" s="170"/>
      <c r="L206" s="168"/>
      <c r="M206" s="170"/>
      <c r="N206" s="170"/>
      <c r="O206" s="170"/>
      <c r="P206" s="88" t="s">
        <v>444</v>
      </c>
    </row>
    <row r="207" spans="1:16" x14ac:dyDescent="0.25">
      <c r="A207" s="5">
        <v>11</v>
      </c>
      <c r="B207" s="60">
        <v>101917514</v>
      </c>
      <c r="C207" s="71" t="s">
        <v>861</v>
      </c>
      <c r="D207" s="61" t="str">
        <f t="shared" si="6"/>
        <v>101917514/0046959944</v>
      </c>
      <c r="E207" s="107" t="s">
        <v>862</v>
      </c>
      <c r="F207" s="57" t="s">
        <v>379</v>
      </c>
      <c r="G207" s="88"/>
      <c r="H207" s="72" t="s">
        <v>863</v>
      </c>
      <c r="I207" s="88"/>
      <c r="J207" s="88"/>
      <c r="K207" s="170"/>
      <c r="L207" s="168"/>
      <c r="M207" s="170"/>
      <c r="N207" s="170"/>
      <c r="O207" s="170"/>
      <c r="P207" s="88" t="s">
        <v>444</v>
      </c>
    </row>
    <row r="208" spans="1:16" x14ac:dyDescent="0.25">
      <c r="A208" s="5">
        <v>12</v>
      </c>
      <c r="B208" s="60">
        <v>101917410</v>
      </c>
      <c r="C208" s="71" t="s">
        <v>864</v>
      </c>
      <c r="D208" s="61" t="str">
        <f t="shared" si="6"/>
        <v>101917410/0037467087</v>
      </c>
      <c r="E208" s="106" t="s">
        <v>865</v>
      </c>
      <c r="F208" s="57" t="s">
        <v>379</v>
      </c>
      <c r="G208" s="88"/>
      <c r="H208" s="72" t="s">
        <v>854</v>
      </c>
      <c r="I208" s="88"/>
      <c r="J208" s="88"/>
      <c r="K208" s="170"/>
      <c r="L208" s="168"/>
      <c r="M208" s="170"/>
      <c r="N208" s="170"/>
      <c r="O208" s="170"/>
      <c r="P208" s="88" t="s">
        <v>444</v>
      </c>
    </row>
    <row r="209" spans="1:16" x14ac:dyDescent="0.25">
      <c r="A209" s="5">
        <v>13</v>
      </c>
      <c r="B209" s="60">
        <v>101917265</v>
      </c>
      <c r="C209" s="131" t="s">
        <v>866</v>
      </c>
      <c r="D209" s="61" t="str">
        <f t="shared" si="6"/>
        <v>101917265/0037593004</v>
      </c>
      <c r="E209" s="69" t="s">
        <v>867</v>
      </c>
      <c r="F209" s="57" t="s">
        <v>379</v>
      </c>
      <c r="G209" s="88"/>
      <c r="H209" s="72" t="s">
        <v>851</v>
      </c>
      <c r="I209" s="88"/>
      <c r="J209" s="88"/>
      <c r="K209" s="170"/>
      <c r="L209" s="168"/>
      <c r="M209" s="170"/>
      <c r="N209" s="170"/>
      <c r="O209" s="170"/>
      <c r="P209" s="88" t="s">
        <v>1602</v>
      </c>
    </row>
    <row r="210" spans="1:16" x14ac:dyDescent="0.25">
      <c r="A210" s="5">
        <v>14</v>
      </c>
      <c r="B210" s="60">
        <v>101917336</v>
      </c>
      <c r="C210" s="131" t="s">
        <v>868</v>
      </c>
      <c r="D210" s="61" t="str">
        <f t="shared" si="6"/>
        <v>101917336/0038014645</v>
      </c>
      <c r="E210" s="69" t="s">
        <v>869</v>
      </c>
      <c r="F210" s="57" t="s">
        <v>381</v>
      </c>
      <c r="G210" s="88"/>
      <c r="H210" s="72" t="s">
        <v>870</v>
      </c>
      <c r="I210" s="88"/>
      <c r="J210" s="88"/>
      <c r="K210" s="170"/>
      <c r="L210" s="168"/>
      <c r="M210" s="170"/>
      <c r="N210" s="170"/>
      <c r="O210" s="170"/>
      <c r="P210" s="88" t="s">
        <v>1602</v>
      </c>
    </row>
    <row r="211" spans="1:16" x14ac:dyDescent="0.25">
      <c r="A211" s="5">
        <v>15</v>
      </c>
      <c r="B211" s="60">
        <v>101917515</v>
      </c>
      <c r="C211" s="71" t="s">
        <v>871</v>
      </c>
      <c r="D211" s="61" t="str">
        <f t="shared" si="6"/>
        <v>101917515/0043272593</v>
      </c>
      <c r="E211" s="107" t="s">
        <v>872</v>
      </c>
      <c r="F211" s="57" t="s">
        <v>379</v>
      </c>
      <c r="G211" s="88"/>
      <c r="H211" s="72" t="s">
        <v>863</v>
      </c>
      <c r="I211" s="88"/>
      <c r="J211" s="88"/>
      <c r="K211" s="170"/>
      <c r="L211" s="168"/>
      <c r="M211" s="170"/>
      <c r="N211" s="170"/>
      <c r="O211" s="170"/>
      <c r="P211" s="88" t="s">
        <v>444</v>
      </c>
    </row>
    <row r="212" spans="1:16" x14ac:dyDescent="0.25">
      <c r="A212" s="5">
        <v>16</v>
      </c>
      <c r="B212" s="60">
        <v>101917228</v>
      </c>
      <c r="C212" s="131" t="s">
        <v>873</v>
      </c>
      <c r="D212" s="61" t="str">
        <f t="shared" si="6"/>
        <v>101917228/0049994336</v>
      </c>
      <c r="E212" s="69" t="s">
        <v>874</v>
      </c>
      <c r="F212" s="57" t="s">
        <v>379</v>
      </c>
      <c r="G212" s="88"/>
      <c r="H212" s="72" t="s">
        <v>875</v>
      </c>
      <c r="I212" s="88"/>
      <c r="J212" s="88"/>
      <c r="K212" s="170"/>
      <c r="L212" s="168"/>
      <c r="M212" s="170"/>
      <c r="N212" s="170"/>
      <c r="O212" s="170"/>
      <c r="P212" s="88" t="s">
        <v>1602</v>
      </c>
    </row>
    <row r="213" spans="1:16" x14ac:dyDescent="0.25">
      <c r="A213" s="5">
        <v>17</v>
      </c>
      <c r="B213" s="60">
        <v>101917372</v>
      </c>
      <c r="C213" s="108" t="s">
        <v>876</v>
      </c>
      <c r="D213" s="61" t="str">
        <f t="shared" si="6"/>
        <v>101917372/0040513293</v>
      </c>
      <c r="E213" s="107" t="s">
        <v>877</v>
      </c>
      <c r="F213" s="74" t="s">
        <v>379</v>
      </c>
      <c r="G213" s="88"/>
      <c r="H213" s="72" t="s">
        <v>878</v>
      </c>
      <c r="I213" s="88"/>
      <c r="J213" s="88"/>
      <c r="K213" s="170"/>
      <c r="L213" s="168"/>
      <c r="M213" s="170"/>
      <c r="N213" s="170"/>
      <c r="O213" s="170"/>
      <c r="P213" s="88" t="s">
        <v>444</v>
      </c>
    </row>
    <row r="214" spans="1:16" x14ac:dyDescent="0.25">
      <c r="A214" s="5">
        <v>18</v>
      </c>
      <c r="B214" s="60">
        <v>101917337</v>
      </c>
      <c r="C214" s="131" t="s">
        <v>879</v>
      </c>
      <c r="D214" s="61" t="str">
        <f t="shared" si="6"/>
        <v>101917337/0042510242</v>
      </c>
      <c r="E214" s="69" t="s">
        <v>880</v>
      </c>
      <c r="F214" s="57" t="s">
        <v>379</v>
      </c>
      <c r="G214" s="88"/>
      <c r="H214" s="72" t="s">
        <v>870</v>
      </c>
      <c r="I214" s="88"/>
      <c r="J214" s="88"/>
      <c r="K214" s="170"/>
      <c r="L214" s="168"/>
      <c r="M214" s="170"/>
      <c r="N214" s="170"/>
      <c r="O214" s="170"/>
      <c r="P214" s="88" t="s">
        <v>1602</v>
      </c>
    </row>
    <row r="215" spans="1:16" x14ac:dyDescent="0.25">
      <c r="A215" s="5">
        <v>19</v>
      </c>
      <c r="B215" s="60">
        <v>101917516</v>
      </c>
      <c r="C215" s="71" t="s">
        <v>881</v>
      </c>
      <c r="D215" s="61" t="str">
        <f t="shared" si="6"/>
        <v>101917516/0034163875</v>
      </c>
      <c r="E215" s="107" t="s">
        <v>882</v>
      </c>
      <c r="F215" s="57" t="s">
        <v>379</v>
      </c>
      <c r="G215" s="88"/>
      <c r="H215" s="72" t="s">
        <v>863</v>
      </c>
      <c r="I215" s="88"/>
      <c r="J215" s="88"/>
      <c r="K215" s="170"/>
      <c r="L215" s="168"/>
      <c r="M215" s="170"/>
      <c r="N215" s="170"/>
      <c r="O215" s="170"/>
      <c r="P215" s="88" t="s">
        <v>444</v>
      </c>
    </row>
    <row r="216" spans="1:16" x14ac:dyDescent="0.25">
      <c r="A216" s="5">
        <v>20</v>
      </c>
      <c r="B216" s="60">
        <v>101917484</v>
      </c>
      <c r="C216" s="65" t="s">
        <v>883</v>
      </c>
      <c r="D216" s="61" t="str">
        <f t="shared" si="6"/>
        <v>101917484/0041392131</v>
      </c>
      <c r="E216" s="94" t="s">
        <v>884</v>
      </c>
      <c r="F216" s="57" t="s">
        <v>379</v>
      </c>
      <c r="G216" s="88"/>
      <c r="H216" s="72" t="s">
        <v>846</v>
      </c>
      <c r="I216" s="88"/>
      <c r="J216" s="88"/>
      <c r="K216" s="170"/>
      <c r="L216" s="168"/>
      <c r="M216" s="170"/>
      <c r="N216" s="170"/>
      <c r="O216" s="170"/>
      <c r="P216" s="88" t="s">
        <v>444</v>
      </c>
    </row>
    <row r="217" spans="1:16" x14ac:dyDescent="0.25">
      <c r="A217" s="5">
        <v>21</v>
      </c>
      <c r="B217" s="60">
        <v>101917300</v>
      </c>
      <c r="C217" s="131" t="s">
        <v>885</v>
      </c>
      <c r="D217" s="61" t="str">
        <f t="shared" si="6"/>
        <v>101917300/0043272807</v>
      </c>
      <c r="E217" s="69" t="s">
        <v>886</v>
      </c>
      <c r="F217" s="57" t="s">
        <v>381</v>
      </c>
      <c r="G217" s="88"/>
      <c r="H217" s="72" t="s">
        <v>887</v>
      </c>
      <c r="I217" s="88"/>
      <c r="J217" s="88"/>
      <c r="K217" s="170"/>
      <c r="L217" s="168"/>
      <c r="M217" s="170"/>
      <c r="N217" s="170"/>
      <c r="O217" s="170"/>
      <c r="P217" s="88" t="s">
        <v>1602</v>
      </c>
    </row>
    <row r="218" spans="1:16" x14ac:dyDescent="0.25">
      <c r="A218" s="5">
        <v>22</v>
      </c>
      <c r="B218" s="60">
        <v>101917411</v>
      </c>
      <c r="C218" s="71" t="s">
        <v>888</v>
      </c>
      <c r="D218" s="61" t="str">
        <f t="shared" si="6"/>
        <v>101917411/0042196868</v>
      </c>
      <c r="E218" s="106" t="s">
        <v>889</v>
      </c>
      <c r="F218" s="57" t="s">
        <v>381</v>
      </c>
      <c r="G218" s="88"/>
      <c r="H218" s="72" t="s">
        <v>854</v>
      </c>
      <c r="I218" s="88"/>
      <c r="J218" s="88"/>
      <c r="K218" s="170"/>
      <c r="L218" s="168"/>
      <c r="M218" s="170"/>
      <c r="N218" s="170"/>
      <c r="O218" s="170"/>
      <c r="P218" s="88" t="s">
        <v>444</v>
      </c>
    </row>
    <row r="219" spans="1:16" x14ac:dyDescent="0.25">
      <c r="A219" s="5">
        <v>23</v>
      </c>
      <c r="B219" s="60">
        <v>101917266</v>
      </c>
      <c r="C219" s="131" t="s">
        <v>890</v>
      </c>
      <c r="D219" s="61" t="str">
        <f t="shared" si="6"/>
        <v>101917266/0037194462</v>
      </c>
      <c r="E219" s="69" t="s">
        <v>891</v>
      </c>
      <c r="F219" s="57" t="s">
        <v>379</v>
      </c>
      <c r="G219" s="88"/>
      <c r="H219" s="72" t="s">
        <v>851</v>
      </c>
      <c r="I219" s="88"/>
      <c r="J219" s="88"/>
      <c r="K219" s="170"/>
      <c r="L219" s="168"/>
      <c r="M219" s="170"/>
      <c r="N219" s="170"/>
      <c r="O219" s="170"/>
      <c r="P219" s="88" t="s">
        <v>1602</v>
      </c>
    </row>
    <row r="220" spans="1:16" x14ac:dyDescent="0.25">
      <c r="A220" s="5">
        <v>24</v>
      </c>
      <c r="B220" s="60">
        <v>101917338</v>
      </c>
      <c r="C220" s="131" t="s">
        <v>892</v>
      </c>
      <c r="D220" s="61" t="str">
        <f t="shared" si="6"/>
        <v>101917338/0036156885</v>
      </c>
      <c r="E220" s="69" t="s">
        <v>893</v>
      </c>
      <c r="F220" s="57" t="s">
        <v>379</v>
      </c>
      <c r="G220" s="88"/>
      <c r="H220" s="72" t="s">
        <v>870</v>
      </c>
      <c r="I220" s="88"/>
      <c r="J220" s="88"/>
      <c r="K220" s="170"/>
      <c r="L220" s="168"/>
      <c r="M220" s="170"/>
      <c r="N220" s="170"/>
      <c r="O220" s="170"/>
      <c r="P220" s="88" t="s">
        <v>1602</v>
      </c>
    </row>
    <row r="221" spans="1:16" x14ac:dyDescent="0.25">
      <c r="A221" s="5">
        <v>25</v>
      </c>
      <c r="B221" s="60">
        <v>101917229</v>
      </c>
      <c r="C221" s="131" t="s">
        <v>894</v>
      </c>
      <c r="D221" s="61" t="str">
        <f t="shared" si="6"/>
        <v>101917229/0040410998</v>
      </c>
      <c r="E221" s="69" t="s">
        <v>895</v>
      </c>
      <c r="F221" s="57" t="s">
        <v>379</v>
      </c>
      <c r="G221" s="88"/>
      <c r="H221" s="72" t="s">
        <v>875</v>
      </c>
      <c r="I221" s="88"/>
      <c r="J221" s="88"/>
      <c r="K221" s="170"/>
      <c r="L221" s="168"/>
      <c r="M221" s="170"/>
      <c r="N221" s="170"/>
      <c r="O221" s="170"/>
      <c r="P221" s="88" t="s">
        <v>1602</v>
      </c>
    </row>
    <row r="222" spans="1:16" x14ac:dyDescent="0.25">
      <c r="A222" s="5">
        <v>26</v>
      </c>
      <c r="B222" s="60">
        <v>101917412</v>
      </c>
      <c r="C222" s="71" t="s">
        <v>896</v>
      </c>
      <c r="D222" s="61" t="str">
        <f t="shared" si="6"/>
        <v>101917412/0036701959</v>
      </c>
      <c r="E222" s="106" t="s">
        <v>897</v>
      </c>
      <c r="F222" s="57" t="s">
        <v>379</v>
      </c>
      <c r="G222" s="88"/>
      <c r="H222" s="72" t="s">
        <v>854</v>
      </c>
      <c r="I222" s="88"/>
      <c r="J222" s="88"/>
      <c r="K222" s="170"/>
      <c r="L222" s="168"/>
      <c r="M222" s="170"/>
      <c r="N222" s="170"/>
      <c r="O222" s="170"/>
      <c r="P222" s="88" t="s">
        <v>444</v>
      </c>
    </row>
    <row r="223" spans="1:16" x14ac:dyDescent="0.25">
      <c r="A223" s="5">
        <v>27</v>
      </c>
      <c r="B223" s="60">
        <v>101917193</v>
      </c>
      <c r="C223" s="131" t="s">
        <v>898</v>
      </c>
      <c r="D223" s="61" t="str">
        <f t="shared" si="6"/>
        <v>101917193/0043843061</v>
      </c>
      <c r="E223" s="69" t="s">
        <v>899</v>
      </c>
      <c r="F223" s="57" t="s">
        <v>381</v>
      </c>
      <c r="G223" s="88"/>
      <c r="H223" s="72" t="s">
        <v>840</v>
      </c>
      <c r="I223" s="88"/>
      <c r="J223" s="88"/>
      <c r="K223" s="170"/>
      <c r="L223" s="168"/>
      <c r="M223" s="170"/>
      <c r="N223" s="170"/>
      <c r="O223" s="170"/>
      <c r="P223" s="88" t="s">
        <v>1602</v>
      </c>
    </row>
    <row r="224" spans="1:16" x14ac:dyDescent="0.25">
      <c r="A224" s="5">
        <v>28</v>
      </c>
      <c r="B224" s="60">
        <v>101917517</v>
      </c>
      <c r="C224" s="71" t="s">
        <v>900</v>
      </c>
      <c r="D224" s="61" t="str">
        <f t="shared" si="6"/>
        <v>101917517/0043578292</v>
      </c>
      <c r="E224" s="107" t="s">
        <v>901</v>
      </c>
      <c r="F224" s="57" t="s">
        <v>381</v>
      </c>
      <c r="G224" s="88"/>
      <c r="H224" s="72" t="s">
        <v>863</v>
      </c>
      <c r="I224" s="88"/>
      <c r="J224" s="88"/>
      <c r="K224" s="170"/>
      <c r="L224" s="168"/>
      <c r="M224" s="170"/>
      <c r="N224" s="170"/>
      <c r="O224" s="170"/>
      <c r="P224" s="88" t="s">
        <v>444</v>
      </c>
    </row>
    <row r="225" spans="1:16" x14ac:dyDescent="0.25">
      <c r="A225" s="5">
        <v>29</v>
      </c>
      <c r="B225" s="60">
        <v>101917518</v>
      </c>
      <c r="C225" s="71" t="s">
        <v>902</v>
      </c>
      <c r="D225" s="61" t="str">
        <f t="shared" si="6"/>
        <v>101917518/0034529753</v>
      </c>
      <c r="E225" s="107" t="s">
        <v>903</v>
      </c>
      <c r="F225" s="57" t="s">
        <v>381</v>
      </c>
      <c r="G225" s="88"/>
      <c r="H225" s="72" t="s">
        <v>863</v>
      </c>
      <c r="I225" s="88"/>
      <c r="J225" s="88"/>
      <c r="K225" s="170"/>
      <c r="L225" s="168"/>
      <c r="M225" s="170"/>
      <c r="N225" s="170"/>
      <c r="O225" s="170"/>
      <c r="P225" s="88" t="s">
        <v>444</v>
      </c>
    </row>
    <row r="226" spans="1:16" x14ac:dyDescent="0.25">
      <c r="A226" s="5">
        <v>30</v>
      </c>
      <c r="B226" s="60">
        <v>101917230</v>
      </c>
      <c r="C226" s="131" t="s">
        <v>904</v>
      </c>
      <c r="D226" s="61" t="str">
        <f t="shared" si="6"/>
        <v>101917230/0038098993</v>
      </c>
      <c r="E226" s="69" t="s">
        <v>905</v>
      </c>
      <c r="F226" s="57" t="s">
        <v>381</v>
      </c>
      <c r="G226" s="88"/>
      <c r="H226" s="72" t="s">
        <v>875</v>
      </c>
      <c r="I226" s="88"/>
      <c r="J226" s="88"/>
      <c r="K226" s="170"/>
      <c r="L226" s="168"/>
      <c r="M226" s="170"/>
      <c r="N226" s="170"/>
      <c r="O226" s="170"/>
      <c r="P226" s="88" t="s">
        <v>1602</v>
      </c>
    </row>
    <row r="227" spans="1:16" x14ac:dyDescent="0.25">
      <c r="A227" s="5">
        <v>31</v>
      </c>
      <c r="B227" s="60">
        <v>101917231</v>
      </c>
      <c r="C227" s="131" t="s">
        <v>906</v>
      </c>
      <c r="D227" s="61" t="str">
        <f t="shared" si="6"/>
        <v>101917231/0040477430</v>
      </c>
      <c r="E227" s="69" t="s">
        <v>907</v>
      </c>
      <c r="F227" s="57" t="s">
        <v>381</v>
      </c>
      <c r="G227" s="88"/>
      <c r="H227" s="72" t="s">
        <v>875</v>
      </c>
      <c r="I227" s="88"/>
      <c r="J227" s="88"/>
      <c r="K227" s="170"/>
      <c r="L227" s="168"/>
      <c r="M227" s="170"/>
      <c r="N227" s="170"/>
      <c r="O227" s="170"/>
      <c r="P227" s="88" t="s">
        <v>1602</v>
      </c>
    </row>
    <row r="228" spans="1:16" x14ac:dyDescent="0.25">
      <c r="A228" s="5">
        <v>32</v>
      </c>
      <c r="B228" s="60">
        <v>101917157</v>
      </c>
      <c r="C228" s="131" t="s">
        <v>908</v>
      </c>
      <c r="D228" s="61" t="str">
        <f t="shared" si="6"/>
        <v>101917157/0043176623</v>
      </c>
      <c r="E228" s="69" t="s">
        <v>909</v>
      </c>
      <c r="F228" s="57" t="s">
        <v>381</v>
      </c>
      <c r="G228" s="88"/>
      <c r="H228" s="72" t="s">
        <v>837</v>
      </c>
      <c r="I228" s="88"/>
      <c r="J228" s="88"/>
      <c r="K228" s="170"/>
      <c r="L228" s="168"/>
      <c r="M228" s="170"/>
      <c r="N228" s="170"/>
      <c r="O228" s="170"/>
      <c r="P228" s="88" t="s">
        <v>1602</v>
      </c>
    </row>
    <row r="229" spans="1:16" x14ac:dyDescent="0.25">
      <c r="A229" s="5">
        <v>33</v>
      </c>
      <c r="B229" s="60">
        <v>101917339</v>
      </c>
      <c r="C229" s="131" t="s">
        <v>910</v>
      </c>
      <c r="D229" s="61" t="str">
        <f t="shared" ref="D229:D260" si="7">B229&amp;"/"&amp;C229</f>
        <v>101917339/0037650036</v>
      </c>
      <c r="E229" s="69" t="s">
        <v>911</v>
      </c>
      <c r="F229" s="57" t="s">
        <v>381</v>
      </c>
      <c r="G229" s="88"/>
      <c r="H229" s="72" t="s">
        <v>870</v>
      </c>
      <c r="I229" s="88"/>
      <c r="J229" s="88"/>
      <c r="K229" s="170"/>
      <c r="L229" s="168"/>
      <c r="M229" s="170"/>
      <c r="N229" s="170"/>
      <c r="O229" s="170"/>
      <c r="P229" s="88" t="s">
        <v>1602</v>
      </c>
    </row>
    <row r="230" spans="1:16" x14ac:dyDescent="0.25">
      <c r="A230" s="5">
        <v>34</v>
      </c>
      <c r="B230" s="60">
        <v>101917413</v>
      </c>
      <c r="C230" s="71" t="s">
        <v>912</v>
      </c>
      <c r="D230" s="61" t="str">
        <f t="shared" si="7"/>
        <v>101917413/0043512563</v>
      </c>
      <c r="E230" s="106" t="s">
        <v>913</v>
      </c>
      <c r="F230" s="57" t="s">
        <v>379</v>
      </c>
      <c r="G230" s="88"/>
      <c r="H230" s="72" t="s">
        <v>854</v>
      </c>
      <c r="I230" s="88"/>
      <c r="J230" s="88"/>
      <c r="K230" s="170"/>
      <c r="L230" s="168"/>
      <c r="M230" s="170"/>
      <c r="N230" s="170"/>
      <c r="O230" s="170"/>
      <c r="P230" s="88" t="s">
        <v>444</v>
      </c>
    </row>
    <row r="231" spans="1:16" x14ac:dyDescent="0.25">
      <c r="A231" s="5">
        <v>35</v>
      </c>
      <c r="B231" s="60">
        <v>101917373</v>
      </c>
      <c r="C231" s="108" t="s">
        <v>914</v>
      </c>
      <c r="D231" s="61" t="str">
        <f t="shared" si="7"/>
        <v>101917373/0049117756</v>
      </c>
      <c r="E231" s="107" t="s">
        <v>915</v>
      </c>
      <c r="F231" s="74" t="s">
        <v>379</v>
      </c>
      <c r="G231" s="88"/>
      <c r="H231" s="72" t="s">
        <v>878</v>
      </c>
      <c r="I231" s="88"/>
      <c r="J231" s="88"/>
      <c r="K231" s="170"/>
      <c r="L231" s="168"/>
      <c r="M231" s="170"/>
      <c r="N231" s="170"/>
      <c r="O231" s="170"/>
      <c r="P231" s="88" t="s">
        <v>444</v>
      </c>
    </row>
    <row r="232" spans="1:16" x14ac:dyDescent="0.25">
      <c r="A232" s="5">
        <v>36</v>
      </c>
      <c r="B232" s="60">
        <v>101917485</v>
      </c>
      <c r="C232" s="65" t="s">
        <v>916</v>
      </c>
      <c r="D232" s="61" t="str">
        <f t="shared" si="7"/>
        <v>101917485/0036834488</v>
      </c>
      <c r="E232" s="94" t="s">
        <v>917</v>
      </c>
      <c r="F232" s="57" t="s">
        <v>379</v>
      </c>
      <c r="G232" s="88"/>
      <c r="H232" s="72" t="s">
        <v>846</v>
      </c>
      <c r="I232" s="88"/>
      <c r="J232" s="88"/>
      <c r="K232" s="170"/>
      <c r="L232" s="168"/>
      <c r="M232" s="170"/>
      <c r="N232" s="170"/>
      <c r="O232" s="170"/>
      <c r="P232" s="88" t="s">
        <v>444</v>
      </c>
    </row>
    <row r="233" spans="1:16" x14ac:dyDescent="0.25">
      <c r="A233" s="5">
        <v>37</v>
      </c>
      <c r="B233" s="60">
        <v>101917445</v>
      </c>
      <c r="C233" s="65" t="s">
        <v>918</v>
      </c>
      <c r="D233" s="61" t="str">
        <f t="shared" si="7"/>
        <v>101917445/0035670177</v>
      </c>
      <c r="E233" s="105" t="s">
        <v>919</v>
      </c>
      <c r="F233" s="57" t="s">
        <v>379</v>
      </c>
      <c r="G233" s="88"/>
      <c r="H233" s="72" t="s">
        <v>843</v>
      </c>
      <c r="I233" s="88"/>
      <c r="J233" s="88"/>
      <c r="K233" s="170"/>
      <c r="L233" s="168"/>
      <c r="M233" s="170"/>
      <c r="N233" s="170"/>
      <c r="O233" s="170"/>
      <c r="P233" s="88" t="s">
        <v>444</v>
      </c>
    </row>
    <row r="234" spans="1:16" x14ac:dyDescent="0.25">
      <c r="A234" s="5">
        <v>38</v>
      </c>
      <c r="B234" s="60">
        <v>101917232</v>
      </c>
      <c r="C234" s="131" t="s">
        <v>920</v>
      </c>
      <c r="D234" s="61" t="str">
        <f t="shared" si="7"/>
        <v>101917232/0066244158</v>
      </c>
      <c r="E234" s="69" t="s">
        <v>921</v>
      </c>
      <c r="F234" s="57" t="s">
        <v>381</v>
      </c>
      <c r="G234" s="88"/>
      <c r="H234" s="72" t="s">
        <v>875</v>
      </c>
      <c r="I234" s="88"/>
      <c r="J234" s="88"/>
      <c r="K234" s="170"/>
      <c r="L234" s="168"/>
      <c r="M234" s="170"/>
      <c r="N234" s="170"/>
      <c r="O234" s="170"/>
      <c r="P234" s="88" t="s">
        <v>1602</v>
      </c>
    </row>
    <row r="235" spans="1:16" x14ac:dyDescent="0.25">
      <c r="A235" s="5">
        <v>39</v>
      </c>
      <c r="B235" s="60">
        <v>101917158</v>
      </c>
      <c r="C235" s="131" t="s">
        <v>922</v>
      </c>
      <c r="D235" s="61" t="str">
        <f t="shared" si="7"/>
        <v>101917158/0037650037</v>
      </c>
      <c r="E235" s="69" t="s">
        <v>923</v>
      </c>
      <c r="F235" s="57" t="s">
        <v>381</v>
      </c>
      <c r="G235" s="88"/>
      <c r="H235" s="72" t="s">
        <v>837</v>
      </c>
      <c r="I235" s="88"/>
      <c r="J235" s="88"/>
      <c r="K235" s="170"/>
      <c r="L235" s="168"/>
      <c r="M235" s="170"/>
      <c r="N235" s="170"/>
      <c r="O235" s="170"/>
      <c r="P235" s="88" t="s">
        <v>1602</v>
      </c>
    </row>
    <row r="236" spans="1:16" x14ac:dyDescent="0.25">
      <c r="A236" s="5">
        <v>40</v>
      </c>
      <c r="B236" s="60">
        <v>101917267</v>
      </c>
      <c r="C236" s="131" t="s">
        <v>924</v>
      </c>
      <c r="D236" s="61" t="str">
        <f t="shared" si="7"/>
        <v>101917267/0044351096</v>
      </c>
      <c r="E236" s="69" t="s">
        <v>925</v>
      </c>
      <c r="F236" s="57" t="s">
        <v>381</v>
      </c>
      <c r="G236" s="88"/>
      <c r="H236" s="72" t="s">
        <v>851</v>
      </c>
      <c r="I236" s="88"/>
      <c r="J236" s="88"/>
      <c r="K236" s="170"/>
      <c r="L236" s="168"/>
      <c r="M236" s="170"/>
      <c r="N236" s="170"/>
      <c r="O236" s="170"/>
      <c r="P236" s="88" t="s">
        <v>1602</v>
      </c>
    </row>
    <row r="237" spans="1:16" x14ac:dyDescent="0.25">
      <c r="A237" s="5">
        <v>41</v>
      </c>
      <c r="B237" s="60">
        <v>101917268</v>
      </c>
      <c r="C237" s="131" t="s">
        <v>926</v>
      </c>
      <c r="D237" s="61" t="str">
        <f t="shared" si="7"/>
        <v>101917268/0046897643</v>
      </c>
      <c r="E237" s="69" t="s">
        <v>927</v>
      </c>
      <c r="F237" s="57" t="s">
        <v>381</v>
      </c>
      <c r="G237" s="88"/>
      <c r="H237" s="72" t="s">
        <v>851</v>
      </c>
      <c r="I237" s="88"/>
      <c r="J237" s="88"/>
      <c r="K237" s="170"/>
      <c r="L237" s="168"/>
      <c r="M237" s="170"/>
      <c r="N237" s="170"/>
      <c r="O237" s="170"/>
      <c r="P237" s="88" t="s">
        <v>1602</v>
      </c>
    </row>
    <row r="238" spans="1:16" x14ac:dyDescent="0.25">
      <c r="A238" s="5">
        <v>42</v>
      </c>
      <c r="B238" s="60">
        <v>101917194</v>
      </c>
      <c r="C238" s="131" t="s">
        <v>928</v>
      </c>
      <c r="D238" s="61" t="str">
        <f t="shared" si="7"/>
        <v>101917194/0036780513</v>
      </c>
      <c r="E238" s="69" t="s">
        <v>929</v>
      </c>
      <c r="F238" s="57" t="s">
        <v>381</v>
      </c>
      <c r="G238" s="88"/>
      <c r="H238" s="72" t="s">
        <v>840</v>
      </c>
      <c r="I238" s="88"/>
      <c r="J238" s="88"/>
      <c r="K238" s="170"/>
      <c r="L238" s="168"/>
      <c r="M238" s="170"/>
      <c r="N238" s="170"/>
      <c r="O238" s="170"/>
      <c r="P238" s="88" t="s">
        <v>1602</v>
      </c>
    </row>
    <row r="239" spans="1:16" x14ac:dyDescent="0.25">
      <c r="A239" s="5">
        <v>43</v>
      </c>
      <c r="B239" s="60">
        <v>101917447</v>
      </c>
      <c r="C239" s="65" t="s">
        <v>930</v>
      </c>
      <c r="D239" s="61" t="str">
        <f t="shared" si="7"/>
        <v>101917447/0031102009</v>
      </c>
      <c r="E239" s="105" t="s">
        <v>931</v>
      </c>
      <c r="F239" s="57" t="s">
        <v>379</v>
      </c>
      <c r="G239" s="88"/>
      <c r="H239" s="72" t="s">
        <v>843</v>
      </c>
      <c r="I239" s="88"/>
      <c r="J239" s="88"/>
      <c r="K239" s="170"/>
      <c r="L239" s="168"/>
      <c r="M239" s="170"/>
      <c r="N239" s="170"/>
      <c r="O239" s="170"/>
      <c r="P239" s="88" t="s">
        <v>444</v>
      </c>
    </row>
    <row r="240" spans="1:16" x14ac:dyDescent="0.25">
      <c r="A240" s="5">
        <v>44</v>
      </c>
      <c r="B240" s="60">
        <v>101917301</v>
      </c>
      <c r="C240" s="131" t="s">
        <v>932</v>
      </c>
      <c r="D240" s="61" t="str">
        <f t="shared" si="7"/>
        <v>101917301/0043831794</v>
      </c>
      <c r="E240" s="69" t="s">
        <v>933</v>
      </c>
      <c r="F240" s="57" t="s">
        <v>381</v>
      </c>
      <c r="G240" s="88"/>
      <c r="H240" s="72" t="s">
        <v>887</v>
      </c>
      <c r="I240" s="88"/>
      <c r="J240" s="88"/>
      <c r="K240" s="170"/>
      <c r="L240" s="168"/>
      <c r="M240" s="170"/>
      <c r="N240" s="170"/>
      <c r="O240" s="170"/>
      <c r="P240" s="88" t="s">
        <v>1602</v>
      </c>
    </row>
    <row r="241" spans="1:16" x14ac:dyDescent="0.25">
      <c r="A241" s="5">
        <v>45</v>
      </c>
      <c r="B241" s="60">
        <v>101917159</v>
      </c>
      <c r="C241" s="131" t="s">
        <v>934</v>
      </c>
      <c r="D241" s="61" t="str">
        <f t="shared" si="7"/>
        <v>101917159/0056897535</v>
      </c>
      <c r="E241" s="69" t="s">
        <v>935</v>
      </c>
      <c r="F241" s="57" t="s">
        <v>381</v>
      </c>
      <c r="G241" s="88"/>
      <c r="H241" s="72" t="s">
        <v>837</v>
      </c>
      <c r="I241" s="88"/>
      <c r="J241" s="88"/>
      <c r="K241" s="170"/>
      <c r="L241" s="168"/>
      <c r="M241" s="170"/>
      <c r="N241" s="170"/>
      <c r="O241" s="170"/>
      <c r="P241" s="88" t="s">
        <v>1602</v>
      </c>
    </row>
    <row r="242" spans="1:16" x14ac:dyDescent="0.25">
      <c r="A242" s="5">
        <v>46</v>
      </c>
      <c r="B242" s="60">
        <v>101917414</v>
      </c>
      <c r="C242" s="71" t="s">
        <v>936</v>
      </c>
      <c r="D242" s="61" t="str">
        <f t="shared" si="7"/>
        <v>101917414/0041489903</v>
      </c>
      <c r="E242" s="106" t="s">
        <v>937</v>
      </c>
      <c r="F242" s="57" t="s">
        <v>379</v>
      </c>
      <c r="G242" s="88"/>
      <c r="H242" s="72" t="s">
        <v>854</v>
      </c>
      <c r="I242" s="88"/>
      <c r="J242" s="88"/>
      <c r="K242" s="170"/>
      <c r="L242" s="168"/>
      <c r="M242" s="170"/>
      <c r="N242" s="170"/>
      <c r="O242" s="170"/>
      <c r="P242" s="88" t="s">
        <v>444</v>
      </c>
    </row>
    <row r="243" spans="1:16" x14ac:dyDescent="0.25">
      <c r="A243" s="5">
        <v>47</v>
      </c>
      <c r="B243" s="60">
        <v>101917486</v>
      </c>
      <c r="C243" s="65" t="s">
        <v>938</v>
      </c>
      <c r="D243" s="61" t="str">
        <f t="shared" si="7"/>
        <v>101917486/0036874357</v>
      </c>
      <c r="E243" s="94" t="s">
        <v>939</v>
      </c>
      <c r="F243" s="57" t="s">
        <v>379</v>
      </c>
      <c r="G243" s="88"/>
      <c r="H243" s="72" t="s">
        <v>846</v>
      </c>
      <c r="I243" s="88"/>
      <c r="J243" s="88"/>
      <c r="K243" s="170"/>
      <c r="L243" s="168"/>
      <c r="M243" s="170"/>
      <c r="N243" s="170"/>
      <c r="O243" s="170"/>
      <c r="P243" s="88" t="s">
        <v>444</v>
      </c>
    </row>
    <row r="244" spans="1:16" x14ac:dyDescent="0.25">
      <c r="A244" s="5">
        <v>48</v>
      </c>
      <c r="B244" s="60">
        <v>101917302</v>
      </c>
      <c r="C244" s="131" t="s">
        <v>940</v>
      </c>
      <c r="D244" s="61" t="str">
        <f t="shared" si="7"/>
        <v>101917302/0036712364</v>
      </c>
      <c r="E244" s="69" t="s">
        <v>941</v>
      </c>
      <c r="F244" s="57" t="s">
        <v>381</v>
      </c>
      <c r="G244" s="88"/>
      <c r="H244" s="72" t="s">
        <v>887</v>
      </c>
      <c r="I244" s="88"/>
      <c r="J244" s="88"/>
      <c r="K244" s="170"/>
      <c r="L244" s="168"/>
      <c r="M244" s="170"/>
      <c r="N244" s="170"/>
      <c r="O244" s="170"/>
      <c r="P244" s="88" t="s">
        <v>1602</v>
      </c>
    </row>
    <row r="245" spans="1:16" x14ac:dyDescent="0.25">
      <c r="A245" s="5">
        <v>49</v>
      </c>
      <c r="B245" s="60">
        <v>101917374</v>
      </c>
      <c r="C245" s="108" t="s">
        <v>942</v>
      </c>
      <c r="D245" s="61" t="str">
        <f t="shared" si="7"/>
        <v>101917374/0043176385</v>
      </c>
      <c r="E245" s="107" t="s">
        <v>943</v>
      </c>
      <c r="F245" s="74" t="s">
        <v>379</v>
      </c>
      <c r="G245" s="88"/>
      <c r="H245" s="72" t="s">
        <v>878</v>
      </c>
      <c r="I245" s="88"/>
      <c r="J245" s="88"/>
      <c r="K245" s="170"/>
      <c r="L245" s="168"/>
      <c r="M245" s="170"/>
      <c r="N245" s="170"/>
      <c r="O245" s="170"/>
      <c r="P245" s="88" t="s">
        <v>444</v>
      </c>
    </row>
    <row r="246" spans="1:16" x14ac:dyDescent="0.25">
      <c r="A246" s="5">
        <v>50</v>
      </c>
      <c r="B246" s="60">
        <v>101917233</v>
      </c>
      <c r="C246" s="131" t="s">
        <v>944</v>
      </c>
      <c r="D246" s="61" t="str">
        <f t="shared" si="7"/>
        <v>101917233/0036896101</v>
      </c>
      <c r="E246" s="69" t="s">
        <v>945</v>
      </c>
      <c r="F246" s="57" t="s">
        <v>381</v>
      </c>
      <c r="G246" s="88"/>
      <c r="H246" s="72" t="s">
        <v>875</v>
      </c>
      <c r="I246" s="88"/>
      <c r="J246" s="88"/>
      <c r="K246" s="170"/>
      <c r="L246" s="168"/>
      <c r="M246" s="170"/>
      <c r="N246" s="170"/>
      <c r="O246" s="170"/>
      <c r="P246" s="88" t="s">
        <v>1602</v>
      </c>
    </row>
    <row r="247" spans="1:16" x14ac:dyDescent="0.25">
      <c r="A247" s="5">
        <v>51</v>
      </c>
      <c r="B247" s="60">
        <v>101917340</v>
      </c>
      <c r="C247" s="131" t="s">
        <v>946</v>
      </c>
      <c r="D247" s="61" t="str">
        <f t="shared" si="7"/>
        <v>101917340/0042971499</v>
      </c>
      <c r="E247" s="69" t="s">
        <v>947</v>
      </c>
      <c r="F247" s="57" t="s">
        <v>379</v>
      </c>
      <c r="G247" s="88"/>
      <c r="H247" s="72" t="s">
        <v>870</v>
      </c>
      <c r="I247" s="88"/>
      <c r="J247" s="88"/>
      <c r="K247" s="170"/>
      <c r="L247" s="168"/>
      <c r="M247" s="170"/>
      <c r="N247" s="170"/>
      <c r="O247" s="170"/>
      <c r="P247" s="88" t="s">
        <v>1602</v>
      </c>
    </row>
    <row r="248" spans="1:16" x14ac:dyDescent="0.25">
      <c r="A248" s="5">
        <v>52</v>
      </c>
      <c r="B248" s="60">
        <v>101917234</v>
      </c>
      <c r="C248" s="131" t="s">
        <v>948</v>
      </c>
      <c r="D248" s="61" t="str">
        <f t="shared" si="7"/>
        <v>101917234/0043316916</v>
      </c>
      <c r="E248" s="69" t="s">
        <v>949</v>
      </c>
      <c r="F248" s="57" t="s">
        <v>379</v>
      </c>
      <c r="G248" s="88"/>
      <c r="H248" s="72" t="s">
        <v>875</v>
      </c>
      <c r="I248" s="88"/>
      <c r="J248" s="88"/>
      <c r="K248" s="170"/>
      <c r="L248" s="168"/>
      <c r="M248" s="170"/>
      <c r="N248" s="170"/>
      <c r="O248" s="170"/>
      <c r="P248" s="88" t="s">
        <v>1602</v>
      </c>
    </row>
    <row r="249" spans="1:16" x14ac:dyDescent="0.25">
      <c r="A249" s="5">
        <v>53</v>
      </c>
      <c r="B249" s="60">
        <v>101917303</v>
      </c>
      <c r="C249" s="131" t="s">
        <v>950</v>
      </c>
      <c r="D249" s="61" t="str">
        <f t="shared" si="7"/>
        <v>101917303/0036323128</v>
      </c>
      <c r="E249" s="69" t="s">
        <v>951</v>
      </c>
      <c r="F249" s="57" t="s">
        <v>379</v>
      </c>
      <c r="G249" s="88"/>
      <c r="H249" s="72" t="s">
        <v>887</v>
      </c>
      <c r="I249" s="88"/>
      <c r="J249" s="88"/>
      <c r="K249" s="170"/>
      <c r="L249" s="168"/>
      <c r="M249" s="170"/>
      <c r="N249" s="170"/>
      <c r="O249" s="170"/>
      <c r="P249" s="88" t="s">
        <v>1602</v>
      </c>
    </row>
    <row r="250" spans="1:16" x14ac:dyDescent="0.25">
      <c r="A250" s="5">
        <v>54</v>
      </c>
      <c r="B250" s="60">
        <v>101917160</v>
      </c>
      <c r="C250" s="131" t="s">
        <v>952</v>
      </c>
      <c r="D250" s="61" t="str">
        <f t="shared" si="7"/>
        <v>101917160/0043534629</v>
      </c>
      <c r="E250" s="69" t="s">
        <v>953</v>
      </c>
      <c r="F250" s="57" t="s">
        <v>381</v>
      </c>
      <c r="G250" s="88"/>
      <c r="H250" s="72" t="s">
        <v>837</v>
      </c>
      <c r="I250" s="88"/>
      <c r="J250" s="88"/>
      <c r="K250" s="170"/>
      <c r="L250" s="168"/>
      <c r="M250" s="170"/>
      <c r="N250" s="170"/>
      <c r="O250" s="170"/>
      <c r="P250" s="88" t="s">
        <v>1602</v>
      </c>
    </row>
    <row r="251" spans="1:16" x14ac:dyDescent="0.25">
      <c r="A251" s="5">
        <v>55</v>
      </c>
      <c r="B251" s="60">
        <v>101917235</v>
      </c>
      <c r="C251" s="131" t="s">
        <v>954</v>
      </c>
      <c r="D251" s="61" t="str">
        <f t="shared" si="7"/>
        <v>101917235/0043591108</v>
      </c>
      <c r="E251" s="69" t="s">
        <v>955</v>
      </c>
      <c r="F251" s="57" t="s">
        <v>381</v>
      </c>
      <c r="G251" s="88"/>
      <c r="H251" s="72" t="s">
        <v>875</v>
      </c>
      <c r="I251" s="88"/>
      <c r="J251" s="88"/>
      <c r="K251" s="170"/>
      <c r="L251" s="168"/>
      <c r="M251" s="170"/>
      <c r="N251" s="170"/>
      <c r="O251" s="170"/>
      <c r="P251" s="88" t="s">
        <v>1602</v>
      </c>
    </row>
    <row r="252" spans="1:16" x14ac:dyDescent="0.25">
      <c r="A252" s="5">
        <v>56</v>
      </c>
      <c r="B252" s="60">
        <v>101917448</v>
      </c>
      <c r="C252" s="65" t="s">
        <v>956</v>
      </c>
      <c r="D252" s="61" t="str">
        <f t="shared" si="7"/>
        <v>101917448/0042979495</v>
      </c>
      <c r="E252" s="105" t="s">
        <v>957</v>
      </c>
      <c r="F252" s="57" t="s">
        <v>379</v>
      </c>
      <c r="G252" s="88"/>
      <c r="H252" s="72" t="s">
        <v>843</v>
      </c>
      <c r="I252" s="88"/>
      <c r="J252" s="88"/>
      <c r="K252" s="170"/>
      <c r="L252" s="168"/>
      <c r="M252" s="170"/>
      <c r="N252" s="170"/>
      <c r="O252" s="170"/>
      <c r="P252" s="88" t="s">
        <v>444</v>
      </c>
    </row>
    <row r="253" spans="1:16" x14ac:dyDescent="0.25">
      <c r="A253" s="5">
        <v>57</v>
      </c>
      <c r="B253" s="60">
        <v>101917304</v>
      </c>
      <c r="C253" s="131" t="s">
        <v>958</v>
      </c>
      <c r="D253" s="61" t="str">
        <f t="shared" si="7"/>
        <v>101917304/0042952734</v>
      </c>
      <c r="E253" s="69" t="s">
        <v>959</v>
      </c>
      <c r="F253" s="57" t="s">
        <v>381</v>
      </c>
      <c r="G253" s="88"/>
      <c r="H253" s="72" t="s">
        <v>887</v>
      </c>
      <c r="I253" s="88"/>
      <c r="J253" s="88"/>
      <c r="K253" s="170"/>
      <c r="L253" s="168"/>
      <c r="M253" s="170"/>
      <c r="N253" s="170"/>
      <c r="O253" s="170"/>
      <c r="P253" s="88" t="s">
        <v>1602</v>
      </c>
    </row>
    <row r="254" spans="1:16" x14ac:dyDescent="0.25">
      <c r="A254" s="5">
        <v>58</v>
      </c>
      <c r="B254" s="60">
        <v>101917305</v>
      </c>
      <c r="C254" s="131" t="s">
        <v>960</v>
      </c>
      <c r="D254" s="61" t="str">
        <f t="shared" si="7"/>
        <v>101917305/0032470645</v>
      </c>
      <c r="E254" s="69" t="s">
        <v>961</v>
      </c>
      <c r="F254" s="57" t="s">
        <v>381</v>
      </c>
      <c r="G254" s="88"/>
      <c r="H254" s="72" t="s">
        <v>887</v>
      </c>
      <c r="I254" s="88"/>
      <c r="J254" s="88"/>
      <c r="K254" s="170"/>
      <c r="L254" s="168"/>
      <c r="M254" s="170"/>
      <c r="N254" s="170"/>
      <c r="O254" s="170"/>
      <c r="P254" s="88" t="s">
        <v>1602</v>
      </c>
    </row>
    <row r="255" spans="1:16" x14ac:dyDescent="0.25">
      <c r="A255" s="5">
        <v>59</v>
      </c>
      <c r="B255" s="60">
        <v>101917449</v>
      </c>
      <c r="C255" s="65" t="s">
        <v>962</v>
      </c>
      <c r="D255" s="61" t="str">
        <f t="shared" si="7"/>
        <v>101917449/0049271586</v>
      </c>
      <c r="E255" s="105" t="s">
        <v>963</v>
      </c>
      <c r="F255" s="57" t="s">
        <v>379</v>
      </c>
      <c r="G255" s="88"/>
      <c r="H255" s="72" t="s">
        <v>843</v>
      </c>
      <c r="I255" s="88"/>
      <c r="J255" s="88"/>
      <c r="K255" s="170"/>
      <c r="L255" s="168"/>
      <c r="M255" s="170"/>
      <c r="N255" s="170"/>
      <c r="O255" s="170"/>
      <c r="P255" s="88" t="s">
        <v>444</v>
      </c>
    </row>
    <row r="256" spans="1:16" x14ac:dyDescent="0.25">
      <c r="A256" s="5">
        <v>60</v>
      </c>
      <c r="B256" s="60">
        <v>101917450</v>
      </c>
      <c r="C256" s="65" t="s">
        <v>964</v>
      </c>
      <c r="D256" s="61" t="str">
        <f t="shared" si="7"/>
        <v>101917450/0043113601</v>
      </c>
      <c r="E256" s="105" t="s">
        <v>965</v>
      </c>
      <c r="F256" s="57" t="s">
        <v>379</v>
      </c>
      <c r="G256" s="88"/>
      <c r="H256" s="72" t="s">
        <v>843</v>
      </c>
      <c r="I256" s="88"/>
      <c r="J256" s="88"/>
      <c r="K256" s="170"/>
      <c r="L256" s="168"/>
      <c r="M256" s="170"/>
      <c r="N256" s="170"/>
      <c r="O256" s="170"/>
      <c r="P256" s="88" t="s">
        <v>444</v>
      </c>
    </row>
    <row r="257" spans="1:16" x14ac:dyDescent="0.25">
      <c r="A257" s="5">
        <v>61</v>
      </c>
      <c r="B257" s="60">
        <v>101917269</v>
      </c>
      <c r="C257" s="131" t="s">
        <v>966</v>
      </c>
      <c r="D257" s="61" t="str">
        <f t="shared" si="7"/>
        <v>101917269/0036171331</v>
      </c>
      <c r="E257" s="69" t="s">
        <v>967</v>
      </c>
      <c r="F257" s="57" t="s">
        <v>381</v>
      </c>
      <c r="G257" s="88"/>
      <c r="H257" s="72" t="s">
        <v>851</v>
      </c>
      <c r="I257" s="88"/>
      <c r="J257" s="88"/>
      <c r="K257" s="170"/>
      <c r="L257" s="168"/>
      <c r="M257" s="170"/>
      <c r="N257" s="170"/>
      <c r="O257" s="170"/>
      <c r="P257" s="88" t="s">
        <v>1602</v>
      </c>
    </row>
    <row r="258" spans="1:16" x14ac:dyDescent="0.25">
      <c r="A258" s="5">
        <v>62</v>
      </c>
      <c r="B258" s="60">
        <v>101917415</v>
      </c>
      <c r="C258" s="132" t="s">
        <v>968</v>
      </c>
      <c r="D258" s="61" t="str">
        <f t="shared" si="7"/>
        <v>101917415/0043313525</v>
      </c>
      <c r="E258" s="106" t="s">
        <v>969</v>
      </c>
      <c r="F258" s="57" t="s">
        <v>379</v>
      </c>
      <c r="G258" s="88"/>
      <c r="H258" s="72" t="s">
        <v>854</v>
      </c>
      <c r="I258" s="88"/>
      <c r="J258" s="88"/>
      <c r="K258" s="170"/>
      <c r="L258" s="168"/>
      <c r="M258" s="170"/>
      <c r="N258" s="170"/>
      <c r="O258" s="170"/>
      <c r="P258" s="88" t="s">
        <v>444</v>
      </c>
    </row>
    <row r="259" spans="1:16" x14ac:dyDescent="0.25">
      <c r="A259" s="5">
        <v>63</v>
      </c>
      <c r="B259" s="60">
        <v>101917237</v>
      </c>
      <c r="C259" s="131" t="s">
        <v>970</v>
      </c>
      <c r="D259" s="61" t="str">
        <f t="shared" si="7"/>
        <v>101917237/0040795136</v>
      </c>
      <c r="E259" s="69" t="s">
        <v>971</v>
      </c>
      <c r="F259" s="57" t="s">
        <v>379</v>
      </c>
      <c r="G259" s="88"/>
      <c r="H259" s="72" t="s">
        <v>875</v>
      </c>
      <c r="I259" s="88"/>
      <c r="J259" s="88"/>
      <c r="K259" s="170"/>
      <c r="L259" s="168"/>
      <c r="M259" s="170"/>
      <c r="N259" s="170"/>
      <c r="O259" s="170"/>
      <c r="P259" s="88" t="s">
        <v>1602</v>
      </c>
    </row>
    <row r="260" spans="1:16" x14ac:dyDescent="0.25">
      <c r="A260" s="5">
        <v>64</v>
      </c>
      <c r="B260" s="60">
        <v>101917416</v>
      </c>
      <c r="C260" s="71" t="s">
        <v>972</v>
      </c>
      <c r="D260" s="61" t="str">
        <f t="shared" si="7"/>
        <v>101917416/0044768791</v>
      </c>
      <c r="E260" s="106" t="s">
        <v>973</v>
      </c>
      <c r="F260" s="57" t="s">
        <v>379</v>
      </c>
      <c r="G260" s="88"/>
      <c r="H260" s="72" t="s">
        <v>854</v>
      </c>
      <c r="I260" s="88"/>
      <c r="J260" s="88"/>
      <c r="K260" s="170"/>
      <c r="L260" s="168"/>
      <c r="M260" s="170"/>
      <c r="N260" s="170"/>
      <c r="O260" s="170"/>
      <c r="P260" s="88" t="s">
        <v>444</v>
      </c>
    </row>
    <row r="261" spans="1:16" x14ac:dyDescent="0.25">
      <c r="A261" s="5">
        <v>65</v>
      </c>
      <c r="B261" s="60">
        <v>101917417</v>
      </c>
      <c r="C261" s="71" t="s">
        <v>974</v>
      </c>
      <c r="D261" s="61" t="str">
        <f t="shared" ref="D261:D292" si="8">B261&amp;"/"&amp;C261</f>
        <v>101917417/0043112599</v>
      </c>
      <c r="E261" s="106" t="s">
        <v>975</v>
      </c>
      <c r="F261" s="57" t="s">
        <v>379</v>
      </c>
      <c r="G261" s="88"/>
      <c r="H261" s="72" t="s">
        <v>854</v>
      </c>
      <c r="I261" s="88"/>
      <c r="J261" s="88"/>
      <c r="K261" s="170"/>
      <c r="L261" s="168"/>
      <c r="M261" s="170"/>
      <c r="N261" s="170"/>
      <c r="O261" s="170"/>
      <c r="P261" s="88" t="s">
        <v>444</v>
      </c>
    </row>
    <row r="262" spans="1:16" x14ac:dyDescent="0.25">
      <c r="A262" s="5">
        <v>66</v>
      </c>
      <c r="B262" s="60">
        <v>101917375</v>
      </c>
      <c r="C262" s="108" t="s">
        <v>976</v>
      </c>
      <c r="D262" s="61" t="str">
        <f t="shared" si="8"/>
        <v>101917375/0054729023</v>
      </c>
      <c r="E262" s="107" t="s">
        <v>977</v>
      </c>
      <c r="F262" s="74" t="s">
        <v>379</v>
      </c>
      <c r="G262" s="88"/>
      <c r="H262" s="72" t="s">
        <v>878</v>
      </c>
      <c r="I262" s="88"/>
      <c r="J262" s="88"/>
      <c r="K262" s="170"/>
      <c r="L262" s="168"/>
      <c r="M262" s="170"/>
      <c r="N262" s="170"/>
      <c r="O262" s="170"/>
      <c r="P262" s="88" t="s">
        <v>444</v>
      </c>
    </row>
    <row r="263" spans="1:16" x14ac:dyDescent="0.25">
      <c r="A263" s="5">
        <v>67</v>
      </c>
      <c r="B263" s="60">
        <v>101917418</v>
      </c>
      <c r="C263" s="71" t="s">
        <v>978</v>
      </c>
      <c r="D263" s="61" t="str">
        <f t="shared" si="8"/>
        <v>101917418/0042196886</v>
      </c>
      <c r="E263" s="106" t="s">
        <v>979</v>
      </c>
      <c r="F263" s="57" t="s">
        <v>381</v>
      </c>
      <c r="G263" s="88"/>
      <c r="H263" s="72" t="s">
        <v>854</v>
      </c>
      <c r="I263" s="88"/>
      <c r="J263" s="88"/>
      <c r="K263" s="170"/>
      <c r="L263" s="168"/>
      <c r="M263" s="170"/>
      <c r="N263" s="170"/>
      <c r="O263" s="170"/>
      <c r="P263" s="88" t="s">
        <v>444</v>
      </c>
    </row>
    <row r="264" spans="1:16" x14ac:dyDescent="0.25">
      <c r="A264" s="5">
        <v>68</v>
      </c>
      <c r="B264" s="60">
        <v>101917196</v>
      </c>
      <c r="C264" s="131" t="s">
        <v>980</v>
      </c>
      <c r="D264" s="61" t="str">
        <f t="shared" si="8"/>
        <v>101917196/0036723021</v>
      </c>
      <c r="E264" s="69" t="s">
        <v>981</v>
      </c>
      <c r="F264" s="57" t="s">
        <v>379</v>
      </c>
      <c r="G264" s="88"/>
      <c r="H264" s="72" t="s">
        <v>840</v>
      </c>
      <c r="I264" s="88"/>
      <c r="J264" s="88"/>
      <c r="K264" s="170"/>
      <c r="L264" s="168"/>
      <c r="M264" s="170"/>
      <c r="N264" s="170"/>
      <c r="O264" s="170"/>
      <c r="P264" s="88" t="s">
        <v>1602</v>
      </c>
    </row>
    <row r="265" spans="1:16" x14ac:dyDescent="0.25">
      <c r="A265" s="5">
        <v>69</v>
      </c>
      <c r="B265" s="60">
        <v>101917451</v>
      </c>
      <c r="C265" s="65" t="s">
        <v>982</v>
      </c>
      <c r="D265" s="61" t="str">
        <f t="shared" si="8"/>
        <v>101917451/0043112563</v>
      </c>
      <c r="E265" s="94" t="s">
        <v>983</v>
      </c>
      <c r="F265" s="57" t="s">
        <v>379</v>
      </c>
      <c r="G265" s="88"/>
      <c r="H265" s="72" t="s">
        <v>843</v>
      </c>
      <c r="I265" s="88"/>
      <c r="J265" s="88"/>
      <c r="K265" s="170"/>
      <c r="L265" s="168"/>
      <c r="M265" s="170"/>
      <c r="N265" s="170"/>
      <c r="O265" s="170"/>
      <c r="P265" s="88" t="s">
        <v>444</v>
      </c>
    </row>
    <row r="266" spans="1:16" x14ac:dyDescent="0.25">
      <c r="A266" s="5">
        <v>70</v>
      </c>
      <c r="B266" s="60">
        <v>101917487</v>
      </c>
      <c r="C266" s="71" t="s">
        <v>984</v>
      </c>
      <c r="D266" s="61" t="str">
        <f t="shared" si="8"/>
        <v>101917487/0037514640</v>
      </c>
      <c r="E266" s="107" t="s">
        <v>985</v>
      </c>
      <c r="F266" s="57" t="s">
        <v>379</v>
      </c>
      <c r="G266" s="88"/>
      <c r="H266" s="72" t="s">
        <v>846</v>
      </c>
      <c r="I266" s="88"/>
      <c r="J266" s="88"/>
      <c r="K266" s="170"/>
      <c r="L266" s="168"/>
      <c r="M266" s="170"/>
      <c r="N266" s="170"/>
      <c r="O266" s="170"/>
      <c r="P266" s="88" t="s">
        <v>1602</v>
      </c>
    </row>
    <row r="267" spans="1:16" x14ac:dyDescent="0.25">
      <c r="A267" s="5">
        <v>71</v>
      </c>
      <c r="B267" s="60">
        <v>101917161</v>
      </c>
      <c r="C267" s="131" t="s">
        <v>986</v>
      </c>
      <c r="D267" s="61" t="str">
        <f t="shared" si="8"/>
        <v>101917161/0042655771</v>
      </c>
      <c r="E267" s="69" t="s">
        <v>987</v>
      </c>
      <c r="F267" s="57" t="s">
        <v>379</v>
      </c>
      <c r="G267" s="88"/>
      <c r="H267" s="72" t="s">
        <v>837</v>
      </c>
      <c r="I267" s="88"/>
      <c r="J267" s="88"/>
      <c r="K267" s="170"/>
      <c r="L267" s="168"/>
      <c r="M267" s="170"/>
      <c r="N267" s="170"/>
      <c r="O267" s="170"/>
      <c r="P267" s="88" t="s">
        <v>1602</v>
      </c>
    </row>
    <row r="268" spans="1:16" x14ac:dyDescent="0.25">
      <c r="A268" s="5">
        <v>72</v>
      </c>
      <c r="B268" s="60">
        <v>101917419</v>
      </c>
      <c r="C268" s="71" t="s">
        <v>988</v>
      </c>
      <c r="D268" s="61" t="str">
        <f t="shared" si="8"/>
        <v>101917419/0041319862</v>
      </c>
      <c r="E268" s="106" t="s">
        <v>989</v>
      </c>
      <c r="F268" s="57" t="s">
        <v>379</v>
      </c>
      <c r="G268" s="88"/>
      <c r="H268" s="72" t="s">
        <v>854</v>
      </c>
      <c r="I268" s="88"/>
      <c r="J268" s="88"/>
      <c r="K268" s="170"/>
      <c r="L268" s="168"/>
      <c r="M268" s="170"/>
      <c r="N268" s="170"/>
      <c r="O268" s="170"/>
      <c r="P268" s="88" t="s">
        <v>444</v>
      </c>
    </row>
    <row r="269" spans="1:16" x14ac:dyDescent="0.25">
      <c r="A269" s="5">
        <v>73</v>
      </c>
      <c r="B269" s="60">
        <v>101917488</v>
      </c>
      <c r="C269" s="65" t="s">
        <v>990</v>
      </c>
      <c r="D269" s="61" t="str">
        <f t="shared" si="8"/>
        <v>101917488/0043694673</v>
      </c>
      <c r="E269" s="94" t="s">
        <v>991</v>
      </c>
      <c r="F269" s="57" t="s">
        <v>379</v>
      </c>
      <c r="G269" s="88"/>
      <c r="H269" s="72" t="s">
        <v>846</v>
      </c>
      <c r="I269" s="88"/>
      <c r="J269" s="88"/>
      <c r="K269" s="170"/>
      <c r="L269" s="168"/>
      <c r="M269" s="170"/>
      <c r="N269" s="170"/>
      <c r="O269" s="170"/>
      <c r="P269" s="88" t="s">
        <v>444</v>
      </c>
    </row>
    <row r="270" spans="1:16" x14ac:dyDescent="0.25">
      <c r="A270" s="5">
        <v>74</v>
      </c>
      <c r="B270" s="60">
        <v>101917162</v>
      </c>
      <c r="C270" s="131" t="s">
        <v>992</v>
      </c>
      <c r="D270" s="61" t="str">
        <f t="shared" si="8"/>
        <v>101917162/0042077833</v>
      </c>
      <c r="E270" s="69" t="s">
        <v>993</v>
      </c>
      <c r="F270" s="57" t="s">
        <v>379</v>
      </c>
      <c r="G270" s="88"/>
      <c r="H270" s="72" t="s">
        <v>837</v>
      </c>
      <c r="I270" s="88"/>
      <c r="J270" s="88"/>
      <c r="K270" s="170"/>
      <c r="L270" s="168"/>
      <c r="M270" s="170"/>
      <c r="N270" s="170"/>
      <c r="O270" s="170"/>
      <c r="P270" s="88" t="s">
        <v>1602</v>
      </c>
    </row>
    <row r="271" spans="1:16" x14ac:dyDescent="0.25">
      <c r="A271" s="5">
        <v>75</v>
      </c>
      <c r="B271" s="60">
        <v>101917197</v>
      </c>
      <c r="C271" s="131" t="s">
        <v>994</v>
      </c>
      <c r="D271" s="61" t="str">
        <f t="shared" si="8"/>
        <v>101917197/0047506539</v>
      </c>
      <c r="E271" s="69" t="s">
        <v>995</v>
      </c>
      <c r="F271" s="57" t="s">
        <v>379</v>
      </c>
      <c r="G271" s="88"/>
      <c r="H271" s="72" t="s">
        <v>840</v>
      </c>
      <c r="I271" s="88"/>
      <c r="J271" s="88"/>
      <c r="K271" s="170"/>
      <c r="L271" s="168"/>
      <c r="M271" s="170"/>
      <c r="N271" s="170"/>
      <c r="O271" s="170"/>
      <c r="P271" s="88" t="s">
        <v>1602</v>
      </c>
    </row>
    <row r="272" spans="1:16" x14ac:dyDescent="0.25">
      <c r="A272" s="5">
        <v>76</v>
      </c>
      <c r="B272" s="60">
        <v>101917270</v>
      </c>
      <c r="C272" s="131" t="s">
        <v>996</v>
      </c>
      <c r="D272" s="61" t="str">
        <f t="shared" si="8"/>
        <v>101917270/0046119774</v>
      </c>
      <c r="E272" s="69" t="s">
        <v>997</v>
      </c>
      <c r="F272" s="57" t="s">
        <v>379</v>
      </c>
      <c r="G272" s="88"/>
      <c r="H272" s="72" t="s">
        <v>851</v>
      </c>
      <c r="I272" s="88"/>
      <c r="J272" s="88"/>
      <c r="K272" s="170"/>
      <c r="L272" s="168"/>
      <c r="M272" s="170"/>
      <c r="N272" s="170"/>
      <c r="O272" s="170"/>
      <c r="P272" s="88" t="s">
        <v>1602</v>
      </c>
    </row>
    <row r="273" spans="1:16" x14ac:dyDescent="0.25">
      <c r="A273" s="5">
        <v>77</v>
      </c>
      <c r="B273" s="60">
        <v>101917271</v>
      </c>
      <c r="C273" s="131" t="s">
        <v>998</v>
      </c>
      <c r="D273" s="61" t="str">
        <f t="shared" si="8"/>
        <v>101917271/0043176302</v>
      </c>
      <c r="E273" s="69" t="s">
        <v>999</v>
      </c>
      <c r="F273" s="57" t="s">
        <v>379</v>
      </c>
      <c r="G273" s="88"/>
      <c r="H273" s="72" t="s">
        <v>851</v>
      </c>
      <c r="I273" s="88"/>
      <c r="J273" s="88"/>
      <c r="K273" s="170"/>
      <c r="L273" s="168"/>
      <c r="M273" s="170"/>
      <c r="N273" s="170"/>
      <c r="O273" s="170"/>
      <c r="P273" s="88" t="s">
        <v>1602</v>
      </c>
    </row>
    <row r="274" spans="1:16" x14ac:dyDescent="0.25">
      <c r="A274" s="5">
        <v>78</v>
      </c>
      <c r="B274" s="60">
        <v>101917489</v>
      </c>
      <c r="C274" s="65" t="s">
        <v>1000</v>
      </c>
      <c r="D274" s="61" t="str">
        <f t="shared" si="8"/>
        <v>101917489/0048684446</v>
      </c>
      <c r="E274" s="94" t="s">
        <v>1001</v>
      </c>
      <c r="F274" s="57" t="s">
        <v>379</v>
      </c>
      <c r="G274" s="88"/>
      <c r="H274" s="72" t="s">
        <v>846</v>
      </c>
      <c r="I274" s="88"/>
      <c r="J274" s="88"/>
      <c r="K274" s="170"/>
      <c r="L274" s="168"/>
      <c r="M274" s="170"/>
      <c r="N274" s="170"/>
      <c r="O274" s="170"/>
      <c r="P274" s="88" t="s">
        <v>444</v>
      </c>
    </row>
    <row r="275" spans="1:16" x14ac:dyDescent="0.25">
      <c r="A275" s="5">
        <v>79</v>
      </c>
      <c r="B275" s="60">
        <v>101917452</v>
      </c>
      <c r="C275" s="65" t="s">
        <v>1002</v>
      </c>
      <c r="D275" s="61" t="str">
        <f t="shared" si="8"/>
        <v>101917452/0036834496</v>
      </c>
      <c r="E275" s="105" t="s">
        <v>1003</v>
      </c>
      <c r="F275" s="57" t="s">
        <v>381</v>
      </c>
      <c r="G275" s="88"/>
      <c r="H275" s="72" t="s">
        <v>843</v>
      </c>
      <c r="I275" s="88"/>
      <c r="J275" s="88"/>
      <c r="K275" s="170"/>
      <c r="L275" s="168"/>
      <c r="M275" s="170"/>
      <c r="N275" s="170"/>
      <c r="O275" s="170"/>
      <c r="P275" s="88" t="s">
        <v>444</v>
      </c>
    </row>
    <row r="276" spans="1:16" x14ac:dyDescent="0.25">
      <c r="A276" s="5">
        <v>80</v>
      </c>
      <c r="B276" s="60">
        <v>101917453</v>
      </c>
      <c r="C276" s="65" t="s">
        <v>1004</v>
      </c>
      <c r="D276" s="61" t="str">
        <f t="shared" si="8"/>
        <v>101917453/0048462691</v>
      </c>
      <c r="E276" s="105" t="s">
        <v>1005</v>
      </c>
      <c r="F276" s="57" t="s">
        <v>379</v>
      </c>
      <c r="G276" s="88"/>
      <c r="H276" s="72" t="s">
        <v>843</v>
      </c>
      <c r="I276" s="88"/>
      <c r="J276" s="88"/>
      <c r="K276" s="170"/>
      <c r="L276" s="168"/>
      <c r="M276" s="170"/>
      <c r="N276" s="170"/>
      <c r="O276" s="170"/>
      <c r="P276" s="88" t="s">
        <v>444</v>
      </c>
    </row>
    <row r="277" spans="1:16" x14ac:dyDescent="0.25">
      <c r="A277" s="5">
        <v>81</v>
      </c>
      <c r="B277" s="60">
        <v>101917163</v>
      </c>
      <c r="C277" s="131" t="s">
        <v>1006</v>
      </c>
      <c r="D277" s="61" t="str">
        <f t="shared" si="8"/>
        <v>101917163/0036112177</v>
      </c>
      <c r="E277" s="69" t="s">
        <v>1007</v>
      </c>
      <c r="F277" s="57" t="s">
        <v>379</v>
      </c>
      <c r="G277" s="88"/>
      <c r="H277" s="72" t="s">
        <v>837</v>
      </c>
      <c r="I277" s="88"/>
      <c r="J277" s="88"/>
      <c r="K277" s="170"/>
      <c r="L277" s="168"/>
      <c r="M277" s="170"/>
      <c r="N277" s="170"/>
      <c r="O277" s="170"/>
      <c r="P277" s="88" t="s">
        <v>1602</v>
      </c>
    </row>
    <row r="278" spans="1:16" x14ac:dyDescent="0.25">
      <c r="A278" s="5">
        <v>82</v>
      </c>
      <c r="B278" s="60">
        <v>101917306</v>
      </c>
      <c r="C278" s="131" t="s">
        <v>1008</v>
      </c>
      <c r="D278" s="61" t="str">
        <f t="shared" si="8"/>
        <v>101917306/0034921280</v>
      </c>
      <c r="E278" s="69" t="s">
        <v>1009</v>
      </c>
      <c r="F278" s="57" t="s">
        <v>381</v>
      </c>
      <c r="G278" s="88"/>
      <c r="H278" s="72" t="s">
        <v>887</v>
      </c>
      <c r="I278" s="88"/>
      <c r="J278" s="88"/>
      <c r="K278" s="170"/>
      <c r="L278" s="168"/>
      <c r="M278" s="170"/>
      <c r="N278" s="170"/>
      <c r="O278" s="170"/>
      <c r="P278" s="88" t="s">
        <v>1602</v>
      </c>
    </row>
    <row r="279" spans="1:16" x14ac:dyDescent="0.25">
      <c r="A279" s="5">
        <v>83</v>
      </c>
      <c r="B279" s="60">
        <v>101917238</v>
      </c>
      <c r="C279" s="131" t="s">
        <v>1010</v>
      </c>
      <c r="D279" s="61" t="str">
        <f t="shared" si="8"/>
        <v>101917238/0053359801</v>
      </c>
      <c r="E279" s="69" t="s">
        <v>1011</v>
      </c>
      <c r="F279" s="57" t="s">
        <v>381</v>
      </c>
      <c r="G279" s="88"/>
      <c r="H279" s="72" t="s">
        <v>875</v>
      </c>
      <c r="I279" s="88"/>
      <c r="J279" s="88"/>
      <c r="K279" s="170"/>
      <c r="L279" s="168"/>
      <c r="M279" s="170"/>
      <c r="N279" s="170"/>
      <c r="O279" s="170"/>
      <c r="P279" s="88" t="s">
        <v>1602</v>
      </c>
    </row>
    <row r="280" spans="1:16" x14ac:dyDescent="0.25">
      <c r="A280" s="5">
        <v>84</v>
      </c>
      <c r="B280" s="60">
        <v>101917376</v>
      </c>
      <c r="C280" s="108" t="s">
        <v>1012</v>
      </c>
      <c r="D280" s="61" t="str">
        <f t="shared" si="8"/>
        <v>101917376/0049644069</v>
      </c>
      <c r="E280" s="107" t="s">
        <v>1013</v>
      </c>
      <c r="F280" s="74" t="s">
        <v>379</v>
      </c>
      <c r="G280" s="88"/>
      <c r="H280" s="72" t="s">
        <v>878</v>
      </c>
      <c r="I280" s="88"/>
      <c r="J280" s="88"/>
      <c r="K280" s="170"/>
      <c r="L280" s="168"/>
      <c r="M280" s="170"/>
      <c r="N280" s="170"/>
      <c r="O280" s="170"/>
      <c r="P280" s="88" t="s">
        <v>444</v>
      </c>
    </row>
    <row r="281" spans="1:16" x14ac:dyDescent="0.25">
      <c r="A281" s="5">
        <v>85</v>
      </c>
      <c r="B281" s="60">
        <v>101917307</v>
      </c>
      <c r="C281" s="131" t="s">
        <v>1014</v>
      </c>
      <c r="D281" s="61" t="str">
        <f t="shared" si="8"/>
        <v>101917307/0042672364</v>
      </c>
      <c r="E281" s="69" t="s">
        <v>1015</v>
      </c>
      <c r="F281" s="57" t="s">
        <v>381</v>
      </c>
      <c r="G281" s="88"/>
      <c r="H281" s="72" t="s">
        <v>887</v>
      </c>
      <c r="I281" s="88"/>
      <c r="J281" s="88"/>
      <c r="K281" s="170"/>
      <c r="L281" s="168"/>
      <c r="M281" s="170"/>
      <c r="N281" s="170"/>
      <c r="O281" s="170"/>
      <c r="P281" s="88" t="s">
        <v>1602</v>
      </c>
    </row>
    <row r="282" spans="1:16" x14ac:dyDescent="0.25">
      <c r="A282" s="5">
        <v>86</v>
      </c>
      <c r="B282" s="60">
        <v>101917164</v>
      </c>
      <c r="C282" s="131" t="s">
        <v>1016</v>
      </c>
      <c r="D282" s="61" t="str">
        <f t="shared" si="8"/>
        <v>101917164/0048790375</v>
      </c>
      <c r="E282" s="69" t="s">
        <v>1017</v>
      </c>
      <c r="F282" s="57" t="s">
        <v>381</v>
      </c>
      <c r="G282" s="88"/>
      <c r="H282" s="72" t="s">
        <v>843</v>
      </c>
      <c r="I282" s="88"/>
      <c r="J282" s="88"/>
      <c r="K282" s="170"/>
      <c r="L282" s="168"/>
      <c r="M282" s="170"/>
      <c r="N282" s="170"/>
      <c r="O282" s="170"/>
      <c r="P282" s="88" t="s">
        <v>444</v>
      </c>
    </row>
    <row r="283" spans="1:16" x14ac:dyDescent="0.25">
      <c r="A283" s="5">
        <v>87</v>
      </c>
      <c r="B283" s="60">
        <v>101917454</v>
      </c>
      <c r="C283" s="65" t="s">
        <v>1018</v>
      </c>
      <c r="D283" s="61" t="str">
        <f t="shared" si="8"/>
        <v>101917454/0044011019</v>
      </c>
      <c r="E283" s="105" t="s">
        <v>1019</v>
      </c>
      <c r="F283" s="57" t="s">
        <v>381</v>
      </c>
      <c r="G283" s="88"/>
      <c r="H283" s="72" t="s">
        <v>843</v>
      </c>
      <c r="I283" s="88"/>
      <c r="J283" s="88"/>
      <c r="K283" s="170"/>
      <c r="L283" s="168"/>
      <c r="M283" s="170"/>
      <c r="N283" s="170"/>
      <c r="O283" s="170"/>
      <c r="P283" s="88" t="s">
        <v>444</v>
      </c>
    </row>
    <row r="284" spans="1:16" x14ac:dyDescent="0.25">
      <c r="A284" s="5">
        <v>88</v>
      </c>
      <c r="B284" s="60">
        <v>101917198</v>
      </c>
      <c r="C284" s="131" t="s">
        <v>1020</v>
      </c>
      <c r="D284" s="61" t="str">
        <f t="shared" si="8"/>
        <v>101917198/0029236027</v>
      </c>
      <c r="E284" s="69" t="s">
        <v>1021</v>
      </c>
      <c r="F284" s="57" t="s">
        <v>379</v>
      </c>
      <c r="G284" s="88"/>
      <c r="H284" s="72" t="s">
        <v>840</v>
      </c>
      <c r="I284" s="88"/>
      <c r="J284" s="88"/>
      <c r="K284" s="170"/>
      <c r="L284" s="168"/>
      <c r="M284" s="170"/>
      <c r="N284" s="170"/>
      <c r="O284" s="170"/>
      <c r="P284" s="88" t="s">
        <v>1602</v>
      </c>
    </row>
    <row r="285" spans="1:16" x14ac:dyDescent="0.25">
      <c r="A285" s="5">
        <v>89</v>
      </c>
      <c r="B285" s="60">
        <v>101917308</v>
      </c>
      <c r="C285" s="131" t="s">
        <v>1022</v>
      </c>
      <c r="D285" s="61" t="str">
        <f t="shared" si="8"/>
        <v>101917308/0039778641</v>
      </c>
      <c r="E285" s="69" t="s">
        <v>1023</v>
      </c>
      <c r="F285" s="57" t="s">
        <v>381</v>
      </c>
      <c r="G285" s="88"/>
      <c r="H285" s="72" t="s">
        <v>887</v>
      </c>
      <c r="I285" s="88"/>
      <c r="J285" s="88"/>
      <c r="K285" s="170"/>
      <c r="L285" s="168"/>
      <c r="M285" s="170"/>
      <c r="N285" s="170"/>
      <c r="O285" s="170"/>
      <c r="P285" s="88" t="s">
        <v>1602</v>
      </c>
    </row>
    <row r="286" spans="1:16" x14ac:dyDescent="0.25">
      <c r="A286" s="5">
        <v>90</v>
      </c>
      <c r="B286" s="60">
        <v>101917239</v>
      </c>
      <c r="C286" s="131" t="s">
        <v>1024</v>
      </c>
      <c r="D286" s="61" t="str">
        <f t="shared" si="8"/>
        <v>101917239/0042979558</v>
      </c>
      <c r="E286" s="69" t="s">
        <v>1025</v>
      </c>
      <c r="F286" s="57" t="s">
        <v>379</v>
      </c>
      <c r="G286" s="88"/>
      <c r="H286" s="72" t="s">
        <v>875</v>
      </c>
      <c r="I286" s="88"/>
      <c r="J286" s="88"/>
      <c r="K286" s="170"/>
      <c r="L286" s="168"/>
      <c r="M286" s="170"/>
      <c r="N286" s="170"/>
      <c r="O286" s="170"/>
      <c r="P286" s="88" t="s">
        <v>1602</v>
      </c>
    </row>
    <row r="287" spans="1:16" x14ac:dyDescent="0.25">
      <c r="A287" s="5">
        <v>91</v>
      </c>
      <c r="B287" s="60">
        <v>101917166</v>
      </c>
      <c r="C287" s="131" t="s">
        <v>1026</v>
      </c>
      <c r="D287" s="61" t="str">
        <f t="shared" si="8"/>
        <v>101917166/0036835729</v>
      </c>
      <c r="E287" s="69" t="s">
        <v>1027</v>
      </c>
      <c r="F287" s="57" t="s">
        <v>379</v>
      </c>
      <c r="G287" s="88"/>
      <c r="H287" s="72" t="s">
        <v>837</v>
      </c>
      <c r="I287" s="88"/>
      <c r="J287" s="88"/>
      <c r="K287" s="170"/>
      <c r="L287" s="168"/>
      <c r="M287" s="170"/>
      <c r="N287" s="170"/>
      <c r="O287" s="170"/>
      <c r="P287" s="88" t="s">
        <v>1602</v>
      </c>
    </row>
    <row r="288" spans="1:16" x14ac:dyDescent="0.25">
      <c r="A288" s="5">
        <v>92</v>
      </c>
      <c r="B288" s="60">
        <v>101917421</v>
      </c>
      <c r="C288" s="71" t="s">
        <v>1028</v>
      </c>
      <c r="D288" s="61" t="str">
        <f t="shared" si="8"/>
        <v>101917421/0043112555</v>
      </c>
      <c r="E288" s="106" t="s">
        <v>1029</v>
      </c>
      <c r="F288" s="57" t="s">
        <v>379</v>
      </c>
      <c r="G288" s="88"/>
      <c r="H288" s="72" t="s">
        <v>854</v>
      </c>
      <c r="I288" s="88"/>
      <c r="J288" s="88"/>
      <c r="K288" s="170"/>
      <c r="L288" s="168"/>
      <c r="M288" s="170"/>
      <c r="N288" s="170"/>
      <c r="O288" s="170"/>
      <c r="P288" s="88" t="s">
        <v>444</v>
      </c>
    </row>
    <row r="289" spans="1:16" x14ac:dyDescent="0.25">
      <c r="A289" s="5">
        <v>93</v>
      </c>
      <c r="B289" s="60">
        <v>101917455</v>
      </c>
      <c r="C289" s="65" t="s">
        <v>1030</v>
      </c>
      <c r="D289" s="61" t="str">
        <f t="shared" si="8"/>
        <v>101917455/0044299587</v>
      </c>
      <c r="E289" s="105" t="s">
        <v>1031</v>
      </c>
      <c r="F289" s="57" t="s">
        <v>381</v>
      </c>
      <c r="G289" s="88"/>
      <c r="H289" s="72" t="s">
        <v>843</v>
      </c>
      <c r="I289" s="88"/>
      <c r="J289" s="88"/>
      <c r="K289" s="170"/>
      <c r="L289" s="168"/>
      <c r="M289" s="170"/>
      <c r="N289" s="170"/>
      <c r="O289" s="170"/>
      <c r="P289" s="88" t="s">
        <v>444</v>
      </c>
    </row>
    <row r="290" spans="1:16" x14ac:dyDescent="0.25">
      <c r="A290" s="5">
        <v>94</v>
      </c>
      <c r="B290" s="60">
        <v>101917519</v>
      </c>
      <c r="C290" s="71" t="s">
        <v>1032</v>
      </c>
      <c r="D290" s="61" t="str">
        <f t="shared" si="8"/>
        <v>101917519/0043976854</v>
      </c>
      <c r="E290" s="107" t="s">
        <v>1033</v>
      </c>
      <c r="F290" s="57" t="s">
        <v>381</v>
      </c>
      <c r="G290" s="88"/>
      <c r="H290" s="72" t="s">
        <v>863</v>
      </c>
      <c r="I290" s="88"/>
      <c r="J290" s="88"/>
      <c r="K290" s="170"/>
      <c r="L290" s="168"/>
      <c r="M290" s="170"/>
      <c r="N290" s="170"/>
      <c r="O290" s="170"/>
      <c r="P290" s="88" t="s">
        <v>1602</v>
      </c>
    </row>
    <row r="291" spans="1:16" x14ac:dyDescent="0.25">
      <c r="A291" s="5">
        <v>95</v>
      </c>
      <c r="B291" s="60">
        <v>101917341</v>
      </c>
      <c r="C291" s="131" t="s">
        <v>1034</v>
      </c>
      <c r="D291" s="61" t="str">
        <f t="shared" si="8"/>
        <v>101917341/0042515460</v>
      </c>
      <c r="E291" s="69" t="s">
        <v>1035</v>
      </c>
      <c r="F291" s="57" t="s">
        <v>381</v>
      </c>
      <c r="G291" s="88"/>
      <c r="H291" s="72" t="s">
        <v>870</v>
      </c>
      <c r="I291" s="88"/>
      <c r="J291" s="88"/>
      <c r="K291" s="170"/>
      <c r="L291" s="168"/>
      <c r="M291" s="170"/>
      <c r="N291" s="170"/>
      <c r="O291" s="170"/>
      <c r="P291" s="88" t="s">
        <v>1602</v>
      </c>
    </row>
    <row r="292" spans="1:16" x14ac:dyDescent="0.25">
      <c r="A292" s="5">
        <v>96</v>
      </c>
      <c r="B292" s="60">
        <v>101917199</v>
      </c>
      <c r="C292" s="131" t="s">
        <v>1036</v>
      </c>
      <c r="D292" s="61" t="str">
        <f t="shared" si="8"/>
        <v>101917199/0044369920</v>
      </c>
      <c r="E292" s="69" t="s">
        <v>1037</v>
      </c>
      <c r="F292" s="57" t="s">
        <v>381</v>
      </c>
      <c r="G292" s="88"/>
      <c r="H292" s="72" t="s">
        <v>840</v>
      </c>
      <c r="I292" s="88"/>
      <c r="J292" s="88"/>
      <c r="K292" s="170"/>
      <c r="L292" s="168"/>
      <c r="M292" s="170"/>
      <c r="N292" s="170"/>
      <c r="O292" s="170"/>
      <c r="P292" s="88" t="s">
        <v>1602</v>
      </c>
    </row>
    <row r="293" spans="1:16" x14ac:dyDescent="0.25">
      <c r="A293" s="5">
        <v>97</v>
      </c>
      <c r="B293" s="60">
        <v>101917272</v>
      </c>
      <c r="C293" s="131" t="s">
        <v>1038</v>
      </c>
      <c r="D293" s="61" t="str">
        <f t="shared" ref="D293:D317" si="9">B293&amp;"/"&amp;C293</f>
        <v>101917272/0036834466</v>
      </c>
      <c r="E293" s="69" t="s">
        <v>1039</v>
      </c>
      <c r="F293" s="57" t="s">
        <v>381</v>
      </c>
      <c r="G293" s="88"/>
      <c r="H293" s="72" t="s">
        <v>851</v>
      </c>
      <c r="I293" s="88"/>
      <c r="J293" s="88"/>
      <c r="K293" s="170"/>
      <c r="L293" s="168"/>
      <c r="M293" s="170"/>
      <c r="N293" s="170"/>
      <c r="O293" s="170"/>
      <c r="P293" s="88" t="s">
        <v>1602</v>
      </c>
    </row>
    <row r="294" spans="1:16" x14ac:dyDescent="0.25">
      <c r="A294" s="5">
        <v>98</v>
      </c>
      <c r="B294" s="60">
        <v>101917342</v>
      </c>
      <c r="C294" s="131" t="s">
        <v>1040</v>
      </c>
      <c r="D294" s="61" t="str">
        <f t="shared" si="9"/>
        <v>101917342/0032563864</v>
      </c>
      <c r="E294" s="69" t="s">
        <v>1041</v>
      </c>
      <c r="F294" s="57" t="s">
        <v>381</v>
      </c>
      <c r="G294" s="88"/>
      <c r="H294" s="72" t="s">
        <v>870</v>
      </c>
      <c r="I294" s="88"/>
      <c r="J294" s="88"/>
      <c r="K294" s="170"/>
      <c r="L294" s="168"/>
      <c r="M294" s="170"/>
      <c r="N294" s="170"/>
      <c r="O294" s="170"/>
      <c r="P294" s="88" t="s">
        <v>1602</v>
      </c>
    </row>
    <row r="295" spans="1:16" x14ac:dyDescent="0.25">
      <c r="A295" s="5">
        <v>99</v>
      </c>
      <c r="B295" s="60">
        <v>101917377</v>
      </c>
      <c r="C295" s="108" t="s">
        <v>1042</v>
      </c>
      <c r="D295" s="61" t="str">
        <f t="shared" si="9"/>
        <v>101917377/0037052097</v>
      </c>
      <c r="E295" s="107" t="s">
        <v>1043</v>
      </c>
      <c r="F295" s="74" t="s">
        <v>381</v>
      </c>
      <c r="G295" s="88"/>
      <c r="H295" s="72" t="s">
        <v>878</v>
      </c>
      <c r="I295" s="88"/>
      <c r="J295" s="88"/>
      <c r="K295" s="170"/>
      <c r="L295" s="168"/>
      <c r="M295" s="170"/>
      <c r="N295" s="170"/>
      <c r="O295" s="170"/>
      <c r="P295" s="88" t="s">
        <v>444</v>
      </c>
    </row>
    <row r="296" spans="1:16" x14ac:dyDescent="0.25">
      <c r="A296" s="5">
        <v>100</v>
      </c>
      <c r="B296" s="60">
        <v>101917520</v>
      </c>
      <c r="C296" s="71" t="s">
        <v>1044</v>
      </c>
      <c r="D296" s="61" t="str">
        <f t="shared" si="9"/>
        <v>101917520/0037172870</v>
      </c>
      <c r="E296" s="107" t="s">
        <v>1045</v>
      </c>
      <c r="F296" s="57" t="s">
        <v>381</v>
      </c>
      <c r="G296" s="88"/>
      <c r="H296" s="72" t="s">
        <v>863</v>
      </c>
      <c r="I296" s="88"/>
      <c r="J296" s="88"/>
      <c r="K296" s="170"/>
      <c r="L296" s="168"/>
      <c r="M296" s="170"/>
      <c r="N296" s="170"/>
      <c r="O296" s="170"/>
      <c r="P296" s="88" t="s">
        <v>444</v>
      </c>
    </row>
    <row r="297" spans="1:16" x14ac:dyDescent="0.25">
      <c r="A297" s="5">
        <v>101</v>
      </c>
      <c r="B297" s="60">
        <v>101917309</v>
      </c>
      <c r="C297" s="131" t="s">
        <v>1046</v>
      </c>
      <c r="D297" s="61" t="str">
        <f t="shared" si="9"/>
        <v>101917309/0048355135</v>
      </c>
      <c r="E297" s="69" t="s">
        <v>1047</v>
      </c>
      <c r="F297" s="57" t="s">
        <v>379</v>
      </c>
      <c r="G297" s="88"/>
      <c r="H297" s="72" t="s">
        <v>887</v>
      </c>
      <c r="I297" s="88"/>
      <c r="J297" s="88"/>
      <c r="K297" s="170"/>
      <c r="L297" s="168"/>
      <c r="M297" s="170"/>
      <c r="N297" s="170"/>
      <c r="O297" s="170"/>
      <c r="P297" s="88" t="s">
        <v>1602</v>
      </c>
    </row>
    <row r="298" spans="1:16" x14ac:dyDescent="0.25">
      <c r="A298" s="5">
        <v>102</v>
      </c>
      <c r="B298" s="60">
        <v>101917200</v>
      </c>
      <c r="C298" s="132" t="s">
        <v>1048</v>
      </c>
      <c r="D298" s="61" t="str">
        <f t="shared" si="9"/>
        <v>101917200/0044472437</v>
      </c>
      <c r="E298" s="106" t="s">
        <v>1049</v>
      </c>
      <c r="F298" s="57" t="s">
        <v>381</v>
      </c>
      <c r="G298" s="88"/>
      <c r="H298" s="72" t="s">
        <v>840</v>
      </c>
      <c r="I298" s="88"/>
      <c r="J298" s="88"/>
      <c r="K298" s="170"/>
      <c r="L298" s="168"/>
      <c r="M298" s="170"/>
      <c r="N298" s="170"/>
      <c r="O298" s="170"/>
      <c r="P298" s="88" t="s">
        <v>1602</v>
      </c>
    </row>
    <row r="299" spans="1:16" x14ac:dyDescent="0.25">
      <c r="A299" s="5">
        <v>103</v>
      </c>
      <c r="B299" s="60">
        <v>101917167</v>
      </c>
      <c r="C299" s="131" t="s">
        <v>1050</v>
      </c>
      <c r="D299" s="61" t="str">
        <f t="shared" si="9"/>
        <v>101917167/0044159834</v>
      </c>
      <c r="E299" s="69" t="s">
        <v>1051</v>
      </c>
      <c r="F299" s="57" t="s">
        <v>379</v>
      </c>
      <c r="G299" s="88"/>
      <c r="H299" s="72" t="s">
        <v>837</v>
      </c>
      <c r="I299" s="88"/>
      <c r="J299" s="88"/>
      <c r="K299" s="170"/>
      <c r="L299" s="168"/>
      <c r="M299" s="170"/>
      <c r="N299" s="170"/>
      <c r="O299" s="170"/>
      <c r="P299" s="88" t="s">
        <v>1602</v>
      </c>
    </row>
    <row r="300" spans="1:16" x14ac:dyDescent="0.25">
      <c r="A300" s="5">
        <v>104</v>
      </c>
      <c r="B300" s="60">
        <v>101917378</v>
      </c>
      <c r="C300" s="108" t="s">
        <v>1052</v>
      </c>
      <c r="D300" s="61" t="str">
        <f t="shared" si="9"/>
        <v>101917378/0036734324</v>
      </c>
      <c r="E300" s="107" t="s">
        <v>1053</v>
      </c>
      <c r="F300" s="74" t="s">
        <v>379</v>
      </c>
      <c r="G300" s="88"/>
      <c r="H300" s="72" t="s">
        <v>878</v>
      </c>
      <c r="I300" s="88"/>
      <c r="J300" s="88"/>
      <c r="K300" s="170"/>
      <c r="L300" s="168"/>
      <c r="M300" s="170"/>
      <c r="N300" s="170"/>
      <c r="O300" s="170"/>
      <c r="P300" s="88" t="s">
        <v>444</v>
      </c>
    </row>
    <row r="301" spans="1:16" x14ac:dyDescent="0.25">
      <c r="A301" s="5">
        <v>105</v>
      </c>
      <c r="B301" s="60">
        <v>101917343</v>
      </c>
      <c r="C301" s="131" t="s">
        <v>1054</v>
      </c>
      <c r="D301" s="61" t="str">
        <f t="shared" si="9"/>
        <v>101917343/0038972392</v>
      </c>
      <c r="E301" s="69" t="s">
        <v>1055</v>
      </c>
      <c r="F301" s="57" t="s">
        <v>381</v>
      </c>
      <c r="G301" s="88"/>
      <c r="H301" s="72" t="s">
        <v>870</v>
      </c>
      <c r="I301" s="88"/>
      <c r="J301" s="88"/>
      <c r="K301" s="170"/>
      <c r="L301" s="168"/>
      <c r="M301" s="170"/>
      <c r="N301" s="170"/>
      <c r="O301" s="170"/>
      <c r="P301" s="88" t="s">
        <v>1602</v>
      </c>
    </row>
    <row r="302" spans="1:16" x14ac:dyDescent="0.25">
      <c r="A302" s="5">
        <v>106</v>
      </c>
      <c r="B302" s="60">
        <v>101917273</v>
      </c>
      <c r="C302" s="131" t="s">
        <v>1056</v>
      </c>
      <c r="D302" s="61" t="str">
        <f t="shared" si="9"/>
        <v>101917273/0037351247</v>
      </c>
      <c r="E302" s="69" t="s">
        <v>1057</v>
      </c>
      <c r="F302" s="57" t="s">
        <v>381</v>
      </c>
      <c r="G302" s="88"/>
      <c r="H302" s="72" t="s">
        <v>851</v>
      </c>
      <c r="I302" s="88"/>
      <c r="J302" s="88"/>
      <c r="K302" s="170"/>
      <c r="L302" s="168"/>
      <c r="M302" s="170"/>
      <c r="N302" s="170"/>
      <c r="O302" s="170"/>
      <c r="P302" s="88" t="s">
        <v>1602</v>
      </c>
    </row>
    <row r="303" spans="1:16" x14ac:dyDescent="0.25">
      <c r="A303" s="5">
        <v>107</v>
      </c>
      <c r="B303" s="60">
        <v>101917521</v>
      </c>
      <c r="C303" s="71" t="s">
        <v>1058</v>
      </c>
      <c r="D303" s="61" t="str">
        <f t="shared" si="9"/>
        <v>101917521/0043494938</v>
      </c>
      <c r="E303" s="107" t="s">
        <v>1059</v>
      </c>
      <c r="F303" s="57" t="s">
        <v>379</v>
      </c>
      <c r="G303" s="88"/>
      <c r="H303" s="72" t="s">
        <v>863</v>
      </c>
      <c r="I303" s="88"/>
      <c r="J303" s="88"/>
      <c r="K303" s="170"/>
      <c r="L303" s="168"/>
      <c r="M303" s="170"/>
      <c r="N303" s="170"/>
      <c r="O303" s="170"/>
      <c r="P303" s="88" t="s">
        <v>444</v>
      </c>
    </row>
    <row r="304" spans="1:16" x14ac:dyDescent="0.25">
      <c r="A304" s="5">
        <v>108</v>
      </c>
      <c r="B304" s="60">
        <v>101917422</v>
      </c>
      <c r="C304" s="71" t="s">
        <v>1060</v>
      </c>
      <c r="D304" s="61" t="str">
        <f t="shared" si="9"/>
        <v>101917422/0038186046</v>
      </c>
      <c r="E304" s="106" t="s">
        <v>1061</v>
      </c>
      <c r="F304" s="57" t="s">
        <v>379</v>
      </c>
      <c r="G304" s="88"/>
      <c r="H304" s="72" t="s">
        <v>854</v>
      </c>
      <c r="I304" s="88"/>
      <c r="J304" s="88"/>
      <c r="K304" s="170"/>
      <c r="L304" s="168"/>
      <c r="M304" s="170"/>
      <c r="N304" s="170"/>
      <c r="O304" s="170"/>
      <c r="P304" s="88" t="s">
        <v>444</v>
      </c>
    </row>
    <row r="305" spans="1:16" x14ac:dyDescent="0.25">
      <c r="A305" s="5">
        <v>109</v>
      </c>
      <c r="B305" s="60">
        <v>101917456</v>
      </c>
      <c r="C305" s="65" t="s">
        <v>1062</v>
      </c>
      <c r="D305" s="61" t="str">
        <f t="shared" si="9"/>
        <v>101917456/0031061534</v>
      </c>
      <c r="E305" s="105" t="s">
        <v>1063</v>
      </c>
      <c r="F305" s="57" t="s">
        <v>379</v>
      </c>
      <c r="G305" s="88"/>
      <c r="H305" s="72" t="s">
        <v>843</v>
      </c>
      <c r="I305" s="88"/>
      <c r="J305" s="88"/>
      <c r="K305" s="170"/>
      <c r="L305" s="168"/>
      <c r="M305" s="170"/>
      <c r="N305" s="170"/>
      <c r="O305" s="170"/>
      <c r="P305" s="88" t="s">
        <v>444</v>
      </c>
    </row>
    <row r="306" spans="1:16" x14ac:dyDescent="0.25">
      <c r="A306" s="5">
        <v>110</v>
      </c>
      <c r="B306" s="60">
        <v>101917423</v>
      </c>
      <c r="C306" s="71" t="s">
        <v>1064</v>
      </c>
      <c r="D306" s="61" t="str">
        <f t="shared" si="9"/>
        <v>101917423/0042615798</v>
      </c>
      <c r="E306" s="106" t="s">
        <v>1065</v>
      </c>
      <c r="F306" s="57" t="s">
        <v>379</v>
      </c>
      <c r="G306" s="88"/>
      <c r="H306" s="72" t="s">
        <v>854</v>
      </c>
      <c r="I306" s="88"/>
      <c r="J306" s="88"/>
      <c r="K306" s="170"/>
      <c r="L306" s="168"/>
      <c r="M306" s="170"/>
      <c r="N306" s="170"/>
      <c r="O306" s="170"/>
      <c r="P306" s="88" t="s">
        <v>444</v>
      </c>
    </row>
    <row r="307" spans="1:16" x14ac:dyDescent="0.25">
      <c r="A307" s="5">
        <v>111</v>
      </c>
      <c r="B307" s="60">
        <v>101917490</v>
      </c>
      <c r="C307" s="65" t="s">
        <v>1066</v>
      </c>
      <c r="D307" s="61" t="str">
        <f t="shared" si="9"/>
        <v>101917490/0037494266</v>
      </c>
      <c r="E307" s="94" t="s">
        <v>1067</v>
      </c>
      <c r="F307" s="57" t="s">
        <v>379</v>
      </c>
      <c r="G307" s="88"/>
      <c r="H307" s="72" t="s">
        <v>846</v>
      </c>
      <c r="I307" s="88"/>
      <c r="J307" s="88"/>
      <c r="K307" s="170"/>
      <c r="L307" s="168"/>
      <c r="M307" s="170"/>
      <c r="N307" s="170"/>
      <c r="O307" s="170"/>
      <c r="P307" s="88" t="s">
        <v>444</v>
      </c>
    </row>
    <row r="308" spans="1:16" x14ac:dyDescent="0.25">
      <c r="A308" s="5">
        <v>112</v>
      </c>
      <c r="B308" s="60">
        <v>101917168</v>
      </c>
      <c r="C308" s="131" t="s">
        <v>1068</v>
      </c>
      <c r="D308" s="61" t="str">
        <f t="shared" si="9"/>
        <v>101917168/0040679987</v>
      </c>
      <c r="E308" s="69" t="s">
        <v>1069</v>
      </c>
      <c r="F308" s="57" t="s">
        <v>379</v>
      </c>
      <c r="G308" s="88"/>
      <c r="H308" s="72" t="s">
        <v>837</v>
      </c>
      <c r="I308" s="88"/>
      <c r="J308" s="88"/>
      <c r="K308" s="170"/>
      <c r="L308" s="168"/>
      <c r="M308" s="170"/>
      <c r="N308" s="170"/>
      <c r="O308" s="170"/>
      <c r="P308" s="88" t="s">
        <v>1602</v>
      </c>
    </row>
    <row r="309" spans="1:16" x14ac:dyDescent="0.25">
      <c r="A309" s="5">
        <v>113</v>
      </c>
      <c r="B309" s="60">
        <v>101917201</v>
      </c>
      <c r="C309" s="131" t="s">
        <v>1070</v>
      </c>
      <c r="D309" s="61" t="str">
        <f t="shared" si="9"/>
        <v>101917201/0043494936</v>
      </c>
      <c r="E309" s="69" t="s">
        <v>1071</v>
      </c>
      <c r="F309" s="57" t="s">
        <v>379</v>
      </c>
      <c r="G309" s="88"/>
      <c r="H309" s="72" t="s">
        <v>840</v>
      </c>
      <c r="I309" s="88"/>
      <c r="J309" s="88"/>
      <c r="K309" s="170"/>
      <c r="L309" s="168"/>
      <c r="M309" s="170"/>
      <c r="N309" s="170"/>
      <c r="O309" s="170"/>
      <c r="P309" s="88" t="s">
        <v>1602</v>
      </c>
    </row>
    <row r="310" spans="1:16" x14ac:dyDescent="0.25">
      <c r="A310" s="5">
        <v>114</v>
      </c>
      <c r="B310" s="60">
        <v>101917344</v>
      </c>
      <c r="C310" s="131" t="s">
        <v>1072</v>
      </c>
      <c r="D310" s="61" t="str">
        <f t="shared" si="9"/>
        <v>101917344/0043176678</v>
      </c>
      <c r="E310" s="69" t="s">
        <v>1073</v>
      </c>
      <c r="F310" s="57" t="s">
        <v>381</v>
      </c>
      <c r="G310" s="88"/>
      <c r="H310" s="72" t="s">
        <v>870</v>
      </c>
      <c r="I310" s="88"/>
      <c r="J310" s="88"/>
      <c r="K310" s="170"/>
      <c r="L310" s="168"/>
      <c r="M310" s="170"/>
      <c r="N310" s="170"/>
      <c r="O310" s="170"/>
      <c r="P310" s="88" t="s">
        <v>1602</v>
      </c>
    </row>
    <row r="311" spans="1:16" x14ac:dyDescent="0.25">
      <c r="A311" s="5">
        <v>115</v>
      </c>
      <c r="B311" s="60">
        <v>101917424</v>
      </c>
      <c r="C311" s="71" t="s">
        <v>1074</v>
      </c>
      <c r="D311" s="61" t="str">
        <f t="shared" si="9"/>
        <v>101917424/0043856228</v>
      </c>
      <c r="E311" s="106" t="s">
        <v>1075</v>
      </c>
      <c r="F311" s="57" t="s">
        <v>379</v>
      </c>
      <c r="G311" s="88"/>
      <c r="H311" s="72" t="s">
        <v>854</v>
      </c>
      <c r="I311" s="88"/>
      <c r="J311" s="88"/>
      <c r="K311" s="170"/>
      <c r="L311" s="168"/>
      <c r="M311" s="170"/>
      <c r="N311" s="170"/>
      <c r="O311" s="170"/>
      <c r="P311" s="88" t="s">
        <v>444</v>
      </c>
    </row>
    <row r="312" spans="1:16" x14ac:dyDescent="0.25">
      <c r="A312" s="5">
        <v>116</v>
      </c>
      <c r="B312" s="60">
        <v>101917169</v>
      </c>
      <c r="C312" s="131" t="s">
        <v>1076</v>
      </c>
      <c r="D312" s="61" t="str">
        <f t="shared" si="9"/>
        <v>101917169/0043391493</v>
      </c>
      <c r="E312" s="69" t="s">
        <v>1077</v>
      </c>
      <c r="F312" s="57" t="s">
        <v>381</v>
      </c>
      <c r="G312" s="88"/>
      <c r="H312" s="72" t="s">
        <v>837</v>
      </c>
      <c r="I312" s="88"/>
      <c r="J312" s="88"/>
      <c r="K312" s="170"/>
      <c r="L312" s="168"/>
      <c r="M312" s="170"/>
      <c r="N312" s="170"/>
      <c r="O312" s="170"/>
      <c r="P312" s="88" t="s">
        <v>1602</v>
      </c>
    </row>
    <row r="313" spans="1:16" x14ac:dyDescent="0.25">
      <c r="A313" s="5">
        <v>117</v>
      </c>
      <c r="B313" s="60">
        <v>101917240</v>
      </c>
      <c r="C313" s="131" t="s">
        <v>1078</v>
      </c>
      <c r="D313" s="61" t="str">
        <f t="shared" si="9"/>
        <v>101917240/0045790780</v>
      </c>
      <c r="E313" s="69" t="s">
        <v>1079</v>
      </c>
      <c r="F313" s="57" t="s">
        <v>381</v>
      </c>
      <c r="G313" s="88"/>
      <c r="H313" s="72" t="s">
        <v>875</v>
      </c>
      <c r="I313" s="88"/>
      <c r="J313" s="88"/>
      <c r="K313" s="170"/>
      <c r="L313" s="168"/>
      <c r="M313" s="170"/>
      <c r="N313" s="170"/>
      <c r="O313" s="170"/>
      <c r="P313" s="88" t="s">
        <v>1602</v>
      </c>
    </row>
    <row r="314" spans="1:16" x14ac:dyDescent="0.25">
      <c r="A314" s="5">
        <v>118</v>
      </c>
      <c r="B314" s="60">
        <v>101917241</v>
      </c>
      <c r="C314" s="131" t="s">
        <v>1080</v>
      </c>
      <c r="D314" s="61" t="str">
        <f t="shared" si="9"/>
        <v>101917241/0042399347</v>
      </c>
      <c r="E314" s="69" t="s">
        <v>1081</v>
      </c>
      <c r="F314" s="57" t="s">
        <v>379</v>
      </c>
      <c r="G314" s="88"/>
      <c r="H314" s="72" t="s">
        <v>875</v>
      </c>
      <c r="I314" s="88"/>
      <c r="J314" s="88"/>
      <c r="K314" s="170"/>
      <c r="L314" s="168"/>
      <c r="M314" s="170"/>
      <c r="N314" s="170"/>
      <c r="O314" s="170"/>
      <c r="P314" s="88" t="s">
        <v>1602</v>
      </c>
    </row>
    <row r="315" spans="1:16" x14ac:dyDescent="0.25">
      <c r="A315" s="5">
        <v>119</v>
      </c>
      <c r="B315" s="60">
        <v>101917345</v>
      </c>
      <c r="C315" s="131" t="s">
        <v>1082</v>
      </c>
      <c r="D315" s="61" t="str">
        <f t="shared" si="9"/>
        <v>101917345/0034147214</v>
      </c>
      <c r="E315" s="69" t="s">
        <v>1083</v>
      </c>
      <c r="F315" s="57" t="s">
        <v>379</v>
      </c>
      <c r="G315" s="88"/>
      <c r="H315" s="72" t="s">
        <v>870</v>
      </c>
      <c r="I315" s="88"/>
      <c r="J315" s="88"/>
      <c r="K315" s="170"/>
      <c r="L315" s="168"/>
      <c r="M315" s="170"/>
      <c r="N315" s="170"/>
      <c r="O315" s="170"/>
      <c r="P315" s="88" t="s">
        <v>1602</v>
      </c>
    </row>
    <row r="316" spans="1:16" x14ac:dyDescent="0.25">
      <c r="A316" s="5">
        <v>120</v>
      </c>
      <c r="B316" s="60">
        <v>101917457</v>
      </c>
      <c r="C316" s="65" t="s">
        <v>1084</v>
      </c>
      <c r="D316" s="61" t="str">
        <f t="shared" si="9"/>
        <v>101917457/0045963534</v>
      </c>
      <c r="E316" s="105" t="s">
        <v>1085</v>
      </c>
      <c r="F316" s="57" t="s">
        <v>379</v>
      </c>
      <c r="G316" s="88"/>
      <c r="H316" s="72" t="s">
        <v>843</v>
      </c>
      <c r="I316" s="88"/>
      <c r="J316" s="88"/>
      <c r="K316" s="170"/>
      <c r="L316" s="168"/>
      <c r="M316" s="170"/>
      <c r="N316" s="170"/>
      <c r="O316" s="170"/>
      <c r="P316" s="88" t="s">
        <v>444</v>
      </c>
    </row>
    <row r="317" spans="1:16" x14ac:dyDescent="0.25">
      <c r="A317" s="5">
        <v>121</v>
      </c>
      <c r="B317" s="60">
        <v>101917275</v>
      </c>
      <c r="C317" s="131" t="s">
        <v>1086</v>
      </c>
      <c r="D317" s="61" t="str">
        <f t="shared" si="9"/>
        <v>101917275/0043113551</v>
      </c>
      <c r="E317" s="69" t="s">
        <v>1087</v>
      </c>
      <c r="F317" s="57" t="s">
        <v>379</v>
      </c>
      <c r="G317" s="88"/>
      <c r="H317" s="72" t="s">
        <v>851</v>
      </c>
      <c r="I317" s="88"/>
      <c r="J317" s="88"/>
      <c r="K317" s="170"/>
      <c r="L317" s="168"/>
      <c r="M317" s="170"/>
      <c r="N317" s="170"/>
      <c r="O317" s="170"/>
      <c r="P317" s="88" t="s">
        <v>1602</v>
      </c>
    </row>
    <row r="318" spans="1:16" x14ac:dyDescent="0.25">
      <c r="A318" s="5">
        <v>122</v>
      </c>
      <c r="B318" s="60">
        <v>101816883</v>
      </c>
      <c r="C318" s="60" t="s">
        <v>1088</v>
      </c>
      <c r="D318" s="60" t="str">
        <f>B318&amp;" /"&amp;C318</f>
        <v>101816883 /0038543055</v>
      </c>
      <c r="E318" s="88" t="s">
        <v>1089</v>
      </c>
      <c r="F318" s="57" t="s">
        <v>379</v>
      </c>
      <c r="G318" s="88"/>
      <c r="H318" s="72" t="s">
        <v>846</v>
      </c>
      <c r="I318" s="88"/>
      <c r="J318" s="88"/>
      <c r="K318" s="170"/>
      <c r="L318" s="168"/>
      <c r="M318" s="170"/>
      <c r="N318" s="170"/>
      <c r="O318" s="170"/>
      <c r="P318" s="88" t="s">
        <v>444</v>
      </c>
    </row>
    <row r="319" spans="1:16" x14ac:dyDescent="0.25">
      <c r="A319" s="5">
        <v>123</v>
      </c>
      <c r="B319" s="60">
        <v>101917276</v>
      </c>
      <c r="C319" s="131" t="s">
        <v>1090</v>
      </c>
      <c r="D319" s="61" t="str">
        <f t="shared" ref="D319:D382" si="10">B319&amp;"/"&amp;C319</f>
        <v>101917276/0040477408</v>
      </c>
      <c r="E319" s="69" t="s">
        <v>1091</v>
      </c>
      <c r="F319" s="57" t="s">
        <v>381</v>
      </c>
      <c r="G319" s="88"/>
      <c r="H319" s="72" t="s">
        <v>851</v>
      </c>
      <c r="I319" s="88"/>
      <c r="J319" s="88"/>
      <c r="K319" s="170"/>
      <c r="L319" s="168"/>
      <c r="M319" s="170"/>
      <c r="N319" s="170"/>
      <c r="O319" s="170"/>
      <c r="P319" s="88" t="s">
        <v>1602</v>
      </c>
    </row>
    <row r="320" spans="1:16" x14ac:dyDescent="0.25">
      <c r="A320" s="5">
        <v>124</v>
      </c>
      <c r="B320" s="60">
        <v>101917170</v>
      </c>
      <c r="C320" s="131" t="s">
        <v>1092</v>
      </c>
      <c r="D320" s="61" t="str">
        <f t="shared" si="10"/>
        <v>101917170/0043487287</v>
      </c>
      <c r="E320" s="69" t="s">
        <v>1093</v>
      </c>
      <c r="F320" s="57" t="s">
        <v>381</v>
      </c>
      <c r="G320" s="88"/>
      <c r="H320" s="72" t="s">
        <v>837</v>
      </c>
      <c r="I320" s="88"/>
      <c r="J320" s="88"/>
      <c r="K320" s="170"/>
      <c r="L320" s="168"/>
      <c r="M320" s="170"/>
      <c r="N320" s="170"/>
      <c r="O320" s="170"/>
      <c r="P320" s="88" t="s">
        <v>1602</v>
      </c>
    </row>
    <row r="321" spans="1:16" x14ac:dyDescent="0.25">
      <c r="A321" s="5">
        <v>125</v>
      </c>
      <c r="B321" s="60">
        <v>101917202</v>
      </c>
      <c r="C321" s="131" t="s">
        <v>1094</v>
      </c>
      <c r="D321" s="61" t="str">
        <f t="shared" si="10"/>
        <v>101917202/0041455735</v>
      </c>
      <c r="E321" s="69" t="s">
        <v>1095</v>
      </c>
      <c r="F321" s="57" t="s">
        <v>381</v>
      </c>
      <c r="G321" s="88"/>
      <c r="H321" s="72" t="s">
        <v>840</v>
      </c>
      <c r="I321" s="88"/>
      <c r="J321" s="88"/>
      <c r="K321" s="170"/>
      <c r="L321" s="168"/>
      <c r="M321" s="170"/>
      <c r="N321" s="170"/>
      <c r="O321" s="170"/>
      <c r="P321" s="88" t="s">
        <v>1602</v>
      </c>
    </row>
    <row r="322" spans="1:16" x14ac:dyDescent="0.25">
      <c r="A322" s="5">
        <v>126</v>
      </c>
      <c r="B322" s="60">
        <v>101917171</v>
      </c>
      <c r="C322" s="131" t="s">
        <v>1096</v>
      </c>
      <c r="D322" s="61" t="str">
        <f t="shared" si="10"/>
        <v>101917171/0044295462</v>
      </c>
      <c r="E322" s="69" t="s">
        <v>1097</v>
      </c>
      <c r="F322" s="57" t="s">
        <v>379</v>
      </c>
      <c r="G322" s="88"/>
      <c r="H322" s="72" t="s">
        <v>837</v>
      </c>
      <c r="I322" s="88"/>
      <c r="J322" s="88"/>
      <c r="K322" s="170"/>
      <c r="L322" s="168"/>
      <c r="M322" s="170"/>
      <c r="N322" s="170"/>
      <c r="O322" s="170"/>
      <c r="P322" s="88" t="s">
        <v>1602</v>
      </c>
    </row>
    <row r="323" spans="1:16" x14ac:dyDescent="0.25">
      <c r="A323" s="5">
        <v>127</v>
      </c>
      <c r="B323" s="60">
        <v>101917277</v>
      </c>
      <c r="C323" s="131" t="s">
        <v>1098</v>
      </c>
      <c r="D323" s="61" t="str">
        <f t="shared" si="10"/>
        <v>101917277/0040392768</v>
      </c>
      <c r="E323" s="69" t="s">
        <v>1099</v>
      </c>
      <c r="F323" s="57" t="s">
        <v>381</v>
      </c>
      <c r="G323" s="88"/>
      <c r="H323" s="72" t="s">
        <v>851</v>
      </c>
      <c r="I323" s="88"/>
      <c r="J323" s="88"/>
      <c r="K323" s="170"/>
      <c r="L323" s="168"/>
      <c r="M323" s="170"/>
      <c r="N323" s="170"/>
      <c r="O323" s="170"/>
      <c r="P323" s="88" t="s">
        <v>1602</v>
      </c>
    </row>
    <row r="324" spans="1:16" x14ac:dyDescent="0.25">
      <c r="A324" s="5">
        <v>128</v>
      </c>
      <c r="B324" s="60">
        <v>101917172</v>
      </c>
      <c r="C324" s="131" t="s">
        <v>1100</v>
      </c>
      <c r="D324" s="61" t="str">
        <f t="shared" si="10"/>
        <v>101917172/0048619890</v>
      </c>
      <c r="E324" s="69" t="s">
        <v>1101</v>
      </c>
      <c r="F324" s="57" t="s">
        <v>379</v>
      </c>
      <c r="G324" s="88"/>
      <c r="H324" s="72" t="s">
        <v>837</v>
      </c>
      <c r="I324" s="88"/>
      <c r="J324" s="88"/>
      <c r="K324" s="170"/>
      <c r="L324" s="168"/>
      <c r="M324" s="170"/>
      <c r="N324" s="170"/>
      <c r="O324" s="170"/>
      <c r="P324" s="88" t="s">
        <v>1602</v>
      </c>
    </row>
    <row r="325" spans="1:16" x14ac:dyDescent="0.25">
      <c r="A325" s="5">
        <v>129</v>
      </c>
      <c r="B325" s="60">
        <v>101917425</v>
      </c>
      <c r="C325" s="71" t="s">
        <v>1102</v>
      </c>
      <c r="D325" s="61" t="str">
        <f t="shared" si="10"/>
        <v>101917425/0042216093</v>
      </c>
      <c r="E325" s="106" t="s">
        <v>1103</v>
      </c>
      <c r="F325" s="57" t="s">
        <v>379</v>
      </c>
      <c r="G325" s="88"/>
      <c r="H325" s="72" t="s">
        <v>854</v>
      </c>
      <c r="I325" s="88"/>
      <c r="J325" s="88"/>
      <c r="K325" s="170"/>
      <c r="L325" s="168"/>
      <c r="M325" s="170"/>
      <c r="N325" s="170"/>
      <c r="O325" s="170"/>
      <c r="P325" s="88" t="s">
        <v>444</v>
      </c>
    </row>
    <row r="326" spans="1:16" x14ac:dyDescent="0.25">
      <c r="A326" s="5">
        <v>130</v>
      </c>
      <c r="B326" s="60">
        <v>101917346</v>
      </c>
      <c r="C326" s="131" t="s">
        <v>1104</v>
      </c>
      <c r="D326" s="61" t="str">
        <f t="shared" si="10"/>
        <v>101917346/0036437509</v>
      </c>
      <c r="E326" s="69" t="s">
        <v>1105</v>
      </c>
      <c r="F326" s="57" t="s">
        <v>379</v>
      </c>
      <c r="G326" s="88"/>
      <c r="H326" s="72" t="s">
        <v>870</v>
      </c>
      <c r="I326" s="88"/>
      <c r="J326" s="88"/>
      <c r="K326" s="170"/>
      <c r="L326" s="168"/>
      <c r="M326" s="170"/>
      <c r="N326" s="170"/>
      <c r="O326" s="170"/>
      <c r="P326" s="88" t="s">
        <v>1602</v>
      </c>
    </row>
    <row r="327" spans="1:16" x14ac:dyDescent="0.25">
      <c r="A327" s="5">
        <v>131</v>
      </c>
      <c r="B327" s="60">
        <v>101917523</v>
      </c>
      <c r="C327" s="71" t="s">
        <v>1106</v>
      </c>
      <c r="D327" s="61" t="str">
        <f t="shared" si="10"/>
        <v>101917523/0041881393</v>
      </c>
      <c r="E327" s="107" t="s">
        <v>1107</v>
      </c>
      <c r="F327" s="57" t="s">
        <v>379</v>
      </c>
      <c r="G327" s="88"/>
      <c r="H327" s="72" t="s">
        <v>863</v>
      </c>
      <c r="I327" s="88"/>
      <c r="J327" s="88"/>
      <c r="K327" s="170"/>
      <c r="L327" s="168"/>
      <c r="M327" s="170"/>
      <c r="N327" s="170"/>
      <c r="O327" s="170"/>
      <c r="P327" s="88" t="s">
        <v>444</v>
      </c>
    </row>
    <row r="328" spans="1:16" x14ac:dyDescent="0.25">
      <c r="A328" s="5">
        <v>132</v>
      </c>
      <c r="B328" s="60">
        <v>101917379</v>
      </c>
      <c r="C328" s="108" t="s">
        <v>1108</v>
      </c>
      <c r="D328" s="61" t="str">
        <f t="shared" si="10"/>
        <v>101917379/0043413266</v>
      </c>
      <c r="E328" s="107" t="s">
        <v>1109</v>
      </c>
      <c r="F328" s="74" t="s">
        <v>379</v>
      </c>
      <c r="G328" s="88"/>
      <c r="H328" s="72" t="s">
        <v>878</v>
      </c>
      <c r="I328" s="88"/>
      <c r="J328" s="88"/>
      <c r="K328" s="170"/>
      <c r="L328" s="168"/>
      <c r="M328" s="170"/>
      <c r="N328" s="170"/>
      <c r="O328" s="170"/>
      <c r="P328" s="88" t="s">
        <v>444</v>
      </c>
    </row>
    <row r="329" spans="1:16" x14ac:dyDescent="0.25">
      <c r="A329" s="5">
        <v>133</v>
      </c>
      <c r="B329" s="60">
        <v>101917380</v>
      </c>
      <c r="C329" s="108" t="s">
        <v>1110</v>
      </c>
      <c r="D329" s="61" t="str">
        <f t="shared" si="10"/>
        <v>101917380/0037256807</v>
      </c>
      <c r="E329" s="107" t="s">
        <v>1111</v>
      </c>
      <c r="F329" s="74" t="s">
        <v>379</v>
      </c>
      <c r="G329" s="88"/>
      <c r="H329" s="72" t="s">
        <v>878</v>
      </c>
      <c r="I329" s="88"/>
      <c r="J329" s="88"/>
      <c r="K329" s="170"/>
      <c r="L329" s="168"/>
      <c r="M329" s="170"/>
      <c r="N329" s="170"/>
      <c r="O329" s="170"/>
      <c r="P329" s="88" t="s">
        <v>444</v>
      </c>
    </row>
    <row r="330" spans="1:16" x14ac:dyDescent="0.25">
      <c r="A330" s="5">
        <v>134</v>
      </c>
      <c r="B330" s="60">
        <v>101917310</v>
      </c>
      <c r="C330" s="131" t="s">
        <v>1112</v>
      </c>
      <c r="D330" s="61" t="str">
        <f t="shared" si="10"/>
        <v>101917310/0037519834</v>
      </c>
      <c r="E330" s="69" t="s">
        <v>1113</v>
      </c>
      <c r="F330" s="57" t="s">
        <v>381</v>
      </c>
      <c r="G330" s="88"/>
      <c r="H330" s="72" t="s">
        <v>887</v>
      </c>
      <c r="I330" s="88"/>
      <c r="J330" s="88"/>
      <c r="K330" s="170"/>
      <c r="L330" s="168"/>
      <c r="M330" s="170"/>
      <c r="N330" s="170"/>
      <c r="O330" s="170"/>
      <c r="P330" s="88" t="s">
        <v>1602</v>
      </c>
    </row>
    <row r="331" spans="1:16" x14ac:dyDescent="0.25">
      <c r="A331" s="5">
        <v>135</v>
      </c>
      <c r="B331" s="60">
        <v>101917347</v>
      </c>
      <c r="C331" s="131" t="s">
        <v>1114</v>
      </c>
      <c r="D331" s="61" t="str">
        <f t="shared" si="10"/>
        <v>101917347/0036027290</v>
      </c>
      <c r="E331" s="69" t="s">
        <v>1115</v>
      </c>
      <c r="F331" s="57" t="s">
        <v>381</v>
      </c>
      <c r="G331" s="88"/>
      <c r="H331" s="72" t="s">
        <v>870</v>
      </c>
      <c r="I331" s="88"/>
      <c r="J331" s="88"/>
      <c r="K331" s="170"/>
      <c r="L331" s="168"/>
      <c r="M331" s="170"/>
      <c r="N331" s="170"/>
      <c r="O331" s="170"/>
      <c r="P331" s="88" t="s">
        <v>1602</v>
      </c>
    </row>
    <row r="332" spans="1:16" x14ac:dyDescent="0.25">
      <c r="A332" s="5">
        <v>136</v>
      </c>
      <c r="B332" s="60">
        <v>101917381</v>
      </c>
      <c r="C332" s="108" t="s">
        <v>1116</v>
      </c>
      <c r="D332" s="61" t="str">
        <f t="shared" si="10"/>
        <v>101917381/0042616398</v>
      </c>
      <c r="E332" s="107" t="s">
        <v>1117</v>
      </c>
      <c r="F332" s="74" t="s">
        <v>379</v>
      </c>
      <c r="G332" s="88"/>
      <c r="H332" s="72" t="s">
        <v>878</v>
      </c>
      <c r="I332" s="88"/>
      <c r="J332" s="88"/>
      <c r="K332" s="170"/>
      <c r="L332" s="168"/>
      <c r="M332" s="170"/>
      <c r="N332" s="170"/>
      <c r="O332" s="170"/>
      <c r="P332" s="88" t="s">
        <v>444</v>
      </c>
    </row>
    <row r="333" spans="1:16" x14ac:dyDescent="0.25">
      <c r="A333" s="5">
        <v>137</v>
      </c>
      <c r="B333" s="60">
        <v>101917311</v>
      </c>
      <c r="C333" s="131" t="s">
        <v>1118</v>
      </c>
      <c r="D333" s="61" t="str">
        <f t="shared" si="10"/>
        <v>101917311/0039811365</v>
      </c>
      <c r="E333" s="69" t="s">
        <v>1119</v>
      </c>
      <c r="F333" s="57" t="s">
        <v>379</v>
      </c>
      <c r="G333" s="88"/>
      <c r="H333" s="72" t="s">
        <v>887</v>
      </c>
      <c r="I333" s="88"/>
      <c r="J333" s="88"/>
      <c r="K333" s="170"/>
      <c r="L333" s="168"/>
      <c r="M333" s="170"/>
      <c r="N333" s="170"/>
      <c r="O333" s="170"/>
      <c r="P333" s="88" t="s">
        <v>1602</v>
      </c>
    </row>
    <row r="334" spans="1:16" x14ac:dyDescent="0.25">
      <c r="A334" s="5">
        <v>138</v>
      </c>
      <c r="B334" s="60">
        <v>101917203</v>
      </c>
      <c r="C334" s="131" t="s">
        <v>1120</v>
      </c>
      <c r="D334" s="61" t="str">
        <f t="shared" si="10"/>
        <v>101917203/0048595483</v>
      </c>
      <c r="E334" s="69" t="s">
        <v>1121</v>
      </c>
      <c r="F334" s="57" t="s">
        <v>381</v>
      </c>
      <c r="G334" s="88"/>
      <c r="H334" s="72" t="s">
        <v>840</v>
      </c>
      <c r="I334" s="88"/>
      <c r="J334" s="88"/>
      <c r="K334" s="170"/>
      <c r="L334" s="168"/>
      <c r="M334" s="170"/>
      <c r="N334" s="170"/>
      <c r="O334" s="170"/>
      <c r="P334" s="88" t="s">
        <v>1602</v>
      </c>
    </row>
    <row r="335" spans="1:16" x14ac:dyDescent="0.25">
      <c r="A335" s="5">
        <v>139</v>
      </c>
      <c r="B335" s="60">
        <v>101917278</v>
      </c>
      <c r="C335" s="131" t="s">
        <v>1122</v>
      </c>
      <c r="D335" s="61" t="str">
        <f t="shared" si="10"/>
        <v>101917278/0037194368</v>
      </c>
      <c r="E335" s="69" t="s">
        <v>1123</v>
      </c>
      <c r="F335" s="57" t="s">
        <v>381</v>
      </c>
      <c r="G335" s="88"/>
      <c r="H335" s="72" t="s">
        <v>851</v>
      </c>
      <c r="I335" s="88"/>
      <c r="J335" s="88"/>
      <c r="K335" s="170"/>
      <c r="L335" s="168"/>
      <c r="M335" s="170"/>
      <c r="N335" s="170"/>
      <c r="O335" s="170"/>
      <c r="P335" s="88" t="s">
        <v>1602</v>
      </c>
    </row>
    <row r="336" spans="1:16" x14ac:dyDescent="0.25">
      <c r="A336" s="5">
        <v>140</v>
      </c>
      <c r="B336" s="60">
        <v>101917204</v>
      </c>
      <c r="C336" s="131" t="s">
        <v>1124</v>
      </c>
      <c r="D336" s="61" t="str">
        <f t="shared" si="10"/>
        <v>101917204/0035936808</v>
      </c>
      <c r="E336" s="69" t="s">
        <v>1125</v>
      </c>
      <c r="F336" s="57" t="s">
        <v>381</v>
      </c>
      <c r="G336" s="88"/>
      <c r="H336" s="72" t="s">
        <v>840</v>
      </c>
      <c r="I336" s="88"/>
      <c r="J336" s="88"/>
      <c r="K336" s="170"/>
      <c r="L336" s="168"/>
      <c r="M336" s="170"/>
      <c r="N336" s="170"/>
      <c r="O336" s="170"/>
      <c r="P336" s="88" t="s">
        <v>1602</v>
      </c>
    </row>
    <row r="337" spans="1:16" x14ac:dyDescent="0.25">
      <c r="A337" s="5">
        <v>141</v>
      </c>
      <c r="B337" s="60">
        <v>101917205</v>
      </c>
      <c r="C337" s="131" t="s">
        <v>1126</v>
      </c>
      <c r="D337" s="61" t="str">
        <f t="shared" si="10"/>
        <v>101917205/0040795144</v>
      </c>
      <c r="E337" s="69" t="s">
        <v>1127</v>
      </c>
      <c r="F337" s="57" t="s">
        <v>379</v>
      </c>
      <c r="G337" s="88"/>
      <c r="H337" s="72" t="s">
        <v>840</v>
      </c>
      <c r="I337" s="88"/>
      <c r="J337" s="88"/>
      <c r="K337" s="170"/>
      <c r="L337" s="168"/>
      <c r="M337" s="170"/>
      <c r="N337" s="170"/>
      <c r="O337" s="170"/>
      <c r="P337" s="88" t="s">
        <v>1602</v>
      </c>
    </row>
    <row r="338" spans="1:16" x14ac:dyDescent="0.25">
      <c r="A338" s="5">
        <v>142</v>
      </c>
      <c r="B338" s="60">
        <v>101917312</v>
      </c>
      <c r="C338" s="131" t="s">
        <v>1128</v>
      </c>
      <c r="D338" s="61" t="str">
        <f t="shared" si="10"/>
        <v>101917312/0045432494</v>
      </c>
      <c r="E338" s="69" t="s">
        <v>1129</v>
      </c>
      <c r="F338" s="57" t="s">
        <v>379</v>
      </c>
      <c r="G338" s="88"/>
      <c r="H338" s="72" t="s">
        <v>887</v>
      </c>
      <c r="I338" s="88"/>
      <c r="J338" s="88"/>
      <c r="K338" s="170"/>
      <c r="L338" s="168"/>
      <c r="M338" s="170"/>
      <c r="N338" s="170"/>
      <c r="O338" s="170"/>
      <c r="P338" s="88" t="s">
        <v>1602</v>
      </c>
    </row>
    <row r="339" spans="1:16" x14ac:dyDescent="0.25">
      <c r="A339" s="5">
        <v>143</v>
      </c>
      <c r="B339" s="60">
        <v>101917243</v>
      </c>
      <c r="C339" s="131" t="s">
        <v>1130</v>
      </c>
      <c r="D339" s="61" t="str">
        <f t="shared" si="10"/>
        <v>101917243/0044578332</v>
      </c>
      <c r="E339" s="69" t="s">
        <v>1131</v>
      </c>
      <c r="F339" s="57" t="s">
        <v>379</v>
      </c>
      <c r="G339" s="88"/>
      <c r="H339" s="72" t="s">
        <v>875</v>
      </c>
      <c r="I339" s="88"/>
      <c r="J339" s="88"/>
      <c r="K339" s="170"/>
      <c r="L339" s="168"/>
      <c r="M339" s="170"/>
      <c r="N339" s="170"/>
      <c r="O339" s="170"/>
      <c r="P339" s="88" t="s">
        <v>1602</v>
      </c>
    </row>
    <row r="340" spans="1:16" x14ac:dyDescent="0.25">
      <c r="A340" s="5">
        <v>144</v>
      </c>
      <c r="B340" s="60">
        <v>101917206</v>
      </c>
      <c r="C340" s="131" t="s">
        <v>1132</v>
      </c>
      <c r="D340" s="61" t="str">
        <f t="shared" si="10"/>
        <v>101917206/004746126</v>
      </c>
      <c r="E340" s="69" t="s">
        <v>1133</v>
      </c>
      <c r="F340" s="57" t="s">
        <v>381</v>
      </c>
      <c r="G340" s="88"/>
      <c r="H340" s="72" t="s">
        <v>840</v>
      </c>
      <c r="I340" s="88"/>
      <c r="J340" s="88"/>
      <c r="K340" s="170"/>
      <c r="L340" s="168"/>
      <c r="M340" s="170"/>
      <c r="N340" s="170"/>
      <c r="O340" s="170"/>
      <c r="P340" s="88" t="s">
        <v>1602</v>
      </c>
    </row>
    <row r="341" spans="1:16" x14ac:dyDescent="0.25">
      <c r="A341" s="5">
        <v>145</v>
      </c>
      <c r="B341" s="60">
        <v>101917313</v>
      </c>
      <c r="C341" s="131" t="s">
        <v>1134</v>
      </c>
      <c r="D341" s="61" t="str">
        <f t="shared" si="10"/>
        <v>101917313/0041580217</v>
      </c>
      <c r="E341" s="69" t="s">
        <v>1135</v>
      </c>
      <c r="F341" s="57" t="s">
        <v>381</v>
      </c>
      <c r="G341" s="88"/>
      <c r="H341" s="72" t="s">
        <v>887</v>
      </c>
      <c r="I341" s="88"/>
      <c r="J341" s="88"/>
      <c r="K341" s="170"/>
      <c r="L341" s="168"/>
      <c r="M341" s="170"/>
      <c r="N341" s="170"/>
      <c r="O341" s="170"/>
      <c r="P341" s="88" t="s">
        <v>1602</v>
      </c>
    </row>
    <row r="342" spans="1:16" x14ac:dyDescent="0.25">
      <c r="A342" s="5">
        <v>146</v>
      </c>
      <c r="B342" s="60">
        <v>101917426</v>
      </c>
      <c r="C342" s="71" t="s">
        <v>1136</v>
      </c>
      <c r="D342" s="61" t="str">
        <f t="shared" si="10"/>
        <v>101917426/0042655772</v>
      </c>
      <c r="E342" s="106" t="s">
        <v>1137</v>
      </c>
      <c r="F342" s="57" t="s">
        <v>379</v>
      </c>
      <c r="G342" s="88"/>
      <c r="H342" s="72" t="s">
        <v>854</v>
      </c>
      <c r="I342" s="88"/>
      <c r="J342" s="88"/>
      <c r="K342" s="170"/>
      <c r="L342" s="168"/>
      <c r="M342" s="170"/>
      <c r="N342" s="170"/>
      <c r="O342" s="170"/>
      <c r="P342" s="88" t="s">
        <v>444</v>
      </c>
    </row>
    <row r="343" spans="1:16" x14ac:dyDescent="0.25">
      <c r="A343" s="5">
        <v>147</v>
      </c>
      <c r="B343" s="60">
        <v>101917458</v>
      </c>
      <c r="C343" s="65" t="s">
        <v>1138</v>
      </c>
      <c r="D343" s="61" t="str">
        <f t="shared" si="10"/>
        <v>101917458/0042616143</v>
      </c>
      <c r="E343" s="105" t="s">
        <v>1139</v>
      </c>
      <c r="F343" s="57" t="s">
        <v>379</v>
      </c>
      <c r="G343" s="88"/>
      <c r="H343" s="72" t="s">
        <v>843</v>
      </c>
      <c r="I343" s="88"/>
      <c r="J343" s="88"/>
      <c r="K343" s="170"/>
      <c r="L343" s="168"/>
      <c r="M343" s="170"/>
      <c r="N343" s="170"/>
      <c r="O343" s="170"/>
      <c r="P343" s="88" t="s">
        <v>444</v>
      </c>
    </row>
    <row r="344" spans="1:16" x14ac:dyDescent="0.25">
      <c r="A344" s="5">
        <v>148</v>
      </c>
      <c r="B344" s="60">
        <v>101917348</v>
      </c>
      <c r="C344" s="131" t="s">
        <v>1140</v>
      </c>
      <c r="D344" s="61" t="str">
        <f t="shared" si="10"/>
        <v>101917348/0032304284</v>
      </c>
      <c r="E344" s="69" t="s">
        <v>1141</v>
      </c>
      <c r="F344" s="57" t="s">
        <v>379</v>
      </c>
      <c r="G344" s="88"/>
      <c r="H344" s="72" t="s">
        <v>870</v>
      </c>
      <c r="I344" s="88"/>
      <c r="J344" s="88"/>
      <c r="K344" s="170"/>
      <c r="L344" s="168"/>
      <c r="M344" s="170"/>
      <c r="N344" s="170"/>
      <c r="O344" s="170"/>
      <c r="P344" s="88" t="s">
        <v>1602</v>
      </c>
    </row>
    <row r="345" spans="1:16" x14ac:dyDescent="0.25">
      <c r="A345" s="5">
        <v>149</v>
      </c>
      <c r="B345" s="60">
        <v>101917314</v>
      </c>
      <c r="C345" s="131" t="s">
        <v>1142</v>
      </c>
      <c r="D345" s="61" t="str">
        <f t="shared" si="10"/>
        <v>101917314/0038079490</v>
      </c>
      <c r="E345" s="69" t="s">
        <v>1143</v>
      </c>
      <c r="F345" s="57" t="s">
        <v>379</v>
      </c>
      <c r="G345" s="88"/>
      <c r="H345" s="72" t="s">
        <v>887</v>
      </c>
      <c r="I345" s="88"/>
      <c r="J345" s="88"/>
      <c r="K345" s="170"/>
      <c r="L345" s="168"/>
      <c r="M345" s="170"/>
      <c r="N345" s="170"/>
      <c r="O345" s="170"/>
      <c r="P345" s="88" t="s">
        <v>1602</v>
      </c>
    </row>
    <row r="346" spans="1:16" x14ac:dyDescent="0.25">
      <c r="A346" s="5">
        <v>150</v>
      </c>
      <c r="B346" s="60">
        <v>101917349</v>
      </c>
      <c r="C346" s="131" t="s">
        <v>1144</v>
      </c>
      <c r="D346" s="61" t="str">
        <f t="shared" si="10"/>
        <v>101917349/0043350777</v>
      </c>
      <c r="E346" s="69" t="s">
        <v>1145</v>
      </c>
      <c r="F346" s="57" t="s">
        <v>379</v>
      </c>
      <c r="G346" s="88"/>
      <c r="H346" s="72" t="s">
        <v>870</v>
      </c>
      <c r="I346" s="88"/>
      <c r="J346" s="88"/>
      <c r="K346" s="170"/>
      <c r="L346" s="168"/>
      <c r="M346" s="170"/>
      <c r="N346" s="170"/>
      <c r="O346" s="170"/>
      <c r="P346" s="88" t="s">
        <v>1602</v>
      </c>
    </row>
    <row r="347" spans="1:16" x14ac:dyDescent="0.25">
      <c r="A347" s="5">
        <v>151</v>
      </c>
      <c r="B347" s="60">
        <v>101917427</v>
      </c>
      <c r="C347" s="71" t="s">
        <v>1146</v>
      </c>
      <c r="D347" s="61" t="str">
        <f t="shared" si="10"/>
        <v>101917427/0043176620</v>
      </c>
      <c r="E347" s="106" t="s">
        <v>1147</v>
      </c>
      <c r="F347" s="57" t="s">
        <v>381</v>
      </c>
      <c r="G347" s="88"/>
      <c r="H347" s="72" t="s">
        <v>854</v>
      </c>
      <c r="I347" s="88"/>
      <c r="J347" s="88"/>
      <c r="K347" s="170"/>
      <c r="L347" s="168"/>
      <c r="M347" s="170"/>
      <c r="N347" s="170"/>
      <c r="O347" s="170"/>
      <c r="P347" s="88" t="s">
        <v>1148</v>
      </c>
    </row>
    <row r="348" spans="1:16" x14ac:dyDescent="0.25">
      <c r="A348" s="5">
        <v>152</v>
      </c>
      <c r="B348" s="60">
        <v>101917459</v>
      </c>
      <c r="C348" s="65" t="s">
        <v>1149</v>
      </c>
      <c r="D348" s="61" t="str">
        <f t="shared" si="10"/>
        <v>101917459/0007982652</v>
      </c>
      <c r="E348" s="105" t="s">
        <v>1150</v>
      </c>
      <c r="F348" s="57" t="s">
        <v>379</v>
      </c>
      <c r="G348" s="88"/>
      <c r="H348" s="72" t="s">
        <v>843</v>
      </c>
      <c r="I348" s="88"/>
      <c r="J348" s="88"/>
      <c r="K348" s="170"/>
      <c r="L348" s="168"/>
      <c r="M348" s="170"/>
      <c r="N348" s="170"/>
      <c r="O348" s="170"/>
      <c r="P348" s="88" t="s">
        <v>444</v>
      </c>
    </row>
    <row r="349" spans="1:16" x14ac:dyDescent="0.25">
      <c r="A349" s="5">
        <v>153</v>
      </c>
      <c r="B349" s="60">
        <v>101917279</v>
      </c>
      <c r="C349" s="131" t="s">
        <v>1151</v>
      </c>
      <c r="D349" s="61" t="str">
        <f t="shared" si="10"/>
        <v>101917279/0037214808</v>
      </c>
      <c r="E349" s="69" t="s">
        <v>1152</v>
      </c>
      <c r="F349" s="57" t="s">
        <v>379</v>
      </c>
      <c r="G349" s="88"/>
      <c r="H349" s="72" t="s">
        <v>851</v>
      </c>
      <c r="I349" s="88"/>
      <c r="J349" s="88"/>
      <c r="K349" s="170"/>
      <c r="L349" s="168"/>
      <c r="M349" s="170"/>
      <c r="N349" s="170"/>
      <c r="O349" s="170"/>
      <c r="P349" s="88" t="s">
        <v>1602</v>
      </c>
    </row>
    <row r="350" spans="1:16" x14ac:dyDescent="0.25">
      <c r="A350" s="5">
        <v>154</v>
      </c>
      <c r="B350" s="60">
        <v>101917460</v>
      </c>
      <c r="C350" s="65" t="s">
        <v>1153</v>
      </c>
      <c r="D350" s="61" t="str">
        <f t="shared" si="10"/>
        <v>101917460/0041900328</v>
      </c>
      <c r="E350" s="105" t="s">
        <v>1154</v>
      </c>
      <c r="F350" s="57" t="s">
        <v>379</v>
      </c>
      <c r="G350" s="88"/>
      <c r="H350" s="72" t="s">
        <v>843</v>
      </c>
      <c r="I350" s="88"/>
      <c r="J350" s="88"/>
      <c r="K350" s="170"/>
      <c r="L350" s="168"/>
      <c r="M350" s="170"/>
      <c r="N350" s="170"/>
      <c r="O350" s="170"/>
      <c r="P350" s="88" t="s">
        <v>444</v>
      </c>
    </row>
    <row r="351" spans="1:16" x14ac:dyDescent="0.25">
      <c r="A351" s="5">
        <v>155</v>
      </c>
      <c r="B351" s="60">
        <v>101917382</v>
      </c>
      <c r="C351" s="108" t="s">
        <v>1155</v>
      </c>
      <c r="D351" s="61" t="str">
        <f t="shared" si="10"/>
        <v>101917382/0045527060</v>
      </c>
      <c r="E351" s="107" t="s">
        <v>1156</v>
      </c>
      <c r="F351" s="74" t="s">
        <v>379</v>
      </c>
      <c r="G351" s="88"/>
      <c r="H351" s="72" t="s">
        <v>878</v>
      </c>
      <c r="I351" s="88"/>
      <c r="J351" s="88"/>
      <c r="K351" s="170"/>
      <c r="L351" s="168"/>
      <c r="M351" s="170"/>
      <c r="N351" s="170"/>
      <c r="O351" s="170"/>
      <c r="P351" s="88" t="s">
        <v>444</v>
      </c>
    </row>
    <row r="352" spans="1:16" x14ac:dyDescent="0.25">
      <c r="A352" s="5">
        <v>156</v>
      </c>
      <c r="B352" s="60">
        <v>101917280</v>
      </c>
      <c r="C352" s="131" t="s">
        <v>1157</v>
      </c>
      <c r="D352" s="61" t="str">
        <f t="shared" si="10"/>
        <v>101917280/0036835770</v>
      </c>
      <c r="E352" s="69" t="s">
        <v>1158</v>
      </c>
      <c r="F352" s="57" t="s">
        <v>381</v>
      </c>
      <c r="G352" s="88"/>
      <c r="H352" s="72" t="s">
        <v>851</v>
      </c>
      <c r="I352" s="88"/>
      <c r="J352" s="88"/>
      <c r="K352" s="170"/>
      <c r="L352" s="168"/>
      <c r="M352" s="170"/>
      <c r="N352" s="170"/>
      <c r="O352" s="170"/>
      <c r="P352" s="88" t="s">
        <v>1602</v>
      </c>
    </row>
    <row r="353" spans="1:16" x14ac:dyDescent="0.25">
      <c r="A353" s="5">
        <v>157</v>
      </c>
      <c r="B353" s="60">
        <v>101917244</v>
      </c>
      <c r="C353" s="131" t="s">
        <v>1159</v>
      </c>
      <c r="D353" s="61" t="str">
        <f t="shared" si="10"/>
        <v>101917244/0042355703</v>
      </c>
      <c r="E353" s="69" t="s">
        <v>1160</v>
      </c>
      <c r="F353" s="57" t="s">
        <v>381</v>
      </c>
      <c r="G353" s="88"/>
      <c r="H353" s="72" t="s">
        <v>875</v>
      </c>
      <c r="I353" s="88"/>
      <c r="J353" s="88"/>
      <c r="K353" s="170"/>
      <c r="L353" s="168"/>
      <c r="M353" s="170"/>
      <c r="N353" s="170"/>
      <c r="O353" s="170"/>
      <c r="P353" s="88" t="s">
        <v>1602</v>
      </c>
    </row>
    <row r="354" spans="1:16" x14ac:dyDescent="0.25">
      <c r="A354" s="5">
        <v>158</v>
      </c>
      <c r="B354" s="60">
        <v>101917207</v>
      </c>
      <c r="C354" s="131" t="s">
        <v>1161</v>
      </c>
      <c r="D354" s="61" t="str">
        <f t="shared" si="10"/>
        <v>101917207/0049658920</v>
      </c>
      <c r="E354" s="69" t="s">
        <v>1162</v>
      </c>
      <c r="F354" s="57" t="s">
        <v>381</v>
      </c>
      <c r="G354" s="88"/>
      <c r="H354" s="72" t="s">
        <v>840</v>
      </c>
      <c r="I354" s="88"/>
      <c r="J354" s="88"/>
      <c r="K354" s="170"/>
      <c r="L354" s="168"/>
      <c r="M354" s="170"/>
      <c r="N354" s="170"/>
      <c r="O354" s="170"/>
      <c r="P354" s="88" t="s">
        <v>1602</v>
      </c>
    </row>
    <row r="355" spans="1:16" x14ac:dyDescent="0.25">
      <c r="A355" s="5">
        <v>159</v>
      </c>
      <c r="B355" s="60">
        <v>101917173</v>
      </c>
      <c r="C355" s="131" t="s">
        <v>1163</v>
      </c>
      <c r="D355" s="61" t="str">
        <f t="shared" si="10"/>
        <v>101917173/0036892954</v>
      </c>
      <c r="E355" s="69" t="s">
        <v>1164</v>
      </c>
      <c r="F355" s="57" t="s">
        <v>379</v>
      </c>
      <c r="G355" s="88"/>
      <c r="H355" s="72" t="s">
        <v>837</v>
      </c>
      <c r="I355" s="88"/>
      <c r="J355" s="88"/>
      <c r="K355" s="170"/>
      <c r="L355" s="168"/>
      <c r="M355" s="170"/>
      <c r="N355" s="170"/>
      <c r="O355" s="170"/>
      <c r="P355" s="88" t="s">
        <v>1602</v>
      </c>
    </row>
    <row r="356" spans="1:16" x14ac:dyDescent="0.25">
      <c r="A356" s="5">
        <v>160</v>
      </c>
      <c r="B356" s="60">
        <v>101917174</v>
      </c>
      <c r="C356" s="131" t="s">
        <v>1165</v>
      </c>
      <c r="D356" s="61" t="str">
        <f t="shared" si="10"/>
        <v>101917174/0041056812</v>
      </c>
      <c r="E356" s="69" t="s">
        <v>1166</v>
      </c>
      <c r="F356" s="57" t="s">
        <v>379</v>
      </c>
      <c r="G356" s="88"/>
      <c r="H356" s="72" t="s">
        <v>837</v>
      </c>
      <c r="I356" s="88"/>
      <c r="J356" s="88"/>
      <c r="K356" s="170"/>
      <c r="L356" s="168"/>
      <c r="M356" s="170"/>
      <c r="N356" s="170"/>
      <c r="O356" s="170"/>
      <c r="P356" s="88" t="s">
        <v>1602</v>
      </c>
    </row>
    <row r="357" spans="1:16" x14ac:dyDescent="0.25">
      <c r="A357" s="5">
        <v>161</v>
      </c>
      <c r="B357" s="60">
        <v>102017948</v>
      </c>
      <c r="C357" s="133" t="s">
        <v>1167</v>
      </c>
      <c r="D357" s="61" t="str">
        <f t="shared" si="10"/>
        <v>102017948/0048721794</v>
      </c>
      <c r="E357" s="105" t="s">
        <v>1168</v>
      </c>
      <c r="F357" s="57" t="s">
        <v>379</v>
      </c>
      <c r="G357" s="88"/>
      <c r="H357" s="72" t="s">
        <v>843</v>
      </c>
      <c r="I357" s="88"/>
      <c r="J357" s="88"/>
      <c r="K357" s="170"/>
      <c r="L357" s="168"/>
      <c r="M357" s="170"/>
      <c r="N357" s="170"/>
      <c r="O357" s="170"/>
      <c r="P357" s="88" t="s">
        <v>444</v>
      </c>
    </row>
    <row r="358" spans="1:16" x14ac:dyDescent="0.25">
      <c r="A358" s="5">
        <v>162</v>
      </c>
      <c r="B358" s="60">
        <v>101917245</v>
      </c>
      <c r="C358" s="131" t="s">
        <v>1169</v>
      </c>
      <c r="D358" s="61" t="str">
        <f t="shared" si="10"/>
        <v>101917245/0042250933</v>
      </c>
      <c r="E358" s="69" t="s">
        <v>1170</v>
      </c>
      <c r="F358" s="57" t="s">
        <v>379</v>
      </c>
      <c r="G358" s="88"/>
      <c r="H358" s="72" t="s">
        <v>875</v>
      </c>
      <c r="I358" s="88"/>
      <c r="J358" s="88"/>
      <c r="K358" s="170"/>
      <c r="L358" s="168"/>
      <c r="M358" s="170"/>
      <c r="N358" s="170"/>
      <c r="O358" s="170"/>
      <c r="P358" s="88" t="s">
        <v>1602</v>
      </c>
    </row>
    <row r="359" spans="1:16" x14ac:dyDescent="0.25">
      <c r="A359" s="5">
        <v>163</v>
      </c>
      <c r="B359" s="60">
        <v>101917316</v>
      </c>
      <c r="C359" s="131" t="s">
        <v>1171</v>
      </c>
      <c r="D359" s="61" t="str">
        <f t="shared" si="10"/>
        <v>101917316/0037757525</v>
      </c>
      <c r="E359" s="69" t="s">
        <v>1172</v>
      </c>
      <c r="F359" s="57" t="s">
        <v>381</v>
      </c>
      <c r="G359" s="88"/>
      <c r="H359" s="72" t="s">
        <v>887</v>
      </c>
      <c r="I359" s="88"/>
      <c r="J359" s="88"/>
      <c r="K359" s="170"/>
      <c r="L359" s="168"/>
      <c r="M359" s="170"/>
      <c r="N359" s="170"/>
      <c r="O359" s="170"/>
      <c r="P359" s="88" t="s">
        <v>1602</v>
      </c>
    </row>
    <row r="360" spans="1:16" x14ac:dyDescent="0.25">
      <c r="A360" s="5">
        <v>164</v>
      </c>
      <c r="B360" s="60">
        <v>101917350</v>
      </c>
      <c r="C360" s="131" t="s">
        <v>1173</v>
      </c>
      <c r="D360" s="61" t="str">
        <f t="shared" si="10"/>
        <v>101917350/0042196748</v>
      </c>
      <c r="E360" s="69" t="s">
        <v>1174</v>
      </c>
      <c r="F360" s="57" t="s">
        <v>379</v>
      </c>
      <c r="G360" s="88"/>
      <c r="H360" s="72" t="s">
        <v>870</v>
      </c>
      <c r="I360" s="88"/>
      <c r="J360" s="88"/>
      <c r="K360" s="170"/>
      <c r="L360" s="168"/>
      <c r="M360" s="170"/>
      <c r="N360" s="170"/>
      <c r="O360" s="170"/>
      <c r="P360" s="88" t="s">
        <v>1602</v>
      </c>
    </row>
    <row r="361" spans="1:16" x14ac:dyDescent="0.25">
      <c r="A361" s="5">
        <v>165</v>
      </c>
      <c r="B361" s="60">
        <v>101917491</v>
      </c>
      <c r="C361" s="65" t="s">
        <v>1175</v>
      </c>
      <c r="D361" s="61" t="str">
        <f t="shared" si="10"/>
        <v>101917491/0037172862</v>
      </c>
      <c r="E361" s="94" t="s">
        <v>1176</v>
      </c>
      <c r="F361" s="57" t="s">
        <v>379</v>
      </c>
      <c r="G361" s="88"/>
      <c r="H361" s="72" t="s">
        <v>846</v>
      </c>
      <c r="I361" s="88"/>
      <c r="J361" s="88"/>
      <c r="K361" s="170"/>
      <c r="L361" s="168"/>
      <c r="M361" s="170"/>
      <c r="N361" s="170"/>
      <c r="O361" s="170"/>
      <c r="P361" s="88" t="s">
        <v>444</v>
      </c>
    </row>
    <row r="362" spans="1:16" x14ac:dyDescent="0.25">
      <c r="A362" s="5">
        <v>166</v>
      </c>
      <c r="B362" s="60">
        <v>101917492</v>
      </c>
      <c r="C362" s="133" t="s">
        <v>1177</v>
      </c>
      <c r="D362" s="61" t="str">
        <f t="shared" si="10"/>
        <v>101917492/0049432518</v>
      </c>
      <c r="E362" s="94" t="s">
        <v>1178</v>
      </c>
      <c r="F362" s="57" t="s">
        <v>381</v>
      </c>
      <c r="G362" s="88"/>
      <c r="H362" s="72" t="s">
        <v>846</v>
      </c>
      <c r="I362" s="88"/>
      <c r="J362" s="88"/>
      <c r="K362" s="170"/>
      <c r="L362" s="168"/>
      <c r="M362" s="170"/>
      <c r="N362" s="170"/>
      <c r="O362" s="170"/>
      <c r="P362" s="88" t="s">
        <v>444</v>
      </c>
    </row>
    <row r="363" spans="1:16" x14ac:dyDescent="0.25">
      <c r="A363" s="5">
        <v>167</v>
      </c>
      <c r="B363" s="60">
        <v>101917524</v>
      </c>
      <c r="C363" s="132" t="s">
        <v>1179</v>
      </c>
      <c r="D363" s="61" t="str">
        <f t="shared" si="10"/>
        <v>101917524/0046347889</v>
      </c>
      <c r="E363" s="107" t="s">
        <v>1180</v>
      </c>
      <c r="F363" s="57" t="s">
        <v>379</v>
      </c>
      <c r="G363" s="88"/>
      <c r="H363" s="72" t="s">
        <v>863</v>
      </c>
      <c r="I363" s="88"/>
      <c r="J363" s="88"/>
      <c r="K363" s="170"/>
      <c r="L363" s="168"/>
      <c r="M363" s="170"/>
      <c r="N363" s="170"/>
      <c r="O363" s="170"/>
      <c r="P363" s="88" t="s">
        <v>444</v>
      </c>
    </row>
    <row r="364" spans="1:16" x14ac:dyDescent="0.25">
      <c r="A364" s="5">
        <v>168</v>
      </c>
      <c r="B364" s="60">
        <v>101917525</v>
      </c>
      <c r="C364" s="71" t="s">
        <v>1181</v>
      </c>
      <c r="D364" s="61" t="str">
        <f t="shared" si="10"/>
        <v>101917525/0043371600</v>
      </c>
      <c r="E364" s="107" t="s">
        <v>1182</v>
      </c>
      <c r="F364" s="57" t="s">
        <v>379</v>
      </c>
      <c r="G364" s="88"/>
      <c r="H364" s="72" t="s">
        <v>863</v>
      </c>
      <c r="I364" s="88"/>
      <c r="J364" s="88"/>
      <c r="K364" s="170"/>
      <c r="L364" s="168"/>
      <c r="M364" s="170"/>
      <c r="N364" s="170"/>
      <c r="O364" s="170"/>
      <c r="P364" s="88" t="s">
        <v>444</v>
      </c>
    </row>
    <row r="365" spans="1:16" x14ac:dyDescent="0.25">
      <c r="A365" s="5">
        <v>169</v>
      </c>
      <c r="B365" s="60">
        <v>101917383</v>
      </c>
      <c r="C365" s="108" t="s">
        <v>1183</v>
      </c>
      <c r="D365" s="61" t="str">
        <f t="shared" si="10"/>
        <v>101917383/0036322793</v>
      </c>
      <c r="E365" s="107" t="s">
        <v>1184</v>
      </c>
      <c r="F365" s="74" t="s">
        <v>379</v>
      </c>
      <c r="G365" s="88"/>
      <c r="H365" s="72" t="s">
        <v>878</v>
      </c>
      <c r="I365" s="88"/>
      <c r="J365" s="88"/>
      <c r="K365" s="170"/>
      <c r="L365" s="168"/>
      <c r="M365" s="170"/>
      <c r="N365" s="170"/>
      <c r="O365" s="170"/>
      <c r="P365" s="88" t="s">
        <v>444</v>
      </c>
    </row>
    <row r="366" spans="1:16" x14ac:dyDescent="0.25">
      <c r="A366" s="5">
        <v>170</v>
      </c>
      <c r="B366" s="60">
        <v>101917351</v>
      </c>
      <c r="C366" s="131" t="s">
        <v>1185</v>
      </c>
      <c r="D366" s="61" t="str">
        <f t="shared" si="10"/>
        <v>101917351/0043053888</v>
      </c>
      <c r="E366" s="69" t="s">
        <v>1186</v>
      </c>
      <c r="F366" s="57" t="s">
        <v>381</v>
      </c>
      <c r="G366" s="88"/>
      <c r="H366" s="72" t="s">
        <v>870</v>
      </c>
      <c r="I366" s="88"/>
      <c r="J366" s="88"/>
      <c r="K366" s="170"/>
      <c r="L366" s="168"/>
      <c r="M366" s="170"/>
      <c r="N366" s="170"/>
      <c r="O366" s="170"/>
      <c r="P366" s="88" t="s">
        <v>1602</v>
      </c>
    </row>
    <row r="367" spans="1:16" x14ac:dyDescent="0.25">
      <c r="A367" s="5">
        <v>171</v>
      </c>
      <c r="B367" s="60">
        <v>101917428</v>
      </c>
      <c r="C367" s="71" t="s">
        <v>1187</v>
      </c>
      <c r="D367" s="61" t="str">
        <f t="shared" si="10"/>
        <v>101917428/0039020936</v>
      </c>
      <c r="E367" s="106" t="s">
        <v>1188</v>
      </c>
      <c r="F367" s="57" t="s">
        <v>381</v>
      </c>
      <c r="G367" s="88"/>
      <c r="H367" s="72" t="s">
        <v>854</v>
      </c>
      <c r="I367" s="88"/>
      <c r="J367" s="88"/>
      <c r="K367" s="170"/>
      <c r="L367" s="168"/>
      <c r="M367" s="170"/>
      <c r="N367" s="170"/>
      <c r="O367" s="170"/>
      <c r="P367" s="88" t="s">
        <v>444</v>
      </c>
    </row>
    <row r="368" spans="1:16" x14ac:dyDescent="0.25">
      <c r="A368" s="5">
        <v>172</v>
      </c>
      <c r="B368" s="60">
        <v>101917208</v>
      </c>
      <c r="C368" s="131" t="s">
        <v>1189</v>
      </c>
      <c r="D368" s="61" t="str">
        <f t="shared" si="10"/>
        <v>101917208/0043395129</v>
      </c>
      <c r="E368" s="69" t="s">
        <v>1190</v>
      </c>
      <c r="F368" s="57" t="s">
        <v>381</v>
      </c>
      <c r="G368" s="88"/>
      <c r="H368" s="72" t="s">
        <v>840</v>
      </c>
      <c r="I368" s="88"/>
      <c r="J368" s="88"/>
      <c r="K368" s="170"/>
      <c r="L368" s="168"/>
      <c r="M368" s="170"/>
      <c r="N368" s="170"/>
      <c r="O368" s="170"/>
      <c r="P368" s="88" t="s">
        <v>1602</v>
      </c>
    </row>
    <row r="369" spans="1:16" x14ac:dyDescent="0.25">
      <c r="A369" s="5">
        <v>173</v>
      </c>
      <c r="B369" s="60">
        <v>101917281</v>
      </c>
      <c r="C369" s="131" t="s">
        <v>1191</v>
      </c>
      <c r="D369" s="61" t="str">
        <f t="shared" si="10"/>
        <v>101917281/0034453536</v>
      </c>
      <c r="E369" s="69" t="s">
        <v>1192</v>
      </c>
      <c r="F369" s="57" t="s">
        <v>381</v>
      </c>
      <c r="G369" s="88"/>
      <c r="H369" s="72" t="s">
        <v>851</v>
      </c>
      <c r="I369" s="88"/>
      <c r="J369" s="88"/>
      <c r="K369" s="170"/>
      <c r="L369" s="168"/>
      <c r="M369" s="170"/>
      <c r="N369" s="170"/>
      <c r="O369" s="170"/>
      <c r="P369" s="88" t="s">
        <v>1602</v>
      </c>
    </row>
    <row r="370" spans="1:16" x14ac:dyDescent="0.25">
      <c r="A370" s="5">
        <v>174</v>
      </c>
      <c r="B370" s="60">
        <v>101917209</v>
      </c>
      <c r="C370" s="131" t="s">
        <v>1193</v>
      </c>
      <c r="D370" s="61" t="str">
        <f t="shared" si="10"/>
        <v>101917209/0045514607</v>
      </c>
      <c r="E370" s="69" t="s">
        <v>1194</v>
      </c>
      <c r="F370" s="57" t="s">
        <v>381</v>
      </c>
      <c r="G370" s="88"/>
      <c r="H370" s="72" t="s">
        <v>840</v>
      </c>
      <c r="I370" s="88"/>
      <c r="J370" s="88"/>
      <c r="K370" s="170"/>
      <c r="L370" s="168"/>
      <c r="M370" s="170"/>
      <c r="N370" s="170"/>
      <c r="O370" s="170"/>
      <c r="P370" s="88" t="s">
        <v>1602</v>
      </c>
    </row>
    <row r="371" spans="1:16" x14ac:dyDescent="0.25">
      <c r="A371" s="5">
        <v>175</v>
      </c>
      <c r="B371" s="60">
        <v>101917526</v>
      </c>
      <c r="C371" s="71" t="s">
        <v>1195</v>
      </c>
      <c r="D371" s="61" t="str">
        <f t="shared" si="10"/>
        <v>101917526/0037017751</v>
      </c>
      <c r="E371" s="107" t="s">
        <v>1196</v>
      </c>
      <c r="F371" s="57" t="s">
        <v>379</v>
      </c>
      <c r="G371" s="88"/>
      <c r="H371" s="72" t="s">
        <v>863</v>
      </c>
      <c r="I371" s="88"/>
      <c r="J371" s="88"/>
      <c r="K371" s="170"/>
      <c r="L371" s="168"/>
      <c r="M371" s="170"/>
      <c r="N371" s="170"/>
      <c r="O371" s="170"/>
      <c r="P371" s="88" t="s">
        <v>444</v>
      </c>
    </row>
    <row r="372" spans="1:16" x14ac:dyDescent="0.25">
      <c r="A372" s="5">
        <v>176</v>
      </c>
      <c r="B372" s="60">
        <v>101917352</v>
      </c>
      <c r="C372" s="131" t="s">
        <v>1197</v>
      </c>
      <c r="D372" s="61" t="str">
        <f t="shared" si="10"/>
        <v>101917352/0040795152</v>
      </c>
      <c r="E372" s="69" t="s">
        <v>1198</v>
      </c>
      <c r="F372" s="57" t="s">
        <v>379</v>
      </c>
      <c r="G372" s="88"/>
      <c r="H372" s="72" t="s">
        <v>870</v>
      </c>
      <c r="I372" s="88"/>
      <c r="J372" s="88"/>
      <c r="K372" s="170"/>
      <c r="L372" s="168"/>
      <c r="M372" s="170"/>
      <c r="N372" s="170"/>
      <c r="O372" s="170"/>
      <c r="P372" s="88" t="s">
        <v>1602</v>
      </c>
    </row>
    <row r="373" spans="1:16" x14ac:dyDescent="0.25">
      <c r="A373" s="5">
        <v>177</v>
      </c>
      <c r="B373" s="60">
        <v>101917527</v>
      </c>
      <c r="C373" s="71" t="s">
        <v>1199</v>
      </c>
      <c r="D373" s="61" t="str">
        <f t="shared" si="10"/>
        <v>101917527/0043371604</v>
      </c>
      <c r="E373" s="107" t="s">
        <v>1200</v>
      </c>
      <c r="F373" s="57" t="s">
        <v>379</v>
      </c>
      <c r="G373" s="88"/>
      <c r="H373" s="72" t="s">
        <v>863</v>
      </c>
      <c r="I373" s="88"/>
      <c r="J373" s="88"/>
      <c r="K373" s="170"/>
      <c r="L373" s="168"/>
      <c r="M373" s="170"/>
      <c r="N373" s="170"/>
      <c r="O373" s="170"/>
      <c r="P373" s="88" t="s">
        <v>444</v>
      </c>
    </row>
    <row r="374" spans="1:16" x14ac:dyDescent="0.25">
      <c r="A374" s="5">
        <v>178</v>
      </c>
      <c r="B374" s="60">
        <v>101917246</v>
      </c>
      <c r="C374" s="131" t="s">
        <v>1201</v>
      </c>
      <c r="D374" s="61" t="str">
        <f t="shared" si="10"/>
        <v>101917246/0036976990</v>
      </c>
      <c r="E374" s="69" t="s">
        <v>1202</v>
      </c>
      <c r="F374" s="57" t="s">
        <v>381</v>
      </c>
      <c r="G374" s="88"/>
      <c r="H374" s="72" t="s">
        <v>875</v>
      </c>
      <c r="I374" s="88"/>
      <c r="J374" s="88"/>
      <c r="K374" s="170"/>
      <c r="L374" s="168"/>
      <c r="M374" s="170"/>
      <c r="N374" s="170"/>
      <c r="O374" s="170"/>
      <c r="P374" s="88" t="s">
        <v>1602</v>
      </c>
    </row>
    <row r="375" spans="1:16" x14ac:dyDescent="0.25">
      <c r="A375" s="5">
        <v>179</v>
      </c>
      <c r="B375" s="60">
        <v>101917493</v>
      </c>
      <c r="C375" s="65" t="s">
        <v>1203</v>
      </c>
      <c r="D375" s="61" t="str">
        <f t="shared" si="10"/>
        <v>101917493/0046101359</v>
      </c>
      <c r="E375" s="94" t="s">
        <v>1204</v>
      </c>
      <c r="F375" s="57" t="s">
        <v>379</v>
      </c>
      <c r="G375" s="88"/>
      <c r="H375" s="72" t="s">
        <v>846</v>
      </c>
      <c r="I375" s="88"/>
      <c r="J375" s="88"/>
      <c r="K375" s="170"/>
      <c r="L375" s="168"/>
      <c r="M375" s="170"/>
      <c r="N375" s="170"/>
      <c r="O375" s="170"/>
      <c r="P375" s="88" t="s">
        <v>444</v>
      </c>
    </row>
    <row r="376" spans="1:16" x14ac:dyDescent="0.25">
      <c r="A376" s="5">
        <v>180</v>
      </c>
      <c r="B376" s="60">
        <v>101917317</v>
      </c>
      <c r="C376" s="131" t="s">
        <v>1205</v>
      </c>
      <c r="D376" s="61" t="str">
        <f t="shared" si="10"/>
        <v>101917317/0041330427</v>
      </c>
      <c r="E376" s="69" t="s">
        <v>1206</v>
      </c>
      <c r="F376" s="57" t="s">
        <v>381</v>
      </c>
      <c r="G376" s="88"/>
      <c r="H376" s="72" t="s">
        <v>887</v>
      </c>
      <c r="I376" s="88"/>
      <c r="J376" s="88"/>
      <c r="K376" s="170"/>
      <c r="L376" s="168"/>
      <c r="M376" s="170"/>
      <c r="N376" s="170"/>
      <c r="O376" s="170"/>
      <c r="P376" s="88" t="s">
        <v>1602</v>
      </c>
    </row>
    <row r="377" spans="1:16" x14ac:dyDescent="0.25">
      <c r="A377" s="5">
        <v>181</v>
      </c>
      <c r="B377" s="60">
        <v>101917384</v>
      </c>
      <c r="C377" s="108" t="s">
        <v>1207</v>
      </c>
      <c r="D377" s="61" t="str">
        <f t="shared" si="10"/>
        <v>101917384/0031121625</v>
      </c>
      <c r="E377" s="107" t="s">
        <v>1208</v>
      </c>
      <c r="F377" s="74" t="s">
        <v>381</v>
      </c>
      <c r="G377" s="88"/>
      <c r="H377" s="72" t="s">
        <v>854</v>
      </c>
      <c r="I377" s="88"/>
      <c r="J377" s="88"/>
      <c r="K377" s="170"/>
      <c r="L377" s="168"/>
      <c r="M377" s="170"/>
      <c r="N377" s="170"/>
      <c r="O377" s="170"/>
      <c r="P377" s="88" t="s">
        <v>444</v>
      </c>
    </row>
    <row r="378" spans="1:16" x14ac:dyDescent="0.25">
      <c r="A378" s="5">
        <v>182</v>
      </c>
      <c r="B378" s="60">
        <v>101917353</v>
      </c>
      <c r="C378" s="131" t="s">
        <v>1209</v>
      </c>
      <c r="D378" s="61" t="str">
        <f t="shared" si="10"/>
        <v>101917353/0035699426</v>
      </c>
      <c r="E378" s="69" t="s">
        <v>1210</v>
      </c>
      <c r="F378" s="57" t="s">
        <v>381</v>
      </c>
      <c r="G378" s="88"/>
      <c r="H378" s="72" t="s">
        <v>870</v>
      </c>
      <c r="I378" s="88"/>
      <c r="J378" s="88"/>
      <c r="K378" s="170"/>
      <c r="L378" s="168"/>
      <c r="M378" s="170"/>
      <c r="N378" s="170"/>
      <c r="O378" s="170"/>
      <c r="P378" s="88" t="s">
        <v>1602</v>
      </c>
    </row>
    <row r="379" spans="1:16" x14ac:dyDescent="0.25">
      <c r="A379" s="5">
        <v>183</v>
      </c>
      <c r="B379" s="60">
        <v>101917495</v>
      </c>
      <c r="C379" s="65" t="s">
        <v>1211</v>
      </c>
      <c r="D379" s="61" t="str">
        <f t="shared" si="10"/>
        <v>101917495/0042196740</v>
      </c>
      <c r="E379" s="94" t="s">
        <v>1212</v>
      </c>
      <c r="F379" s="57" t="s">
        <v>381</v>
      </c>
      <c r="G379" s="88"/>
      <c r="H379" s="72" t="s">
        <v>846</v>
      </c>
      <c r="I379" s="88"/>
      <c r="J379" s="88"/>
      <c r="K379" s="170"/>
      <c r="L379" s="168"/>
      <c r="M379" s="170"/>
      <c r="N379" s="170"/>
      <c r="O379" s="170"/>
      <c r="P379" s="88" t="s">
        <v>444</v>
      </c>
    </row>
    <row r="380" spans="1:16" x14ac:dyDescent="0.25">
      <c r="A380" s="5">
        <v>184</v>
      </c>
      <c r="B380" s="60">
        <v>101917176</v>
      </c>
      <c r="C380" s="131" t="s">
        <v>1213</v>
      </c>
      <c r="D380" s="61" t="str">
        <f t="shared" si="10"/>
        <v>101917176/0043112597</v>
      </c>
      <c r="E380" s="69" t="s">
        <v>1214</v>
      </c>
      <c r="F380" s="57" t="s">
        <v>379</v>
      </c>
      <c r="G380" s="88"/>
      <c r="H380" s="72" t="s">
        <v>837</v>
      </c>
      <c r="I380" s="88"/>
      <c r="J380" s="88"/>
      <c r="K380" s="170"/>
      <c r="L380" s="168"/>
      <c r="M380" s="170"/>
      <c r="N380" s="170"/>
      <c r="O380" s="170"/>
      <c r="P380" s="88" t="s">
        <v>1602</v>
      </c>
    </row>
    <row r="381" spans="1:16" x14ac:dyDescent="0.25">
      <c r="A381" s="5">
        <v>185</v>
      </c>
      <c r="B381" s="60">
        <v>101917177</v>
      </c>
      <c r="C381" s="131" t="s">
        <v>1215</v>
      </c>
      <c r="D381" s="61" t="str">
        <f t="shared" si="10"/>
        <v>101917177/0036114621</v>
      </c>
      <c r="E381" s="69" t="s">
        <v>1216</v>
      </c>
      <c r="F381" s="57" t="s">
        <v>379</v>
      </c>
      <c r="G381" s="88"/>
      <c r="H381" s="72" t="s">
        <v>837</v>
      </c>
      <c r="I381" s="88"/>
      <c r="J381" s="88"/>
      <c r="K381" s="170"/>
      <c r="L381" s="168"/>
      <c r="M381" s="170"/>
      <c r="N381" s="170"/>
      <c r="O381" s="170"/>
      <c r="P381" s="88" t="s">
        <v>1602</v>
      </c>
    </row>
    <row r="382" spans="1:16" x14ac:dyDescent="0.25">
      <c r="A382" s="5">
        <v>186</v>
      </c>
      <c r="B382" s="60">
        <v>101917429</v>
      </c>
      <c r="C382" s="132" t="s">
        <v>1217</v>
      </c>
      <c r="D382" s="61" t="str">
        <f t="shared" si="10"/>
        <v>101917429/0043239412</v>
      </c>
      <c r="E382" s="106" t="s">
        <v>1218</v>
      </c>
      <c r="F382" s="57" t="s">
        <v>379</v>
      </c>
      <c r="G382" s="88"/>
      <c r="H382" s="72" t="s">
        <v>854</v>
      </c>
      <c r="I382" s="88"/>
      <c r="J382" s="88"/>
      <c r="K382" s="170"/>
      <c r="L382" s="168"/>
      <c r="M382" s="170"/>
      <c r="N382" s="170"/>
      <c r="O382" s="170"/>
      <c r="P382" s="88" t="s">
        <v>444</v>
      </c>
    </row>
    <row r="383" spans="1:16" x14ac:dyDescent="0.25">
      <c r="A383" s="5">
        <v>187</v>
      </c>
      <c r="B383" s="60">
        <v>101917354</v>
      </c>
      <c r="C383" s="131" t="s">
        <v>1219</v>
      </c>
      <c r="D383" s="61" t="str">
        <f t="shared" ref="D383:D446" si="11">B383&amp;"/"&amp;C383</f>
        <v>101917354/0043272959</v>
      </c>
      <c r="E383" s="69" t="s">
        <v>1220</v>
      </c>
      <c r="F383" s="57" t="s">
        <v>379</v>
      </c>
      <c r="G383" s="88"/>
      <c r="H383" s="72" t="s">
        <v>870</v>
      </c>
      <c r="I383" s="88"/>
      <c r="J383" s="88"/>
      <c r="K383" s="170"/>
      <c r="L383" s="168"/>
      <c r="M383" s="170"/>
      <c r="N383" s="170"/>
      <c r="O383" s="170"/>
      <c r="P383" s="88" t="s">
        <v>1602</v>
      </c>
    </row>
    <row r="384" spans="1:16" x14ac:dyDescent="0.25">
      <c r="A384" s="5">
        <v>188</v>
      </c>
      <c r="B384" s="60">
        <v>101917385</v>
      </c>
      <c r="C384" s="108" t="s">
        <v>1221</v>
      </c>
      <c r="D384" s="61" t="str">
        <f t="shared" si="11"/>
        <v>101917385/0043744226</v>
      </c>
      <c r="E384" s="107" t="s">
        <v>1222</v>
      </c>
      <c r="F384" s="74" t="s">
        <v>379</v>
      </c>
      <c r="G384" s="88"/>
      <c r="H384" s="72" t="s">
        <v>878</v>
      </c>
      <c r="I384" s="88"/>
      <c r="J384" s="88"/>
      <c r="K384" s="170"/>
      <c r="L384" s="168"/>
      <c r="M384" s="170"/>
      <c r="N384" s="170"/>
      <c r="O384" s="170"/>
      <c r="P384" s="88" t="s">
        <v>444</v>
      </c>
    </row>
    <row r="385" spans="1:16" x14ac:dyDescent="0.25">
      <c r="A385" s="5">
        <v>189</v>
      </c>
      <c r="B385" s="60">
        <v>101917318</v>
      </c>
      <c r="C385" s="131" t="s">
        <v>1223</v>
      </c>
      <c r="D385" s="61" t="str">
        <f t="shared" si="11"/>
        <v>101917318/0042558814</v>
      </c>
      <c r="E385" s="69" t="s">
        <v>1224</v>
      </c>
      <c r="F385" s="57" t="s">
        <v>379</v>
      </c>
      <c r="G385" s="88"/>
      <c r="H385" s="72" t="s">
        <v>887</v>
      </c>
      <c r="I385" s="88"/>
      <c r="J385" s="88"/>
      <c r="K385" s="170"/>
      <c r="L385" s="168"/>
      <c r="M385" s="170"/>
      <c r="N385" s="170"/>
      <c r="O385" s="170"/>
      <c r="P385" s="88" t="s">
        <v>1602</v>
      </c>
    </row>
    <row r="386" spans="1:16" x14ac:dyDescent="0.25">
      <c r="A386" s="5">
        <v>190</v>
      </c>
      <c r="B386" s="60">
        <v>101917319</v>
      </c>
      <c r="C386" s="131" t="s">
        <v>1225</v>
      </c>
      <c r="D386" s="61" t="str">
        <f t="shared" si="11"/>
        <v>101917319/003947901</v>
      </c>
      <c r="E386" s="69" t="s">
        <v>1226</v>
      </c>
      <c r="F386" s="57" t="s">
        <v>379</v>
      </c>
      <c r="G386" s="88"/>
      <c r="H386" s="72" t="s">
        <v>887</v>
      </c>
      <c r="I386" s="88"/>
      <c r="J386" s="88"/>
      <c r="K386" s="170"/>
      <c r="L386" s="168"/>
      <c r="M386" s="170"/>
      <c r="N386" s="170"/>
      <c r="O386" s="170"/>
      <c r="P386" s="88" t="s">
        <v>1602</v>
      </c>
    </row>
    <row r="387" spans="1:16" x14ac:dyDescent="0.25">
      <c r="A387" s="5">
        <v>191</v>
      </c>
      <c r="B387" s="60">
        <v>101917462</v>
      </c>
      <c r="C387" s="65" t="s">
        <v>1227</v>
      </c>
      <c r="D387" s="61" t="str">
        <f t="shared" si="11"/>
        <v>101917462/0045502062</v>
      </c>
      <c r="E387" s="105" t="s">
        <v>1228</v>
      </c>
      <c r="F387" s="57" t="s">
        <v>379</v>
      </c>
      <c r="G387" s="88"/>
      <c r="H387" s="72" t="s">
        <v>843</v>
      </c>
      <c r="I387" s="88"/>
      <c r="J387" s="88"/>
      <c r="K387" s="170"/>
      <c r="L387" s="168"/>
      <c r="M387" s="170"/>
      <c r="N387" s="170"/>
      <c r="O387" s="170"/>
      <c r="P387" s="88" t="s">
        <v>444</v>
      </c>
    </row>
    <row r="388" spans="1:16" x14ac:dyDescent="0.25">
      <c r="A388" s="5">
        <v>192</v>
      </c>
      <c r="B388" s="60">
        <v>101917282</v>
      </c>
      <c r="C388" s="131" t="s">
        <v>1229</v>
      </c>
      <c r="D388" s="61" t="str">
        <f t="shared" si="11"/>
        <v>101917282/0047415716</v>
      </c>
      <c r="E388" s="69" t="s">
        <v>1230</v>
      </c>
      <c r="F388" s="57" t="s">
        <v>379</v>
      </c>
      <c r="G388" s="88"/>
      <c r="H388" s="72" t="s">
        <v>851</v>
      </c>
      <c r="I388" s="88"/>
      <c r="J388" s="88"/>
      <c r="K388" s="170"/>
      <c r="L388" s="168"/>
      <c r="M388" s="170"/>
      <c r="N388" s="170"/>
      <c r="O388" s="170"/>
      <c r="P388" s="88" t="s">
        <v>1602</v>
      </c>
    </row>
    <row r="389" spans="1:16" x14ac:dyDescent="0.25">
      <c r="A389" s="5">
        <v>193</v>
      </c>
      <c r="B389" s="60">
        <v>101917463</v>
      </c>
      <c r="C389" s="65" t="s">
        <v>1231</v>
      </c>
      <c r="D389" s="61" t="str">
        <f t="shared" si="11"/>
        <v>101917463/0043315612</v>
      </c>
      <c r="E389" s="105" t="s">
        <v>1232</v>
      </c>
      <c r="F389" s="57" t="s">
        <v>379</v>
      </c>
      <c r="G389" s="88"/>
      <c r="H389" s="72" t="s">
        <v>843</v>
      </c>
      <c r="I389" s="88"/>
      <c r="J389" s="88"/>
      <c r="K389" s="170"/>
      <c r="L389" s="168"/>
      <c r="M389" s="170"/>
      <c r="N389" s="170"/>
      <c r="O389" s="170"/>
      <c r="P389" s="88" t="s">
        <v>444</v>
      </c>
    </row>
    <row r="390" spans="1:16" x14ac:dyDescent="0.25">
      <c r="A390" s="5">
        <v>194</v>
      </c>
      <c r="B390" s="60">
        <v>101917528</v>
      </c>
      <c r="C390" s="71" t="s">
        <v>1233</v>
      </c>
      <c r="D390" s="61" t="str">
        <f t="shared" si="11"/>
        <v>101917528/0042077809</v>
      </c>
      <c r="E390" s="107" t="s">
        <v>1234</v>
      </c>
      <c r="F390" s="57" t="s">
        <v>379</v>
      </c>
      <c r="G390" s="88"/>
      <c r="H390" s="72" t="s">
        <v>863</v>
      </c>
      <c r="I390" s="88"/>
      <c r="J390" s="88"/>
      <c r="K390" s="170"/>
      <c r="L390" s="168"/>
      <c r="M390" s="170"/>
      <c r="N390" s="170"/>
      <c r="O390" s="170"/>
      <c r="P390" s="88" t="s">
        <v>444</v>
      </c>
    </row>
    <row r="391" spans="1:16" x14ac:dyDescent="0.25">
      <c r="A391" s="5">
        <v>195</v>
      </c>
      <c r="B391" s="60">
        <v>101917320</v>
      </c>
      <c r="C391" s="131" t="s">
        <v>1235</v>
      </c>
      <c r="D391" s="61" t="str">
        <f t="shared" si="11"/>
        <v>101917320/0041553838</v>
      </c>
      <c r="E391" s="69" t="s">
        <v>1236</v>
      </c>
      <c r="F391" s="57" t="s">
        <v>379</v>
      </c>
      <c r="G391" s="88"/>
      <c r="H391" s="72" t="s">
        <v>887</v>
      </c>
      <c r="I391" s="88"/>
      <c r="J391" s="88"/>
      <c r="K391" s="170"/>
      <c r="L391" s="168"/>
      <c r="M391" s="170"/>
      <c r="N391" s="170"/>
      <c r="O391" s="170"/>
      <c r="P391" s="88" t="s">
        <v>1602</v>
      </c>
    </row>
    <row r="392" spans="1:16" x14ac:dyDescent="0.25">
      <c r="A392" s="5">
        <v>196</v>
      </c>
      <c r="B392" s="60">
        <v>101917529</v>
      </c>
      <c r="C392" s="71" t="s">
        <v>1237</v>
      </c>
      <c r="D392" s="61" t="str">
        <f t="shared" si="11"/>
        <v>101917529/0036114609</v>
      </c>
      <c r="E392" s="107" t="s">
        <v>1238</v>
      </c>
      <c r="F392" s="57" t="s">
        <v>379</v>
      </c>
      <c r="G392" s="88"/>
      <c r="H392" s="72" t="s">
        <v>863</v>
      </c>
      <c r="I392" s="88"/>
      <c r="J392" s="88"/>
      <c r="K392" s="170"/>
      <c r="L392" s="168"/>
      <c r="M392" s="170"/>
      <c r="N392" s="170"/>
      <c r="O392" s="170"/>
      <c r="P392" s="88" t="s">
        <v>444</v>
      </c>
    </row>
    <row r="393" spans="1:16" x14ac:dyDescent="0.25">
      <c r="A393" s="5">
        <v>197</v>
      </c>
      <c r="B393" s="60">
        <v>101917496</v>
      </c>
      <c r="C393" s="65" t="s">
        <v>1239</v>
      </c>
      <c r="D393" s="61" t="str">
        <f t="shared" si="11"/>
        <v>101917496/0043694540</v>
      </c>
      <c r="E393" s="94" t="s">
        <v>1240</v>
      </c>
      <c r="F393" s="57" t="s">
        <v>379</v>
      </c>
      <c r="G393" s="88"/>
      <c r="H393" s="72" t="s">
        <v>846</v>
      </c>
      <c r="I393" s="88"/>
      <c r="J393" s="88"/>
      <c r="K393" s="170"/>
      <c r="L393" s="168"/>
      <c r="M393" s="170"/>
      <c r="N393" s="170"/>
      <c r="O393" s="170"/>
      <c r="P393" s="88" t="s">
        <v>444</v>
      </c>
    </row>
    <row r="394" spans="1:16" x14ac:dyDescent="0.25">
      <c r="A394" s="5">
        <v>198</v>
      </c>
      <c r="B394" s="60">
        <v>101917355</v>
      </c>
      <c r="C394" s="131" t="s">
        <v>1241</v>
      </c>
      <c r="D394" s="61" t="str">
        <f t="shared" si="11"/>
        <v>101917355/0044224485</v>
      </c>
      <c r="E394" s="69" t="s">
        <v>1242</v>
      </c>
      <c r="F394" s="57" t="s">
        <v>379</v>
      </c>
      <c r="G394" s="88"/>
      <c r="H394" s="72" t="s">
        <v>870</v>
      </c>
      <c r="I394" s="88"/>
      <c r="J394" s="88"/>
      <c r="K394" s="170"/>
      <c r="L394" s="168"/>
      <c r="M394" s="170"/>
      <c r="N394" s="170"/>
      <c r="O394" s="170"/>
      <c r="P394" s="88" t="s">
        <v>1602</v>
      </c>
    </row>
    <row r="395" spans="1:16" x14ac:dyDescent="0.25">
      <c r="A395" s="5">
        <v>199</v>
      </c>
      <c r="B395" s="60">
        <v>101917530</v>
      </c>
      <c r="C395" s="71" t="s">
        <v>1243</v>
      </c>
      <c r="D395" s="61" t="str">
        <f t="shared" si="11"/>
        <v>101917530/0032041594</v>
      </c>
      <c r="E395" s="107" t="s">
        <v>1244</v>
      </c>
      <c r="F395" s="57" t="s">
        <v>379</v>
      </c>
      <c r="G395" s="88"/>
      <c r="H395" s="72" t="s">
        <v>863</v>
      </c>
      <c r="I395" s="88"/>
      <c r="J395" s="88"/>
      <c r="K395" s="170"/>
      <c r="L395" s="168"/>
      <c r="M395" s="170"/>
      <c r="N395" s="170"/>
      <c r="O395" s="170"/>
      <c r="P395" s="88" t="s">
        <v>444</v>
      </c>
    </row>
    <row r="396" spans="1:16" x14ac:dyDescent="0.25">
      <c r="A396" s="5">
        <v>200</v>
      </c>
      <c r="B396" s="60">
        <v>101917531</v>
      </c>
      <c r="C396" s="132" t="s">
        <v>1245</v>
      </c>
      <c r="D396" s="61" t="str">
        <f t="shared" si="11"/>
        <v>101917531/0040795155</v>
      </c>
      <c r="E396" s="107" t="s">
        <v>1246</v>
      </c>
      <c r="F396" s="57" t="s">
        <v>379</v>
      </c>
      <c r="G396" s="88"/>
      <c r="H396" s="72" t="s">
        <v>863</v>
      </c>
      <c r="I396" s="88"/>
      <c r="J396" s="88"/>
      <c r="K396" s="170"/>
      <c r="L396" s="168"/>
      <c r="M396" s="170"/>
      <c r="N396" s="170"/>
      <c r="O396" s="170"/>
      <c r="P396" s="88" t="s">
        <v>444</v>
      </c>
    </row>
    <row r="397" spans="1:16" x14ac:dyDescent="0.25">
      <c r="A397" s="5">
        <v>201</v>
      </c>
      <c r="B397" s="60">
        <v>101917283</v>
      </c>
      <c r="C397" s="131" t="s">
        <v>1247</v>
      </c>
      <c r="D397" s="61" t="str">
        <f t="shared" si="11"/>
        <v>101917283/0040638162</v>
      </c>
      <c r="E397" s="69" t="s">
        <v>1248</v>
      </c>
      <c r="F397" s="57" t="s">
        <v>379</v>
      </c>
      <c r="G397" s="88"/>
      <c r="H397" s="72" t="s">
        <v>851</v>
      </c>
      <c r="I397" s="88"/>
      <c r="J397" s="88"/>
      <c r="K397" s="170"/>
      <c r="L397" s="168"/>
      <c r="M397" s="170"/>
      <c r="N397" s="170"/>
      <c r="O397" s="170"/>
      <c r="P397" s="88" t="s">
        <v>1602</v>
      </c>
    </row>
    <row r="398" spans="1:16" x14ac:dyDescent="0.25">
      <c r="A398" s="5">
        <v>202</v>
      </c>
      <c r="B398" s="60">
        <v>101917430</v>
      </c>
      <c r="C398" s="71" t="s">
        <v>1249</v>
      </c>
      <c r="D398" s="61" t="str">
        <f t="shared" si="11"/>
        <v>101917430/0042015377</v>
      </c>
      <c r="E398" s="106" t="s">
        <v>1250</v>
      </c>
      <c r="F398" s="57" t="s">
        <v>379</v>
      </c>
      <c r="G398" s="88"/>
      <c r="H398" s="72" t="s">
        <v>854</v>
      </c>
      <c r="I398" s="88"/>
      <c r="J398" s="88"/>
      <c r="K398" s="170"/>
      <c r="L398" s="168"/>
      <c r="M398" s="170"/>
      <c r="N398" s="170"/>
      <c r="O398" s="170"/>
      <c r="P398" s="88" t="s">
        <v>444</v>
      </c>
    </row>
    <row r="399" spans="1:16" x14ac:dyDescent="0.25">
      <c r="A399" s="5">
        <v>203</v>
      </c>
      <c r="B399" s="60">
        <v>101917497</v>
      </c>
      <c r="C399" s="130" t="s">
        <v>1251</v>
      </c>
      <c r="D399" s="61" t="str">
        <f t="shared" si="11"/>
        <v>101917497/0041686039</v>
      </c>
      <c r="E399" s="109" t="s">
        <v>1252</v>
      </c>
      <c r="F399" s="57" t="s">
        <v>379</v>
      </c>
      <c r="G399" s="88"/>
      <c r="H399" s="72" t="s">
        <v>846</v>
      </c>
      <c r="I399" s="88"/>
      <c r="J399" s="88"/>
      <c r="K399" s="170"/>
      <c r="L399" s="168"/>
      <c r="M399" s="170"/>
      <c r="N399" s="170"/>
      <c r="O399" s="170"/>
      <c r="P399" s="88" t="s">
        <v>444</v>
      </c>
    </row>
    <row r="400" spans="1:16" x14ac:dyDescent="0.25">
      <c r="A400" s="5">
        <v>204</v>
      </c>
      <c r="B400" s="60">
        <v>101917356</v>
      </c>
      <c r="C400" s="131" t="s">
        <v>1253</v>
      </c>
      <c r="D400" s="61" t="str">
        <f t="shared" si="11"/>
        <v>101917356/0049984706</v>
      </c>
      <c r="E400" s="69" t="s">
        <v>1254</v>
      </c>
      <c r="F400" s="57" t="s">
        <v>379</v>
      </c>
      <c r="G400" s="88"/>
      <c r="H400" s="72" t="s">
        <v>870</v>
      </c>
      <c r="I400" s="88"/>
      <c r="J400" s="88"/>
      <c r="K400" s="170"/>
      <c r="L400" s="168"/>
      <c r="M400" s="170"/>
      <c r="N400" s="170"/>
      <c r="O400" s="170"/>
      <c r="P400" s="88" t="s">
        <v>1602</v>
      </c>
    </row>
    <row r="401" spans="1:16" x14ac:dyDescent="0.25">
      <c r="A401" s="5">
        <v>205</v>
      </c>
      <c r="B401" s="60">
        <v>101917321</v>
      </c>
      <c r="C401" s="131" t="s">
        <v>1255</v>
      </c>
      <c r="D401" s="61" t="str">
        <f t="shared" si="11"/>
        <v>101917321/0038330804</v>
      </c>
      <c r="E401" s="69" t="s">
        <v>1256</v>
      </c>
      <c r="F401" s="57" t="s">
        <v>379</v>
      </c>
      <c r="G401" s="88"/>
      <c r="H401" s="72" t="s">
        <v>887</v>
      </c>
      <c r="I401" s="88"/>
      <c r="J401" s="88"/>
      <c r="K401" s="170"/>
      <c r="L401" s="168"/>
      <c r="M401" s="170"/>
      <c r="N401" s="170"/>
      <c r="O401" s="170"/>
      <c r="P401" s="88" t="s">
        <v>1602</v>
      </c>
    </row>
    <row r="402" spans="1:16" x14ac:dyDescent="0.25">
      <c r="A402" s="5">
        <v>206</v>
      </c>
      <c r="B402" s="60">
        <v>101917464</v>
      </c>
      <c r="C402" s="65" t="s">
        <v>1257</v>
      </c>
      <c r="D402" s="61" t="str">
        <f t="shared" si="11"/>
        <v>101917464/0043272974</v>
      </c>
      <c r="E402" s="105" t="s">
        <v>1258</v>
      </c>
      <c r="F402" s="57" t="s">
        <v>379</v>
      </c>
      <c r="G402" s="88"/>
      <c r="H402" s="72" t="s">
        <v>843</v>
      </c>
      <c r="I402" s="88"/>
      <c r="J402" s="88"/>
      <c r="K402" s="170"/>
      <c r="L402" s="168"/>
      <c r="M402" s="170"/>
      <c r="N402" s="170"/>
      <c r="O402" s="170"/>
      <c r="P402" s="88" t="s">
        <v>444</v>
      </c>
    </row>
    <row r="403" spans="1:16" x14ac:dyDescent="0.25">
      <c r="A403" s="5">
        <v>207</v>
      </c>
      <c r="B403" s="60">
        <v>101917465</v>
      </c>
      <c r="C403" s="65" t="s">
        <v>1259</v>
      </c>
      <c r="D403" s="61" t="str">
        <f t="shared" si="11"/>
        <v>101917465/0042300330</v>
      </c>
      <c r="E403" s="105" t="s">
        <v>1260</v>
      </c>
      <c r="F403" s="57" t="s">
        <v>379</v>
      </c>
      <c r="G403" s="88"/>
      <c r="H403" s="72" t="s">
        <v>843</v>
      </c>
      <c r="I403" s="88"/>
      <c r="J403" s="88"/>
      <c r="K403" s="170"/>
      <c r="L403" s="168"/>
      <c r="M403" s="170"/>
      <c r="N403" s="170"/>
      <c r="O403" s="170"/>
      <c r="P403" s="88" t="s">
        <v>444</v>
      </c>
    </row>
    <row r="404" spans="1:16" x14ac:dyDescent="0.25">
      <c r="A404" s="5">
        <v>208</v>
      </c>
      <c r="B404" s="60">
        <v>101917210</v>
      </c>
      <c r="C404" s="131" t="s">
        <v>1261</v>
      </c>
      <c r="D404" s="61" t="str">
        <f t="shared" si="11"/>
        <v>101917210/0043272598</v>
      </c>
      <c r="E404" s="69" t="s">
        <v>1262</v>
      </c>
      <c r="F404" s="57" t="s">
        <v>379</v>
      </c>
      <c r="G404" s="88"/>
      <c r="H404" s="72" t="s">
        <v>840</v>
      </c>
      <c r="I404" s="88"/>
      <c r="J404" s="88"/>
      <c r="K404" s="170"/>
      <c r="L404" s="168"/>
      <c r="M404" s="170"/>
      <c r="N404" s="170"/>
      <c r="O404" s="170"/>
      <c r="P404" s="88" t="s">
        <v>1602</v>
      </c>
    </row>
    <row r="405" spans="1:16" x14ac:dyDescent="0.25">
      <c r="A405" s="5">
        <v>209</v>
      </c>
      <c r="B405" s="60">
        <v>101917549</v>
      </c>
      <c r="C405" s="132" t="s">
        <v>1263</v>
      </c>
      <c r="D405" s="61" t="str">
        <f t="shared" si="11"/>
        <v>101917549/0039607528</v>
      </c>
      <c r="E405" s="107" t="s">
        <v>1264</v>
      </c>
      <c r="F405" s="57" t="s">
        <v>379</v>
      </c>
      <c r="G405" s="88"/>
      <c r="H405" s="72" t="s">
        <v>863</v>
      </c>
      <c r="I405" s="88"/>
      <c r="J405" s="88"/>
      <c r="K405" s="170"/>
      <c r="L405" s="168"/>
      <c r="M405" s="170"/>
      <c r="N405" s="170"/>
      <c r="O405" s="170"/>
      <c r="P405" s="88" t="s">
        <v>444</v>
      </c>
    </row>
    <row r="406" spans="1:16" x14ac:dyDescent="0.25">
      <c r="A406" s="5">
        <v>210</v>
      </c>
      <c r="B406" s="60">
        <v>101917357</v>
      </c>
      <c r="C406" s="131" t="s">
        <v>1265</v>
      </c>
      <c r="D406" s="61" t="str">
        <f t="shared" si="11"/>
        <v>101917357/0037921211</v>
      </c>
      <c r="E406" s="69" t="s">
        <v>1266</v>
      </c>
      <c r="F406" s="57" t="s">
        <v>379</v>
      </c>
      <c r="G406" s="88"/>
      <c r="H406" s="72" t="s">
        <v>870</v>
      </c>
      <c r="I406" s="88"/>
      <c r="J406" s="88"/>
      <c r="K406" s="170"/>
      <c r="L406" s="168"/>
      <c r="M406" s="170"/>
      <c r="N406" s="170"/>
      <c r="O406" s="170"/>
      <c r="P406" s="88" t="s">
        <v>1602</v>
      </c>
    </row>
    <row r="407" spans="1:16" x14ac:dyDescent="0.25">
      <c r="A407" s="5">
        <v>211</v>
      </c>
      <c r="B407" s="60">
        <v>101917322</v>
      </c>
      <c r="C407" s="131" t="s">
        <v>1267</v>
      </c>
      <c r="D407" s="61" t="str">
        <f t="shared" si="11"/>
        <v>101917322/0038703578</v>
      </c>
      <c r="E407" s="69" t="s">
        <v>1268</v>
      </c>
      <c r="F407" s="57" t="s">
        <v>379</v>
      </c>
      <c r="G407" s="88"/>
      <c r="H407" s="72" t="s">
        <v>887</v>
      </c>
      <c r="I407" s="88"/>
      <c r="J407" s="88"/>
      <c r="K407" s="170"/>
      <c r="L407" s="168"/>
      <c r="M407" s="170"/>
      <c r="N407" s="170"/>
      <c r="O407" s="170"/>
      <c r="P407" s="88" t="s">
        <v>1602</v>
      </c>
    </row>
    <row r="408" spans="1:16" x14ac:dyDescent="0.25">
      <c r="A408" s="5">
        <v>212</v>
      </c>
      <c r="B408" s="60">
        <v>101917323</v>
      </c>
      <c r="C408" s="131" t="s">
        <v>1269</v>
      </c>
      <c r="D408" s="61" t="str">
        <f t="shared" si="11"/>
        <v>101917323/0036276644</v>
      </c>
      <c r="E408" s="69" t="s">
        <v>1270</v>
      </c>
      <c r="F408" s="57" t="s">
        <v>379</v>
      </c>
      <c r="G408" s="88"/>
      <c r="H408" s="72" t="s">
        <v>887</v>
      </c>
      <c r="I408" s="88"/>
      <c r="J408" s="88"/>
      <c r="K408" s="170"/>
      <c r="L408" s="168"/>
      <c r="M408" s="170"/>
      <c r="N408" s="170"/>
      <c r="O408" s="170"/>
      <c r="P408" s="88" t="s">
        <v>1602</v>
      </c>
    </row>
    <row r="409" spans="1:16" x14ac:dyDescent="0.25">
      <c r="A409" s="5">
        <v>213</v>
      </c>
      <c r="B409" s="60">
        <v>101917386</v>
      </c>
      <c r="C409" s="108" t="s">
        <v>1271</v>
      </c>
      <c r="D409" s="61" t="str">
        <f t="shared" si="11"/>
        <v>101917386/0046620153</v>
      </c>
      <c r="E409" s="107" t="s">
        <v>1272</v>
      </c>
      <c r="F409" s="74" t="s">
        <v>379</v>
      </c>
      <c r="G409" s="88"/>
      <c r="H409" s="72" t="s">
        <v>878</v>
      </c>
      <c r="I409" s="88"/>
      <c r="J409" s="88"/>
      <c r="K409" s="170"/>
      <c r="L409" s="168"/>
      <c r="M409" s="170"/>
      <c r="N409" s="170"/>
      <c r="O409" s="170"/>
      <c r="P409" s="88" t="s">
        <v>444</v>
      </c>
    </row>
    <row r="410" spans="1:16" x14ac:dyDescent="0.25">
      <c r="A410" s="5">
        <v>214</v>
      </c>
      <c r="B410" s="60">
        <v>101917466</v>
      </c>
      <c r="C410" s="65" t="s">
        <v>1273</v>
      </c>
      <c r="D410" s="61" t="str">
        <f t="shared" si="11"/>
        <v>101917466/0038990559</v>
      </c>
      <c r="E410" s="105" t="s">
        <v>1274</v>
      </c>
      <c r="F410" s="57" t="s">
        <v>379</v>
      </c>
      <c r="G410" s="88"/>
      <c r="H410" s="72" t="s">
        <v>843</v>
      </c>
      <c r="I410" s="88"/>
      <c r="J410" s="88"/>
      <c r="K410" s="170"/>
      <c r="L410" s="168"/>
      <c r="M410" s="170"/>
      <c r="N410" s="170"/>
      <c r="O410" s="170"/>
      <c r="P410" s="88" t="s">
        <v>444</v>
      </c>
    </row>
    <row r="411" spans="1:16" x14ac:dyDescent="0.25">
      <c r="A411" s="5">
        <v>215</v>
      </c>
      <c r="B411" s="60">
        <v>101917247</v>
      </c>
      <c r="C411" s="131" t="s">
        <v>1275</v>
      </c>
      <c r="D411" s="61" t="str">
        <f t="shared" si="11"/>
        <v>101917247/0038259568</v>
      </c>
      <c r="E411" s="69" t="s">
        <v>1276</v>
      </c>
      <c r="F411" s="57" t="s">
        <v>379</v>
      </c>
      <c r="G411" s="88"/>
      <c r="H411" s="72" t="s">
        <v>875</v>
      </c>
      <c r="I411" s="88"/>
      <c r="J411" s="88"/>
      <c r="K411" s="170"/>
      <c r="L411" s="168"/>
      <c r="M411" s="170"/>
      <c r="N411" s="170"/>
      <c r="O411" s="170"/>
      <c r="P411" s="88" t="s">
        <v>1602</v>
      </c>
    </row>
    <row r="412" spans="1:16" x14ac:dyDescent="0.25">
      <c r="A412" s="5">
        <v>216</v>
      </c>
      <c r="B412" s="60">
        <v>101917498</v>
      </c>
      <c r="C412" s="65" t="s">
        <v>1277</v>
      </c>
      <c r="D412" s="61" t="str">
        <f t="shared" si="11"/>
        <v>101917498/0032763330</v>
      </c>
      <c r="E412" s="94" t="s">
        <v>1278</v>
      </c>
      <c r="F412" s="57" t="s">
        <v>379</v>
      </c>
      <c r="G412" s="88"/>
      <c r="H412" s="72" t="s">
        <v>846</v>
      </c>
      <c r="I412" s="88"/>
      <c r="J412" s="88"/>
      <c r="K412" s="170"/>
      <c r="L412" s="168"/>
      <c r="M412" s="170"/>
      <c r="N412" s="170"/>
      <c r="O412" s="170"/>
      <c r="P412" s="88" t="s">
        <v>444</v>
      </c>
    </row>
    <row r="413" spans="1:16" x14ac:dyDescent="0.25">
      <c r="A413" s="5">
        <v>217</v>
      </c>
      <c r="B413" s="60">
        <v>101917499</v>
      </c>
      <c r="C413" s="130" t="s">
        <v>1279</v>
      </c>
      <c r="D413" s="61" t="str">
        <f t="shared" si="11"/>
        <v>101917499/0038850943</v>
      </c>
      <c r="E413" s="94" t="s">
        <v>1280</v>
      </c>
      <c r="F413" s="57" t="s">
        <v>379</v>
      </c>
      <c r="G413" s="88"/>
      <c r="H413" s="72" t="s">
        <v>846</v>
      </c>
      <c r="I413" s="88"/>
      <c r="J413" s="88"/>
      <c r="K413" s="170"/>
      <c r="L413" s="168"/>
      <c r="M413" s="170"/>
      <c r="N413" s="170"/>
      <c r="O413" s="170"/>
      <c r="P413" s="88" t="s">
        <v>444</v>
      </c>
    </row>
    <row r="414" spans="1:16" x14ac:dyDescent="0.25">
      <c r="A414" s="5">
        <v>218</v>
      </c>
      <c r="B414" s="60">
        <v>101917532</v>
      </c>
      <c r="C414" s="71" t="s">
        <v>1281</v>
      </c>
      <c r="D414" s="61" t="str">
        <f t="shared" si="11"/>
        <v>101917532/0046869088</v>
      </c>
      <c r="E414" s="107" t="s">
        <v>1282</v>
      </c>
      <c r="F414" s="57" t="s">
        <v>379</v>
      </c>
      <c r="G414" s="88"/>
      <c r="H414" s="72" t="s">
        <v>863</v>
      </c>
      <c r="I414" s="88"/>
      <c r="J414" s="88"/>
      <c r="K414" s="170"/>
      <c r="L414" s="168"/>
      <c r="M414" s="170"/>
      <c r="N414" s="170"/>
      <c r="O414" s="170"/>
      <c r="P414" s="88" t="s">
        <v>444</v>
      </c>
    </row>
    <row r="415" spans="1:16" x14ac:dyDescent="0.25">
      <c r="A415" s="5">
        <v>219</v>
      </c>
      <c r="B415" s="60">
        <v>101917431</v>
      </c>
      <c r="C415" s="71" t="s">
        <v>1283</v>
      </c>
      <c r="D415" s="61" t="str">
        <f t="shared" si="11"/>
        <v>101917431/0039633291</v>
      </c>
      <c r="E415" s="106" t="s">
        <v>1284</v>
      </c>
      <c r="F415" s="57" t="s">
        <v>379</v>
      </c>
      <c r="G415" s="88"/>
      <c r="H415" s="72" t="s">
        <v>854</v>
      </c>
      <c r="I415" s="88"/>
      <c r="J415" s="88"/>
      <c r="K415" s="170"/>
      <c r="L415" s="168"/>
      <c r="M415" s="170"/>
      <c r="N415" s="170"/>
      <c r="O415" s="170"/>
      <c r="P415" s="88" t="s">
        <v>444</v>
      </c>
    </row>
    <row r="416" spans="1:16" x14ac:dyDescent="0.25">
      <c r="A416" s="5">
        <v>220</v>
      </c>
      <c r="B416" s="60">
        <v>101917324</v>
      </c>
      <c r="C416" s="131" t="s">
        <v>1285</v>
      </c>
      <c r="D416" s="61" t="str">
        <f t="shared" si="11"/>
        <v>101917324/0046985841</v>
      </c>
      <c r="E416" s="69" t="s">
        <v>1286</v>
      </c>
      <c r="F416" s="57" t="s">
        <v>379</v>
      </c>
      <c r="G416" s="88"/>
      <c r="H416" s="72" t="s">
        <v>887</v>
      </c>
      <c r="I416" s="88"/>
      <c r="J416" s="88"/>
      <c r="K416" s="170"/>
      <c r="L416" s="168"/>
      <c r="M416" s="170"/>
      <c r="N416" s="170"/>
      <c r="O416" s="170"/>
      <c r="P416" s="88" t="s">
        <v>1602</v>
      </c>
    </row>
    <row r="417" spans="1:16" x14ac:dyDescent="0.25">
      <c r="A417" s="5">
        <v>221</v>
      </c>
      <c r="B417" s="60">
        <v>101917248</v>
      </c>
      <c r="C417" s="131" t="s">
        <v>1287</v>
      </c>
      <c r="D417" s="61" t="str">
        <f t="shared" si="11"/>
        <v>101917248/0035524698</v>
      </c>
      <c r="E417" s="69" t="s">
        <v>1288</v>
      </c>
      <c r="F417" s="57" t="s">
        <v>379</v>
      </c>
      <c r="G417" s="88"/>
      <c r="H417" s="72" t="s">
        <v>875</v>
      </c>
      <c r="I417" s="88"/>
      <c r="J417" s="88"/>
      <c r="K417" s="170"/>
      <c r="L417" s="168"/>
      <c r="M417" s="170"/>
      <c r="N417" s="170"/>
      <c r="O417" s="170"/>
      <c r="P417" s="88" t="s">
        <v>1602</v>
      </c>
    </row>
    <row r="418" spans="1:16" x14ac:dyDescent="0.25">
      <c r="A418" s="5">
        <v>222</v>
      </c>
      <c r="B418" s="60">
        <v>101917358</v>
      </c>
      <c r="C418" s="131" t="s">
        <v>1289</v>
      </c>
      <c r="D418" s="61" t="str">
        <f t="shared" si="11"/>
        <v>101917358/0043279946</v>
      </c>
      <c r="E418" s="69" t="s">
        <v>1290</v>
      </c>
      <c r="F418" s="57" t="s">
        <v>379</v>
      </c>
      <c r="G418" s="88"/>
      <c r="H418" s="72" t="s">
        <v>870</v>
      </c>
      <c r="I418" s="88"/>
      <c r="J418" s="88"/>
      <c r="K418" s="170"/>
      <c r="L418" s="168"/>
      <c r="M418" s="170"/>
      <c r="N418" s="170"/>
      <c r="O418" s="170"/>
      <c r="P418" s="88" t="s">
        <v>1602</v>
      </c>
    </row>
    <row r="419" spans="1:16" x14ac:dyDescent="0.25">
      <c r="A419" s="5">
        <v>223</v>
      </c>
      <c r="B419" s="60">
        <v>101917387</v>
      </c>
      <c r="C419" s="108" t="s">
        <v>1291</v>
      </c>
      <c r="D419" s="61" t="str">
        <f t="shared" si="11"/>
        <v>101917387/0041614443</v>
      </c>
      <c r="E419" s="107" t="s">
        <v>1292</v>
      </c>
      <c r="F419" s="74" t="s">
        <v>379</v>
      </c>
      <c r="G419" s="88"/>
      <c r="H419" s="72" t="s">
        <v>878</v>
      </c>
      <c r="I419" s="88"/>
      <c r="J419" s="88"/>
      <c r="K419" s="170"/>
      <c r="L419" s="168"/>
      <c r="M419" s="170"/>
      <c r="N419" s="170"/>
      <c r="O419" s="170"/>
      <c r="P419" s="88" t="s">
        <v>444</v>
      </c>
    </row>
    <row r="420" spans="1:16" x14ac:dyDescent="0.25">
      <c r="A420" s="5">
        <v>224</v>
      </c>
      <c r="B420" s="60">
        <v>101917388</v>
      </c>
      <c r="C420" s="108" t="s">
        <v>1293</v>
      </c>
      <c r="D420" s="61" t="str">
        <f t="shared" si="11"/>
        <v>101917388/0043316888</v>
      </c>
      <c r="E420" s="107" t="s">
        <v>1294</v>
      </c>
      <c r="F420" s="74" t="s">
        <v>379</v>
      </c>
      <c r="G420" s="88"/>
      <c r="H420" s="72" t="s">
        <v>878</v>
      </c>
      <c r="I420" s="88"/>
      <c r="J420" s="88"/>
      <c r="K420" s="170"/>
      <c r="L420" s="168"/>
      <c r="M420" s="170"/>
      <c r="N420" s="170"/>
      <c r="O420" s="170"/>
      <c r="P420" s="88" t="s">
        <v>444</v>
      </c>
    </row>
    <row r="421" spans="1:16" x14ac:dyDescent="0.25">
      <c r="A421" s="5">
        <v>225</v>
      </c>
      <c r="B421" s="60">
        <v>101917325</v>
      </c>
      <c r="C421" s="131" t="s">
        <v>1295</v>
      </c>
      <c r="D421" s="61" t="str">
        <f t="shared" si="11"/>
        <v>101917325/0049286241</v>
      </c>
      <c r="E421" s="69" t="s">
        <v>1296</v>
      </c>
      <c r="F421" s="57" t="s">
        <v>379</v>
      </c>
      <c r="G421" s="88"/>
      <c r="H421" s="72" t="s">
        <v>887</v>
      </c>
      <c r="I421" s="88"/>
      <c r="J421" s="88"/>
      <c r="K421" s="170"/>
      <c r="L421" s="168"/>
      <c r="M421" s="170"/>
      <c r="N421" s="170"/>
      <c r="O421" s="170"/>
      <c r="P421" s="88" t="s">
        <v>1602</v>
      </c>
    </row>
    <row r="422" spans="1:16" x14ac:dyDescent="0.25">
      <c r="A422" s="5">
        <v>226</v>
      </c>
      <c r="B422" s="60">
        <v>101917500</v>
      </c>
      <c r="C422" s="65" t="s">
        <v>1297</v>
      </c>
      <c r="D422" s="61" t="str">
        <f t="shared" si="11"/>
        <v>101917500/0037102399</v>
      </c>
      <c r="E422" s="94" t="s">
        <v>1298</v>
      </c>
      <c r="F422" s="57" t="s">
        <v>379</v>
      </c>
      <c r="G422" s="88"/>
      <c r="H422" s="72" t="s">
        <v>846</v>
      </c>
      <c r="I422" s="88"/>
      <c r="J422" s="88"/>
      <c r="K422" s="170"/>
      <c r="L422" s="168"/>
      <c r="M422" s="170"/>
      <c r="N422" s="170"/>
      <c r="O422" s="170"/>
      <c r="P422" s="88" t="s">
        <v>444</v>
      </c>
    </row>
    <row r="423" spans="1:16" x14ac:dyDescent="0.25">
      <c r="A423" s="5">
        <v>227</v>
      </c>
      <c r="B423" s="60">
        <v>101917284</v>
      </c>
      <c r="C423" s="131" t="s">
        <v>1299</v>
      </c>
      <c r="D423" s="61" t="str">
        <f t="shared" si="11"/>
        <v>101917284/0042472800</v>
      </c>
      <c r="E423" s="69" t="s">
        <v>1300</v>
      </c>
      <c r="F423" s="57" t="s">
        <v>379</v>
      </c>
      <c r="G423" s="88"/>
      <c r="H423" s="72" t="s">
        <v>851</v>
      </c>
      <c r="I423" s="88"/>
      <c r="J423" s="88"/>
      <c r="K423" s="170"/>
      <c r="L423" s="168"/>
      <c r="M423" s="170"/>
      <c r="N423" s="170"/>
      <c r="O423" s="170"/>
      <c r="P423" s="88" t="s">
        <v>1602</v>
      </c>
    </row>
    <row r="424" spans="1:16" x14ac:dyDescent="0.25">
      <c r="A424" s="5">
        <v>228</v>
      </c>
      <c r="B424" s="60">
        <v>101917432</v>
      </c>
      <c r="C424" s="132" t="s">
        <v>1301</v>
      </c>
      <c r="D424" s="61" t="str">
        <f t="shared" si="11"/>
        <v>101917432/0036562756</v>
      </c>
      <c r="E424" s="106" t="s">
        <v>1302</v>
      </c>
      <c r="F424" s="57" t="s">
        <v>379</v>
      </c>
      <c r="G424" s="88"/>
      <c r="H424" s="72" t="s">
        <v>854</v>
      </c>
      <c r="I424" s="88"/>
      <c r="J424" s="88"/>
      <c r="K424" s="170"/>
      <c r="L424" s="168"/>
      <c r="M424" s="170"/>
      <c r="N424" s="170"/>
      <c r="O424" s="170"/>
      <c r="P424" s="88" t="s">
        <v>444</v>
      </c>
    </row>
    <row r="425" spans="1:16" x14ac:dyDescent="0.25">
      <c r="A425" s="5">
        <v>229</v>
      </c>
      <c r="B425" s="60">
        <v>101917533</v>
      </c>
      <c r="C425" s="71" t="s">
        <v>1303</v>
      </c>
      <c r="D425" s="61" t="str">
        <f t="shared" si="11"/>
        <v>101917533/0049931710</v>
      </c>
      <c r="E425" s="107" t="s">
        <v>1304</v>
      </c>
      <c r="F425" s="57" t="s">
        <v>379</v>
      </c>
      <c r="G425" s="88"/>
      <c r="H425" s="72" t="s">
        <v>863</v>
      </c>
      <c r="I425" s="88"/>
      <c r="J425" s="88"/>
      <c r="K425" s="170"/>
      <c r="L425" s="168"/>
      <c r="M425" s="170"/>
      <c r="N425" s="170"/>
      <c r="O425" s="170"/>
      <c r="P425" s="88" t="s">
        <v>444</v>
      </c>
    </row>
    <row r="426" spans="1:16" x14ac:dyDescent="0.25">
      <c r="A426" s="5">
        <v>230</v>
      </c>
      <c r="B426" s="60">
        <v>101917467</v>
      </c>
      <c r="C426" s="65" t="s">
        <v>1305</v>
      </c>
      <c r="D426" s="61" t="str">
        <f t="shared" si="11"/>
        <v>101917467/0044619590</v>
      </c>
      <c r="E426" s="105" t="s">
        <v>1306</v>
      </c>
      <c r="F426" s="57" t="s">
        <v>379</v>
      </c>
      <c r="G426" s="88"/>
      <c r="H426" s="72" t="s">
        <v>843</v>
      </c>
      <c r="I426" s="88"/>
      <c r="J426" s="88"/>
      <c r="K426" s="170"/>
      <c r="L426" s="168"/>
      <c r="M426" s="170"/>
      <c r="N426" s="170"/>
      <c r="O426" s="170"/>
      <c r="P426" s="88" t="s">
        <v>444</v>
      </c>
    </row>
    <row r="427" spans="1:16" x14ac:dyDescent="0.25">
      <c r="A427" s="5">
        <v>231</v>
      </c>
      <c r="B427" s="60">
        <v>101917389</v>
      </c>
      <c r="C427" s="108" t="s">
        <v>1307</v>
      </c>
      <c r="D427" s="61" t="str">
        <f t="shared" si="11"/>
        <v>101917389/0043843468</v>
      </c>
      <c r="E427" s="107" t="s">
        <v>1308</v>
      </c>
      <c r="F427" s="74" t="s">
        <v>379</v>
      </c>
      <c r="G427" s="88"/>
      <c r="H427" s="72" t="s">
        <v>878</v>
      </c>
      <c r="I427" s="88"/>
      <c r="J427" s="88"/>
      <c r="K427" s="170"/>
      <c r="L427" s="168"/>
      <c r="M427" s="170"/>
      <c r="N427" s="170"/>
      <c r="O427" s="170"/>
      <c r="P427" s="88" t="s">
        <v>444</v>
      </c>
    </row>
    <row r="428" spans="1:16" x14ac:dyDescent="0.25">
      <c r="A428" s="5">
        <v>232</v>
      </c>
      <c r="B428" s="60">
        <v>101917285</v>
      </c>
      <c r="C428" s="131" t="s">
        <v>1309</v>
      </c>
      <c r="D428" s="61" t="str">
        <f t="shared" si="11"/>
        <v>101917285/0036976612</v>
      </c>
      <c r="E428" s="69" t="s">
        <v>1310</v>
      </c>
      <c r="F428" s="57" t="s">
        <v>379</v>
      </c>
      <c r="G428" s="88"/>
      <c r="H428" s="72" t="s">
        <v>851</v>
      </c>
      <c r="I428" s="88"/>
      <c r="J428" s="88"/>
      <c r="K428" s="170"/>
      <c r="L428" s="168"/>
      <c r="M428" s="170"/>
      <c r="N428" s="170"/>
      <c r="O428" s="170"/>
      <c r="P428" s="88" t="s">
        <v>1602</v>
      </c>
    </row>
    <row r="429" spans="1:16" x14ac:dyDescent="0.25">
      <c r="A429" s="5">
        <v>233</v>
      </c>
      <c r="B429" s="60">
        <v>101917390</v>
      </c>
      <c r="C429" s="108" t="s">
        <v>1311</v>
      </c>
      <c r="D429" s="61" t="str">
        <f t="shared" si="11"/>
        <v>101917390/0037047612</v>
      </c>
      <c r="E429" s="107" t="s">
        <v>1312</v>
      </c>
      <c r="F429" s="74" t="s">
        <v>379</v>
      </c>
      <c r="G429" s="88"/>
      <c r="H429" s="72" t="s">
        <v>878</v>
      </c>
      <c r="I429" s="88"/>
      <c r="J429" s="88"/>
      <c r="K429" s="170"/>
      <c r="L429" s="168"/>
      <c r="M429" s="170"/>
      <c r="N429" s="170"/>
      <c r="O429" s="170"/>
      <c r="P429" s="88" t="s">
        <v>444</v>
      </c>
    </row>
    <row r="430" spans="1:16" x14ac:dyDescent="0.25">
      <c r="A430" s="5">
        <v>234</v>
      </c>
      <c r="B430" s="60">
        <v>101917212</v>
      </c>
      <c r="C430" s="131" t="s">
        <v>1313</v>
      </c>
      <c r="D430" s="61" t="str">
        <f t="shared" si="11"/>
        <v>101917212/0036976926</v>
      </c>
      <c r="E430" s="69" t="s">
        <v>1314</v>
      </c>
      <c r="F430" s="57" t="s">
        <v>379</v>
      </c>
      <c r="G430" s="88"/>
      <c r="H430" s="72" t="s">
        <v>840</v>
      </c>
      <c r="I430" s="88"/>
      <c r="J430" s="88"/>
      <c r="K430" s="170"/>
      <c r="L430" s="168"/>
      <c r="M430" s="170"/>
      <c r="N430" s="170"/>
      <c r="O430" s="170"/>
      <c r="P430" s="88" t="s">
        <v>1602</v>
      </c>
    </row>
    <row r="431" spans="1:16" x14ac:dyDescent="0.25">
      <c r="A431" s="5">
        <v>235</v>
      </c>
      <c r="B431" s="60">
        <v>101917391</v>
      </c>
      <c r="C431" s="134" t="s">
        <v>1315</v>
      </c>
      <c r="D431" s="61" t="str">
        <f t="shared" si="11"/>
        <v>101917391/0042129099</v>
      </c>
      <c r="E431" s="107" t="s">
        <v>1316</v>
      </c>
      <c r="F431" s="74" t="s">
        <v>379</v>
      </c>
      <c r="G431" s="88"/>
      <c r="H431" s="72" t="s">
        <v>878</v>
      </c>
      <c r="I431" s="88"/>
      <c r="J431" s="88"/>
      <c r="K431" s="170"/>
      <c r="L431" s="168"/>
      <c r="M431" s="170"/>
      <c r="N431" s="170"/>
      <c r="O431" s="170"/>
      <c r="P431" s="88" t="s">
        <v>444</v>
      </c>
    </row>
    <row r="432" spans="1:16" x14ac:dyDescent="0.25">
      <c r="A432" s="5">
        <v>236</v>
      </c>
      <c r="B432" s="60">
        <v>101917249</v>
      </c>
      <c r="C432" s="131" t="s">
        <v>1317</v>
      </c>
      <c r="D432" s="61" t="str">
        <f t="shared" si="11"/>
        <v>101917249/0046922155</v>
      </c>
      <c r="E432" s="69" t="s">
        <v>1318</v>
      </c>
      <c r="F432" s="57" t="s">
        <v>379</v>
      </c>
      <c r="G432" s="88"/>
      <c r="H432" s="72" t="s">
        <v>875</v>
      </c>
      <c r="I432" s="88"/>
      <c r="J432" s="88"/>
      <c r="K432" s="170"/>
      <c r="L432" s="168"/>
      <c r="M432" s="170"/>
      <c r="N432" s="170"/>
      <c r="O432" s="170"/>
      <c r="P432" s="88" t="s">
        <v>1602</v>
      </c>
    </row>
    <row r="433" spans="1:16" x14ac:dyDescent="0.25">
      <c r="A433" s="5">
        <v>237</v>
      </c>
      <c r="B433" s="60">
        <v>101917392</v>
      </c>
      <c r="C433" s="108" t="s">
        <v>1319</v>
      </c>
      <c r="D433" s="61" t="str">
        <f t="shared" si="11"/>
        <v>101917392/0048783531</v>
      </c>
      <c r="E433" s="107" t="s">
        <v>1320</v>
      </c>
      <c r="F433" s="74" t="s">
        <v>379</v>
      </c>
      <c r="G433" s="88"/>
      <c r="H433" s="72" t="s">
        <v>878</v>
      </c>
      <c r="I433" s="88"/>
      <c r="J433" s="88"/>
      <c r="K433" s="170"/>
      <c r="L433" s="168"/>
      <c r="M433" s="170"/>
      <c r="N433" s="170"/>
      <c r="O433" s="170"/>
      <c r="P433" s="88" t="s">
        <v>444</v>
      </c>
    </row>
    <row r="434" spans="1:16" x14ac:dyDescent="0.25">
      <c r="A434" s="5">
        <v>238</v>
      </c>
      <c r="B434" s="60">
        <v>101917213</v>
      </c>
      <c r="C434" s="131" t="s">
        <v>1321</v>
      </c>
      <c r="D434" s="61" t="str">
        <f t="shared" si="11"/>
        <v>101917213/0036665225</v>
      </c>
      <c r="E434" s="69" t="s">
        <v>1322</v>
      </c>
      <c r="F434" s="57" t="s">
        <v>379</v>
      </c>
      <c r="G434" s="88"/>
      <c r="H434" s="72" t="s">
        <v>840</v>
      </c>
      <c r="I434" s="88"/>
      <c r="J434" s="88"/>
      <c r="K434" s="170"/>
      <c r="L434" s="168"/>
      <c r="M434" s="170"/>
      <c r="N434" s="170"/>
      <c r="O434" s="170"/>
      <c r="P434" s="88" t="s">
        <v>1602</v>
      </c>
    </row>
    <row r="435" spans="1:16" x14ac:dyDescent="0.25">
      <c r="A435" s="5">
        <v>239</v>
      </c>
      <c r="B435" s="60">
        <v>101917468</v>
      </c>
      <c r="C435" s="65" t="s">
        <v>1323</v>
      </c>
      <c r="D435" s="61" t="str">
        <f t="shared" si="11"/>
        <v>101917468/0031001057</v>
      </c>
      <c r="E435" s="105" t="s">
        <v>1324</v>
      </c>
      <c r="F435" s="57" t="s">
        <v>379</v>
      </c>
      <c r="G435" s="88"/>
      <c r="H435" s="72" t="s">
        <v>843</v>
      </c>
      <c r="I435" s="88"/>
      <c r="J435" s="88"/>
      <c r="K435" s="170"/>
      <c r="L435" s="168"/>
      <c r="M435" s="170"/>
      <c r="N435" s="170"/>
      <c r="O435" s="170"/>
      <c r="P435" s="88" t="s">
        <v>444</v>
      </c>
    </row>
    <row r="436" spans="1:16" x14ac:dyDescent="0.25">
      <c r="A436" s="5">
        <v>240</v>
      </c>
      <c r="B436" s="60">
        <v>101917286</v>
      </c>
      <c r="C436" s="131" t="s">
        <v>1325</v>
      </c>
      <c r="D436" s="61" t="str">
        <f t="shared" si="11"/>
        <v>101917286/0040559485</v>
      </c>
      <c r="E436" s="69" t="s">
        <v>1326</v>
      </c>
      <c r="F436" s="57" t="s">
        <v>379</v>
      </c>
      <c r="G436" s="88"/>
      <c r="H436" s="72" t="s">
        <v>851</v>
      </c>
      <c r="I436" s="88"/>
      <c r="J436" s="88"/>
      <c r="K436" s="170"/>
      <c r="L436" s="168"/>
      <c r="M436" s="170"/>
      <c r="N436" s="170"/>
      <c r="O436" s="170"/>
      <c r="P436" s="88" t="s">
        <v>1602</v>
      </c>
    </row>
    <row r="437" spans="1:16" x14ac:dyDescent="0.25">
      <c r="A437" s="5">
        <v>241</v>
      </c>
      <c r="B437" s="60">
        <v>101917214</v>
      </c>
      <c r="C437" s="131" t="s">
        <v>1327</v>
      </c>
      <c r="D437" s="61" t="str">
        <f t="shared" si="11"/>
        <v>101917214/0046230985</v>
      </c>
      <c r="E437" s="69" t="s">
        <v>1328</v>
      </c>
      <c r="F437" s="57" t="s">
        <v>381</v>
      </c>
      <c r="G437" s="88"/>
      <c r="H437" s="72" t="s">
        <v>840</v>
      </c>
      <c r="I437" s="88"/>
      <c r="J437" s="88"/>
      <c r="K437" s="170"/>
      <c r="L437" s="168"/>
      <c r="M437" s="170"/>
      <c r="N437" s="170"/>
      <c r="O437" s="170"/>
      <c r="P437" s="88" t="s">
        <v>1602</v>
      </c>
    </row>
    <row r="438" spans="1:16" x14ac:dyDescent="0.25">
      <c r="A438" s="5">
        <v>242</v>
      </c>
      <c r="B438" s="60">
        <v>101917287</v>
      </c>
      <c r="C438" s="131" t="s">
        <v>1329</v>
      </c>
      <c r="D438" s="61" t="str">
        <f t="shared" si="11"/>
        <v>101917287/0043094815</v>
      </c>
      <c r="E438" s="69" t="s">
        <v>1330</v>
      </c>
      <c r="F438" s="57" t="s">
        <v>381</v>
      </c>
      <c r="G438" s="88"/>
      <c r="H438" s="72" t="s">
        <v>851</v>
      </c>
      <c r="I438" s="88"/>
      <c r="J438" s="88"/>
      <c r="K438" s="170"/>
      <c r="L438" s="168"/>
      <c r="M438" s="170"/>
      <c r="N438" s="170"/>
      <c r="O438" s="170"/>
      <c r="P438" s="88" t="s">
        <v>1602</v>
      </c>
    </row>
    <row r="439" spans="1:16" x14ac:dyDescent="0.25">
      <c r="A439" s="5">
        <v>243</v>
      </c>
      <c r="B439" s="60">
        <v>101917178</v>
      </c>
      <c r="C439" s="131" t="s">
        <v>1331</v>
      </c>
      <c r="D439" s="61" t="str">
        <f t="shared" si="11"/>
        <v>101917178/0042615894</v>
      </c>
      <c r="E439" s="69" t="s">
        <v>1332</v>
      </c>
      <c r="F439" s="57" t="s">
        <v>381</v>
      </c>
      <c r="G439" s="88"/>
      <c r="H439" s="72" t="s">
        <v>837</v>
      </c>
      <c r="I439" s="88"/>
      <c r="J439" s="88"/>
      <c r="K439" s="170"/>
      <c r="L439" s="168"/>
      <c r="M439" s="170"/>
      <c r="N439" s="170"/>
      <c r="O439" s="170"/>
      <c r="P439" s="88" t="s">
        <v>1602</v>
      </c>
    </row>
    <row r="440" spans="1:16" x14ac:dyDescent="0.25">
      <c r="A440" s="5">
        <v>244</v>
      </c>
      <c r="B440" s="60">
        <v>101917251</v>
      </c>
      <c r="C440" s="131" t="s">
        <v>1333</v>
      </c>
      <c r="D440" s="61" t="str">
        <f t="shared" si="11"/>
        <v>101917251/0043277135</v>
      </c>
      <c r="E440" s="69" t="s">
        <v>1334</v>
      </c>
      <c r="F440" s="57" t="s">
        <v>381</v>
      </c>
      <c r="G440" s="88"/>
      <c r="H440" s="72" t="s">
        <v>875</v>
      </c>
      <c r="I440" s="88"/>
      <c r="J440" s="88"/>
      <c r="K440" s="170"/>
      <c r="L440" s="168"/>
      <c r="M440" s="170"/>
      <c r="N440" s="170"/>
      <c r="O440" s="170"/>
      <c r="P440" s="88" t="s">
        <v>1602</v>
      </c>
    </row>
    <row r="441" spans="1:16" x14ac:dyDescent="0.25">
      <c r="A441" s="5">
        <v>245</v>
      </c>
      <c r="B441" s="60">
        <v>101917252</v>
      </c>
      <c r="C441" s="131" t="s">
        <v>1335</v>
      </c>
      <c r="D441" s="61" t="str">
        <f t="shared" si="11"/>
        <v>101917252/0043377457</v>
      </c>
      <c r="E441" s="69" t="s">
        <v>1336</v>
      </c>
      <c r="F441" s="57" t="s">
        <v>381</v>
      </c>
      <c r="G441" s="88"/>
      <c r="H441" s="72" t="s">
        <v>875</v>
      </c>
      <c r="I441" s="88"/>
      <c r="J441" s="88"/>
      <c r="K441" s="170"/>
      <c r="L441" s="168"/>
      <c r="M441" s="170"/>
      <c r="N441" s="170"/>
      <c r="O441" s="170"/>
      <c r="P441" s="88" t="s">
        <v>1602</v>
      </c>
    </row>
    <row r="442" spans="1:16" x14ac:dyDescent="0.25">
      <c r="A442" s="5">
        <v>246</v>
      </c>
      <c r="B442" s="60">
        <v>101917179</v>
      </c>
      <c r="C442" s="131" t="s">
        <v>1337</v>
      </c>
      <c r="D442" s="61" t="str">
        <f t="shared" si="11"/>
        <v>101917179/0043797950</v>
      </c>
      <c r="E442" s="69" t="s">
        <v>1338</v>
      </c>
      <c r="F442" s="57" t="s">
        <v>381</v>
      </c>
      <c r="G442" s="88"/>
      <c r="H442" s="72" t="s">
        <v>837</v>
      </c>
      <c r="I442" s="88"/>
      <c r="J442" s="88"/>
      <c r="K442" s="170"/>
      <c r="L442" s="168"/>
      <c r="M442" s="170"/>
      <c r="N442" s="170"/>
      <c r="O442" s="170"/>
      <c r="P442" s="88" t="s">
        <v>1602</v>
      </c>
    </row>
    <row r="443" spans="1:16" x14ac:dyDescent="0.25">
      <c r="A443" s="5">
        <v>247</v>
      </c>
      <c r="B443" s="60">
        <v>101917534</v>
      </c>
      <c r="C443" s="71" t="s">
        <v>1339</v>
      </c>
      <c r="D443" s="61" t="str">
        <f t="shared" si="11"/>
        <v>101917534/0034467910</v>
      </c>
      <c r="E443" s="107" t="s">
        <v>1340</v>
      </c>
      <c r="F443" s="57" t="s">
        <v>379</v>
      </c>
      <c r="G443" s="88"/>
      <c r="H443" s="72" t="s">
        <v>863</v>
      </c>
      <c r="I443" s="88"/>
      <c r="J443" s="88"/>
      <c r="K443" s="170"/>
      <c r="L443" s="168"/>
      <c r="M443" s="170"/>
      <c r="N443" s="170"/>
      <c r="O443" s="170"/>
      <c r="P443" s="88" t="s">
        <v>444</v>
      </c>
    </row>
    <row r="444" spans="1:16" x14ac:dyDescent="0.25">
      <c r="A444" s="5">
        <v>248</v>
      </c>
      <c r="B444" s="60">
        <v>101917501</v>
      </c>
      <c r="C444" s="65" t="s">
        <v>1341</v>
      </c>
      <c r="D444" s="61" t="str">
        <f t="shared" si="11"/>
        <v>101917501/0042903121</v>
      </c>
      <c r="E444" s="94" t="s">
        <v>1342</v>
      </c>
      <c r="F444" s="57" t="s">
        <v>379</v>
      </c>
      <c r="G444" s="88"/>
      <c r="H444" s="72" t="s">
        <v>846</v>
      </c>
      <c r="I444" s="88"/>
      <c r="J444" s="88"/>
      <c r="K444" s="170"/>
      <c r="L444" s="168"/>
      <c r="M444" s="170"/>
      <c r="N444" s="170"/>
      <c r="O444" s="170"/>
      <c r="P444" s="88" t="s">
        <v>444</v>
      </c>
    </row>
    <row r="445" spans="1:16" x14ac:dyDescent="0.25">
      <c r="A445" s="5">
        <v>249</v>
      </c>
      <c r="B445" s="60">
        <v>101917502</v>
      </c>
      <c r="C445" s="65" t="s">
        <v>1343</v>
      </c>
      <c r="D445" s="61" t="str">
        <f t="shared" si="11"/>
        <v>101917502/0043273117</v>
      </c>
      <c r="E445" s="94" t="s">
        <v>1344</v>
      </c>
      <c r="F445" s="57" t="s">
        <v>379</v>
      </c>
      <c r="G445" s="88"/>
      <c r="H445" s="72" t="s">
        <v>846</v>
      </c>
      <c r="I445" s="88"/>
      <c r="J445" s="88"/>
      <c r="K445" s="170"/>
      <c r="L445" s="168"/>
      <c r="M445" s="170"/>
      <c r="N445" s="170"/>
      <c r="O445" s="170"/>
      <c r="P445" s="88" t="s">
        <v>444</v>
      </c>
    </row>
    <row r="446" spans="1:16" x14ac:dyDescent="0.25">
      <c r="A446" s="5">
        <v>250</v>
      </c>
      <c r="B446" s="60">
        <v>101917503</v>
      </c>
      <c r="C446" s="130" t="s">
        <v>1345</v>
      </c>
      <c r="D446" s="61" t="str">
        <f t="shared" si="11"/>
        <v>101917503/0042558815</v>
      </c>
      <c r="E446" s="94" t="s">
        <v>1346</v>
      </c>
      <c r="F446" s="57" t="s">
        <v>379</v>
      </c>
      <c r="G446" s="88"/>
      <c r="H446" s="72" t="s">
        <v>846</v>
      </c>
      <c r="I446" s="88"/>
      <c r="J446" s="88"/>
      <c r="K446" s="170"/>
      <c r="L446" s="168"/>
      <c r="M446" s="170"/>
      <c r="N446" s="170"/>
      <c r="O446" s="170"/>
      <c r="P446" s="88" t="s">
        <v>444</v>
      </c>
    </row>
    <row r="447" spans="1:16" x14ac:dyDescent="0.25">
      <c r="A447" s="5">
        <v>251</v>
      </c>
      <c r="B447" s="60">
        <v>101917215</v>
      </c>
      <c r="C447" s="131" t="s">
        <v>1347</v>
      </c>
      <c r="D447" s="61" t="str">
        <f t="shared" ref="D447:D510" si="12">B447&amp;"/"&amp;C447</f>
        <v>101917215/0042077531</v>
      </c>
      <c r="E447" s="69" t="s">
        <v>1348</v>
      </c>
      <c r="F447" s="57" t="s">
        <v>379</v>
      </c>
      <c r="G447" s="88"/>
      <c r="H447" s="72" t="s">
        <v>840</v>
      </c>
      <c r="I447" s="88"/>
      <c r="J447" s="88"/>
      <c r="K447" s="170"/>
      <c r="L447" s="168"/>
      <c r="M447" s="170"/>
      <c r="N447" s="170"/>
      <c r="O447" s="170"/>
      <c r="P447" s="88" t="s">
        <v>1602</v>
      </c>
    </row>
    <row r="448" spans="1:16" x14ac:dyDescent="0.25">
      <c r="A448" s="5">
        <v>252</v>
      </c>
      <c r="B448" s="60">
        <v>101917359</v>
      </c>
      <c r="C448" s="131" t="s">
        <v>1349</v>
      </c>
      <c r="D448" s="61" t="str">
        <f t="shared" si="12"/>
        <v>101917359/0043856160</v>
      </c>
      <c r="E448" s="69" t="s">
        <v>1350</v>
      </c>
      <c r="F448" s="57" t="s">
        <v>381</v>
      </c>
      <c r="G448" s="88"/>
      <c r="H448" s="72" t="s">
        <v>870</v>
      </c>
      <c r="I448" s="88"/>
      <c r="J448" s="88"/>
      <c r="K448" s="170"/>
      <c r="L448" s="168"/>
      <c r="M448" s="170"/>
      <c r="N448" s="170"/>
      <c r="O448" s="170"/>
      <c r="P448" s="88" t="s">
        <v>1602</v>
      </c>
    </row>
    <row r="449" spans="1:16" x14ac:dyDescent="0.25">
      <c r="A449" s="5">
        <v>253</v>
      </c>
      <c r="B449" s="60">
        <v>101917180</v>
      </c>
      <c r="C449" s="131" t="s">
        <v>1351</v>
      </c>
      <c r="D449" s="61" t="str">
        <f t="shared" si="12"/>
        <v>101917180/0047585752</v>
      </c>
      <c r="E449" s="69" t="s">
        <v>1352</v>
      </c>
      <c r="F449" s="57" t="s">
        <v>379</v>
      </c>
      <c r="G449" s="88"/>
      <c r="H449" s="72" t="s">
        <v>837</v>
      </c>
      <c r="I449" s="88"/>
      <c r="J449" s="88"/>
      <c r="K449" s="170"/>
      <c r="L449" s="168"/>
      <c r="M449" s="170"/>
      <c r="N449" s="170"/>
      <c r="O449" s="170"/>
      <c r="P449" s="88" t="s">
        <v>1602</v>
      </c>
    </row>
    <row r="450" spans="1:16" x14ac:dyDescent="0.25">
      <c r="A450" s="5">
        <v>254</v>
      </c>
      <c r="B450" s="60">
        <v>101917469</v>
      </c>
      <c r="C450" s="65" t="s">
        <v>1353</v>
      </c>
      <c r="D450" s="61" t="str">
        <f t="shared" si="12"/>
        <v>101917469/0047194295</v>
      </c>
      <c r="E450" s="105" t="s">
        <v>1354</v>
      </c>
      <c r="F450" s="57" t="s">
        <v>379</v>
      </c>
      <c r="G450" s="88"/>
      <c r="H450" s="72" t="s">
        <v>843</v>
      </c>
      <c r="I450" s="88"/>
      <c r="J450" s="88"/>
      <c r="K450" s="170"/>
      <c r="L450" s="168"/>
      <c r="M450" s="170"/>
      <c r="N450" s="170"/>
      <c r="O450" s="170"/>
      <c r="P450" s="88" t="s">
        <v>444</v>
      </c>
    </row>
    <row r="451" spans="1:16" x14ac:dyDescent="0.25">
      <c r="A451" s="5">
        <v>255</v>
      </c>
      <c r="B451" s="60">
        <v>101917535</v>
      </c>
      <c r="C451" s="71" t="s">
        <v>1355</v>
      </c>
      <c r="D451" s="61" t="str">
        <f t="shared" si="12"/>
        <v>101917535/0048161495</v>
      </c>
      <c r="E451" s="107" t="s">
        <v>1356</v>
      </c>
      <c r="F451" s="57" t="s">
        <v>379</v>
      </c>
      <c r="G451" s="88"/>
      <c r="H451" s="72" t="s">
        <v>863</v>
      </c>
      <c r="I451" s="88"/>
      <c r="J451" s="88"/>
      <c r="K451" s="170"/>
      <c r="L451" s="168"/>
      <c r="M451" s="170"/>
      <c r="N451" s="170"/>
      <c r="O451" s="170"/>
      <c r="P451" s="88" t="s">
        <v>444</v>
      </c>
    </row>
    <row r="452" spans="1:16" x14ac:dyDescent="0.25">
      <c r="A452" s="5">
        <v>256</v>
      </c>
      <c r="B452" s="60">
        <v>101917216</v>
      </c>
      <c r="C452" s="131" t="s">
        <v>1357</v>
      </c>
      <c r="D452" s="61" t="str">
        <f t="shared" si="12"/>
        <v>101917216/0043377420</v>
      </c>
      <c r="E452" s="69" t="s">
        <v>1358</v>
      </c>
      <c r="F452" s="57" t="s">
        <v>381</v>
      </c>
      <c r="G452" s="88"/>
      <c r="H452" s="72" t="s">
        <v>840</v>
      </c>
      <c r="I452" s="88"/>
      <c r="J452" s="88"/>
      <c r="K452" s="170"/>
      <c r="L452" s="168"/>
      <c r="M452" s="170"/>
      <c r="N452" s="170"/>
      <c r="O452" s="170"/>
      <c r="P452" s="88" t="s">
        <v>1602</v>
      </c>
    </row>
    <row r="453" spans="1:16" x14ac:dyDescent="0.25">
      <c r="A453" s="5">
        <v>257</v>
      </c>
      <c r="B453" s="60">
        <v>101917217</v>
      </c>
      <c r="C453" s="131" t="s">
        <v>1359</v>
      </c>
      <c r="D453" s="61" t="str">
        <f t="shared" si="12"/>
        <v>101917217/0041547347</v>
      </c>
      <c r="E453" s="69" t="s">
        <v>1360</v>
      </c>
      <c r="F453" s="57" t="s">
        <v>381</v>
      </c>
      <c r="G453" s="88"/>
      <c r="H453" s="72" t="s">
        <v>840</v>
      </c>
      <c r="I453" s="88"/>
      <c r="J453" s="88"/>
      <c r="K453" s="170"/>
      <c r="L453" s="168"/>
      <c r="M453" s="170"/>
      <c r="N453" s="170"/>
      <c r="O453" s="170"/>
      <c r="P453" s="88" t="s">
        <v>1602</v>
      </c>
    </row>
    <row r="454" spans="1:16" x14ac:dyDescent="0.25">
      <c r="A454" s="5">
        <v>258</v>
      </c>
      <c r="B454" s="60">
        <v>101917288</v>
      </c>
      <c r="C454" s="131" t="s">
        <v>1361</v>
      </c>
      <c r="D454" s="61" t="str">
        <f t="shared" si="12"/>
        <v>101917288/0036496292</v>
      </c>
      <c r="E454" s="69" t="s">
        <v>1362</v>
      </c>
      <c r="F454" s="57" t="s">
        <v>381</v>
      </c>
      <c r="G454" s="88"/>
      <c r="H454" s="72" t="s">
        <v>851</v>
      </c>
      <c r="I454" s="88"/>
      <c r="J454" s="88"/>
      <c r="K454" s="170"/>
      <c r="L454" s="168"/>
      <c r="M454" s="170"/>
      <c r="N454" s="170"/>
      <c r="O454" s="170"/>
      <c r="P454" s="88" t="s">
        <v>1602</v>
      </c>
    </row>
    <row r="455" spans="1:16" x14ac:dyDescent="0.25">
      <c r="A455" s="5">
        <v>259</v>
      </c>
      <c r="B455" s="60">
        <v>101917289</v>
      </c>
      <c r="C455" s="131" t="s">
        <v>1363</v>
      </c>
      <c r="D455" s="61" t="str">
        <f t="shared" si="12"/>
        <v>101917289/00394478824</v>
      </c>
      <c r="E455" s="69" t="s">
        <v>1364</v>
      </c>
      <c r="F455" s="57" t="s">
        <v>381</v>
      </c>
      <c r="G455" s="88"/>
      <c r="H455" s="72" t="s">
        <v>851</v>
      </c>
      <c r="I455" s="88"/>
      <c r="J455" s="88"/>
      <c r="K455" s="170"/>
      <c r="L455" s="168"/>
      <c r="M455" s="170"/>
      <c r="N455" s="170"/>
      <c r="O455" s="170"/>
      <c r="P455" s="88" t="s">
        <v>1602</v>
      </c>
    </row>
    <row r="456" spans="1:16" x14ac:dyDescent="0.25">
      <c r="A456" s="5">
        <v>260</v>
      </c>
      <c r="B456" s="60">
        <v>101917181</v>
      </c>
      <c r="C456" s="131" t="s">
        <v>1365</v>
      </c>
      <c r="D456" s="61" t="str">
        <f t="shared" si="12"/>
        <v>101917181/0048722217</v>
      </c>
      <c r="E456" s="69" t="s">
        <v>1366</v>
      </c>
      <c r="F456" s="57" t="s">
        <v>381</v>
      </c>
      <c r="G456" s="88"/>
      <c r="H456" s="72" t="s">
        <v>837</v>
      </c>
      <c r="I456" s="88"/>
      <c r="J456" s="88"/>
      <c r="K456" s="170"/>
      <c r="L456" s="168"/>
      <c r="M456" s="170"/>
      <c r="N456" s="170"/>
      <c r="O456" s="170"/>
      <c r="P456" s="88" t="s">
        <v>1602</v>
      </c>
    </row>
    <row r="457" spans="1:16" x14ac:dyDescent="0.25">
      <c r="A457" s="5">
        <v>261</v>
      </c>
      <c r="B457" s="60">
        <v>101917504</v>
      </c>
      <c r="C457" s="133" t="s">
        <v>1367</v>
      </c>
      <c r="D457" s="61" t="str">
        <f t="shared" si="12"/>
        <v>101917504/0054547926</v>
      </c>
      <c r="E457" s="94" t="s">
        <v>1368</v>
      </c>
      <c r="F457" s="57" t="s">
        <v>381</v>
      </c>
      <c r="G457" s="88"/>
      <c r="H457" s="72" t="s">
        <v>846</v>
      </c>
      <c r="I457" s="88"/>
      <c r="J457" s="88"/>
      <c r="K457" s="170"/>
      <c r="L457" s="168"/>
      <c r="M457" s="170"/>
      <c r="N457" s="170"/>
      <c r="O457" s="170"/>
      <c r="P457" s="88" t="s">
        <v>444</v>
      </c>
    </row>
    <row r="458" spans="1:16" x14ac:dyDescent="0.25">
      <c r="A458" s="5">
        <v>262</v>
      </c>
      <c r="B458" s="60">
        <v>101917218</v>
      </c>
      <c r="C458" s="131" t="s">
        <v>1369</v>
      </c>
      <c r="D458" s="61" t="str">
        <f t="shared" si="12"/>
        <v>101917218/0043340048</v>
      </c>
      <c r="E458" s="69" t="s">
        <v>1370</v>
      </c>
      <c r="F458" s="57" t="s">
        <v>381</v>
      </c>
      <c r="G458" s="88"/>
      <c r="H458" s="72" t="s">
        <v>840</v>
      </c>
      <c r="I458" s="88"/>
      <c r="J458" s="88"/>
      <c r="K458" s="170"/>
      <c r="L458" s="168"/>
      <c r="M458" s="170"/>
      <c r="N458" s="170"/>
      <c r="O458" s="170"/>
      <c r="P458" s="88" t="s">
        <v>1602</v>
      </c>
    </row>
    <row r="459" spans="1:16" x14ac:dyDescent="0.25">
      <c r="A459" s="5">
        <v>263</v>
      </c>
      <c r="B459" s="60">
        <v>101917182</v>
      </c>
      <c r="C459" s="131" t="s">
        <v>1371</v>
      </c>
      <c r="D459" s="61" t="str">
        <f t="shared" si="12"/>
        <v>101917182/0036450434</v>
      </c>
      <c r="E459" s="69" t="s">
        <v>1372</v>
      </c>
      <c r="F459" s="57" t="s">
        <v>381</v>
      </c>
      <c r="G459" s="88"/>
      <c r="H459" s="72" t="s">
        <v>837</v>
      </c>
      <c r="I459" s="88"/>
      <c r="J459" s="88"/>
      <c r="K459" s="170"/>
      <c r="L459" s="168"/>
      <c r="M459" s="170"/>
      <c r="N459" s="170"/>
      <c r="O459" s="170"/>
      <c r="P459" s="88" t="s">
        <v>1602</v>
      </c>
    </row>
    <row r="460" spans="1:16" x14ac:dyDescent="0.25">
      <c r="A460" s="5">
        <v>264</v>
      </c>
      <c r="B460" s="60">
        <v>101917290</v>
      </c>
      <c r="C460" s="131" t="s">
        <v>1373</v>
      </c>
      <c r="D460" s="61" t="str">
        <f t="shared" si="12"/>
        <v>101917290/0043054414</v>
      </c>
      <c r="E460" s="69" t="s">
        <v>1374</v>
      </c>
      <c r="F460" s="57" t="s">
        <v>381</v>
      </c>
      <c r="G460" s="88"/>
      <c r="H460" s="72" t="s">
        <v>851</v>
      </c>
      <c r="I460" s="88"/>
      <c r="J460" s="88"/>
      <c r="K460" s="170"/>
      <c r="L460" s="168"/>
      <c r="M460" s="170"/>
      <c r="N460" s="170"/>
      <c r="O460" s="170"/>
      <c r="P460" s="88" t="s">
        <v>1602</v>
      </c>
    </row>
    <row r="461" spans="1:16" x14ac:dyDescent="0.25">
      <c r="A461" s="5">
        <v>265</v>
      </c>
      <c r="B461" s="60">
        <v>101917253</v>
      </c>
      <c r="C461" s="131" t="s">
        <v>1375</v>
      </c>
      <c r="D461" s="61" t="str">
        <f t="shared" si="12"/>
        <v>101917253/0042633525</v>
      </c>
      <c r="E461" s="69" t="s">
        <v>1376</v>
      </c>
      <c r="F461" s="57" t="s">
        <v>381</v>
      </c>
      <c r="G461" s="88"/>
      <c r="H461" s="72" t="s">
        <v>875</v>
      </c>
      <c r="I461" s="88"/>
      <c r="J461" s="88"/>
      <c r="K461" s="170"/>
      <c r="L461" s="168"/>
      <c r="M461" s="170"/>
      <c r="N461" s="170"/>
      <c r="O461" s="170"/>
      <c r="P461" s="88" t="s">
        <v>1602</v>
      </c>
    </row>
    <row r="462" spans="1:16" x14ac:dyDescent="0.25">
      <c r="A462" s="5">
        <v>266</v>
      </c>
      <c r="B462" s="60">
        <v>101917470</v>
      </c>
      <c r="C462" s="65" t="s">
        <v>1377</v>
      </c>
      <c r="D462" s="61" t="str">
        <f t="shared" si="12"/>
        <v>101917470/0037735583</v>
      </c>
      <c r="E462" s="105" t="s">
        <v>1378</v>
      </c>
      <c r="F462" s="57" t="s">
        <v>379</v>
      </c>
      <c r="G462" s="88"/>
      <c r="H462" s="72" t="s">
        <v>843</v>
      </c>
      <c r="I462" s="88"/>
      <c r="J462" s="88"/>
      <c r="K462" s="170"/>
      <c r="L462" s="168"/>
      <c r="M462" s="170"/>
      <c r="N462" s="170"/>
      <c r="O462" s="170"/>
      <c r="P462" s="88" t="s">
        <v>444</v>
      </c>
    </row>
    <row r="463" spans="1:16" x14ac:dyDescent="0.25">
      <c r="A463" s="5">
        <v>267</v>
      </c>
      <c r="B463" s="60">
        <v>101917326</v>
      </c>
      <c r="C463" s="131" t="s">
        <v>1379</v>
      </c>
      <c r="D463" s="61" t="str">
        <f t="shared" si="12"/>
        <v>101917326/0043670427</v>
      </c>
      <c r="E463" s="69" t="s">
        <v>1380</v>
      </c>
      <c r="F463" s="57" t="s">
        <v>381</v>
      </c>
      <c r="G463" s="88"/>
      <c r="H463" s="72" t="s">
        <v>887</v>
      </c>
      <c r="I463" s="88"/>
      <c r="J463" s="88"/>
      <c r="K463" s="170"/>
      <c r="L463" s="168"/>
      <c r="M463" s="170"/>
      <c r="N463" s="170"/>
      <c r="O463" s="170"/>
      <c r="P463" s="88" t="s">
        <v>1602</v>
      </c>
    </row>
    <row r="464" spans="1:16" x14ac:dyDescent="0.25">
      <c r="A464" s="5">
        <v>268</v>
      </c>
      <c r="B464" s="60">
        <v>101917219</v>
      </c>
      <c r="C464" s="131" t="s">
        <v>1381</v>
      </c>
      <c r="D464" s="61" t="str">
        <f t="shared" si="12"/>
        <v>101917219/0036819136</v>
      </c>
      <c r="E464" s="69" t="s">
        <v>1382</v>
      </c>
      <c r="F464" s="57" t="s">
        <v>381</v>
      </c>
      <c r="G464" s="88"/>
      <c r="H464" s="72" t="s">
        <v>840</v>
      </c>
      <c r="I464" s="88"/>
      <c r="J464" s="88"/>
      <c r="K464" s="170"/>
      <c r="L464" s="168"/>
      <c r="M464" s="170"/>
      <c r="N464" s="170"/>
      <c r="O464" s="170"/>
      <c r="P464" s="88" t="s">
        <v>1602</v>
      </c>
    </row>
    <row r="465" spans="1:16" x14ac:dyDescent="0.25">
      <c r="A465" s="5">
        <v>269</v>
      </c>
      <c r="B465" s="60">
        <v>101917393</v>
      </c>
      <c r="C465" s="108" t="s">
        <v>1383</v>
      </c>
      <c r="D465" s="61" t="str">
        <f t="shared" si="12"/>
        <v>101917393/0042781725</v>
      </c>
      <c r="E465" s="107" t="s">
        <v>1384</v>
      </c>
      <c r="F465" s="74" t="s">
        <v>381</v>
      </c>
      <c r="G465" s="88"/>
      <c r="H465" s="72" t="s">
        <v>878</v>
      </c>
      <c r="I465" s="88"/>
      <c r="J465" s="88"/>
      <c r="K465" s="170"/>
      <c r="L465" s="168"/>
      <c r="M465" s="170"/>
      <c r="N465" s="170"/>
      <c r="O465" s="170"/>
      <c r="P465" s="88" t="s">
        <v>444</v>
      </c>
    </row>
    <row r="466" spans="1:16" x14ac:dyDescent="0.25">
      <c r="A466" s="5">
        <v>270</v>
      </c>
      <c r="B466" s="60">
        <v>101917505</v>
      </c>
      <c r="C466" s="65" t="s">
        <v>1385</v>
      </c>
      <c r="D466" s="61" t="str">
        <f t="shared" si="12"/>
        <v>101917505/0038693925</v>
      </c>
      <c r="E466" s="94" t="s">
        <v>1386</v>
      </c>
      <c r="F466" s="57" t="s">
        <v>379</v>
      </c>
      <c r="G466" s="88"/>
      <c r="H466" s="72" t="s">
        <v>846</v>
      </c>
      <c r="I466" s="88"/>
      <c r="J466" s="88"/>
      <c r="K466" s="170"/>
      <c r="L466" s="168"/>
      <c r="M466" s="170"/>
      <c r="N466" s="170"/>
      <c r="O466" s="170"/>
      <c r="P466" s="88" t="s">
        <v>444</v>
      </c>
    </row>
    <row r="467" spans="1:16" x14ac:dyDescent="0.25">
      <c r="A467" s="5">
        <v>271</v>
      </c>
      <c r="B467" s="60">
        <v>101917183</v>
      </c>
      <c r="C467" s="131" t="s">
        <v>1387</v>
      </c>
      <c r="D467" s="61" t="str">
        <f t="shared" si="12"/>
        <v>101917183/0048229560</v>
      </c>
      <c r="E467" s="69" t="s">
        <v>1388</v>
      </c>
      <c r="F467" s="57" t="s">
        <v>379</v>
      </c>
      <c r="G467" s="88"/>
      <c r="H467" s="72" t="s">
        <v>837</v>
      </c>
      <c r="I467" s="88"/>
      <c r="J467" s="88"/>
      <c r="K467" s="170"/>
      <c r="L467" s="168"/>
      <c r="M467" s="170"/>
      <c r="N467" s="170"/>
      <c r="O467" s="170"/>
      <c r="P467" s="88" t="s">
        <v>1602</v>
      </c>
    </row>
    <row r="468" spans="1:16" x14ac:dyDescent="0.25">
      <c r="A468" s="5">
        <v>272</v>
      </c>
      <c r="B468" s="60">
        <v>101917254</v>
      </c>
      <c r="C468" s="131" t="s">
        <v>1389</v>
      </c>
      <c r="D468" s="61" t="str">
        <f t="shared" si="12"/>
        <v>101917254/0043822746</v>
      </c>
      <c r="E468" s="69" t="s">
        <v>1390</v>
      </c>
      <c r="F468" s="57" t="s">
        <v>381</v>
      </c>
      <c r="G468" s="88"/>
      <c r="H468" s="72" t="s">
        <v>875</v>
      </c>
      <c r="I468" s="88"/>
      <c r="J468" s="88"/>
      <c r="K468" s="170"/>
      <c r="L468" s="168"/>
      <c r="M468" s="170"/>
      <c r="N468" s="170"/>
      <c r="O468" s="170"/>
      <c r="P468" s="88" t="s">
        <v>1602</v>
      </c>
    </row>
    <row r="469" spans="1:16" x14ac:dyDescent="0.25">
      <c r="A469" s="5">
        <v>273</v>
      </c>
      <c r="B469" s="60">
        <v>101917537</v>
      </c>
      <c r="C469" s="71" t="s">
        <v>1391</v>
      </c>
      <c r="D469" s="61" t="str">
        <f t="shared" si="12"/>
        <v>101917537/0042355699</v>
      </c>
      <c r="E469" s="107" t="s">
        <v>1392</v>
      </c>
      <c r="F469" s="57" t="s">
        <v>379</v>
      </c>
      <c r="G469" s="88"/>
      <c r="H469" s="72" t="s">
        <v>863</v>
      </c>
      <c r="I469" s="88"/>
      <c r="J469" s="88"/>
      <c r="K469" s="170"/>
      <c r="L469" s="168"/>
      <c r="M469" s="170"/>
      <c r="N469" s="170"/>
      <c r="O469" s="170"/>
      <c r="P469" s="88" t="s">
        <v>444</v>
      </c>
    </row>
    <row r="470" spans="1:16" x14ac:dyDescent="0.25">
      <c r="A470" s="5">
        <v>274</v>
      </c>
      <c r="B470" s="60">
        <v>101917433</v>
      </c>
      <c r="C470" s="71" t="s">
        <v>1393</v>
      </c>
      <c r="D470" s="61" t="str">
        <f t="shared" si="12"/>
        <v>101917433/0036253398</v>
      </c>
      <c r="E470" s="106" t="s">
        <v>1394</v>
      </c>
      <c r="F470" s="57" t="s">
        <v>379</v>
      </c>
      <c r="G470" s="88"/>
      <c r="H470" s="72" t="s">
        <v>854</v>
      </c>
      <c r="I470" s="88"/>
      <c r="J470" s="88"/>
      <c r="K470" s="170"/>
      <c r="L470" s="168"/>
      <c r="M470" s="170"/>
      <c r="N470" s="170"/>
      <c r="O470" s="170"/>
      <c r="P470" s="88" t="s">
        <v>444</v>
      </c>
    </row>
    <row r="471" spans="1:16" x14ac:dyDescent="0.25">
      <c r="A471" s="5">
        <v>275</v>
      </c>
      <c r="B471" s="60">
        <v>101917434</v>
      </c>
      <c r="C471" s="71" t="s">
        <v>1395</v>
      </c>
      <c r="D471" s="61" t="str">
        <f t="shared" si="12"/>
        <v>101917434/0037019665</v>
      </c>
      <c r="E471" s="106" t="s">
        <v>1396</v>
      </c>
      <c r="F471" s="57" t="s">
        <v>379</v>
      </c>
      <c r="G471" s="88"/>
      <c r="H471" s="72" t="s">
        <v>854</v>
      </c>
      <c r="I471" s="88"/>
      <c r="J471" s="88"/>
      <c r="K471" s="170"/>
      <c r="L471" s="168"/>
      <c r="M471" s="170"/>
      <c r="N471" s="170"/>
      <c r="O471" s="170"/>
      <c r="P471" s="88" t="s">
        <v>444</v>
      </c>
    </row>
    <row r="472" spans="1:16" x14ac:dyDescent="0.25">
      <c r="A472" s="5">
        <v>276</v>
      </c>
      <c r="B472" s="60">
        <v>101917506</v>
      </c>
      <c r="C472" s="65" t="s">
        <v>1397</v>
      </c>
      <c r="D472" s="61" t="str">
        <f t="shared" si="12"/>
        <v>101917506/0046696567</v>
      </c>
      <c r="E472" s="94" t="s">
        <v>1398</v>
      </c>
      <c r="F472" s="57" t="s">
        <v>379</v>
      </c>
      <c r="G472" s="88"/>
      <c r="H472" s="72" t="s">
        <v>846</v>
      </c>
      <c r="I472" s="88"/>
      <c r="J472" s="88"/>
      <c r="K472" s="170"/>
      <c r="L472" s="168"/>
      <c r="M472" s="170"/>
      <c r="N472" s="170"/>
      <c r="O472" s="170"/>
      <c r="P472" s="88" t="s">
        <v>444</v>
      </c>
    </row>
    <row r="473" spans="1:16" x14ac:dyDescent="0.25">
      <c r="A473" s="5">
        <v>277</v>
      </c>
      <c r="B473" s="60">
        <v>101917255</v>
      </c>
      <c r="C473" s="131" t="s">
        <v>1399</v>
      </c>
      <c r="D473" s="61" t="str">
        <f t="shared" si="12"/>
        <v>101917255/0039243144</v>
      </c>
      <c r="E473" s="69" t="s">
        <v>1400</v>
      </c>
      <c r="F473" s="57" t="s">
        <v>379</v>
      </c>
      <c r="G473" s="88"/>
      <c r="H473" s="72" t="s">
        <v>875</v>
      </c>
      <c r="I473" s="88"/>
      <c r="J473" s="88"/>
      <c r="K473" s="170"/>
      <c r="L473" s="168"/>
      <c r="M473" s="170"/>
      <c r="N473" s="170"/>
      <c r="O473" s="170"/>
      <c r="P473" s="88" t="s">
        <v>1602</v>
      </c>
    </row>
    <row r="474" spans="1:16" x14ac:dyDescent="0.25">
      <c r="A474" s="5">
        <v>278</v>
      </c>
      <c r="B474" s="60">
        <v>101917538</v>
      </c>
      <c r="C474" s="71" t="s">
        <v>1401</v>
      </c>
      <c r="D474" s="61" t="str">
        <f t="shared" si="12"/>
        <v>101917538/0043113552</v>
      </c>
      <c r="E474" s="107" t="s">
        <v>1402</v>
      </c>
      <c r="F474" s="57" t="s">
        <v>379</v>
      </c>
      <c r="G474" s="88"/>
      <c r="H474" s="72" t="s">
        <v>863</v>
      </c>
      <c r="I474" s="88"/>
      <c r="J474" s="88"/>
      <c r="K474" s="170"/>
      <c r="L474" s="168"/>
      <c r="M474" s="170"/>
      <c r="N474" s="170"/>
      <c r="O474" s="170"/>
      <c r="P474" s="88" t="s">
        <v>444</v>
      </c>
    </row>
    <row r="475" spans="1:16" x14ac:dyDescent="0.25">
      <c r="A475" s="5">
        <v>279</v>
      </c>
      <c r="B475" s="60">
        <v>101917507</v>
      </c>
      <c r="C475" s="130" t="s">
        <v>1403</v>
      </c>
      <c r="D475" s="61" t="str">
        <f t="shared" si="12"/>
        <v>101917507/0047360078</v>
      </c>
      <c r="E475" s="94" t="s">
        <v>1404</v>
      </c>
      <c r="F475" s="57" t="s">
        <v>379</v>
      </c>
      <c r="G475" s="88"/>
      <c r="H475" s="72" t="s">
        <v>846</v>
      </c>
      <c r="I475" s="88"/>
      <c r="J475" s="88"/>
      <c r="K475" s="170"/>
      <c r="L475" s="168"/>
      <c r="M475" s="170"/>
      <c r="N475" s="170"/>
      <c r="O475" s="170"/>
      <c r="P475" s="88" t="s">
        <v>444</v>
      </c>
    </row>
    <row r="476" spans="1:16" x14ac:dyDescent="0.25">
      <c r="A476" s="5">
        <v>280</v>
      </c>
      <c r="B476" s="60">
        <v>101917539</v>
      </c>
      <c r="C476" s="71" t="s">
        <v>1405</v>
      </c>
      <c r="D476" s="61" t="str">
        <f t="shared" si="12"/>
        <v>101917539/0043813774</v>
      </c>
      <c r="E476" s="107" t="s">
        <v>1406</v>
      </c>
      <c r="F476" s="57" t="s">
        <v>379</v>
      </c>
      <c r="G476" s="88"/>
      <c r="H476" s="72" t="s">
        <v>863</v>
      </c>
      <c r="I476" s="88"/>
      <c r="J476" s="88"/>
      <c r="K476" s="170"/>
      <c r="L476" s="168"/>
      <c r="M476" s="170"/>
      <c r="N476" s="170"/>
      <c r="O476" s="170"/>
      <c r="P476" s="88" t="s">
        <v>444</v>
      </c>
    </row>
    <row r="477" spans="1:16" x14ac:dyDescent="0.25">
      <c r="A477" s="5">
        <v>281</v>
      </c>
      <c r="B477" s="60">
        <v>101917327</v>
      </c>
      <c r="C477" s="131" t="s">
        <v>1407</v>
      </c>
      <c r="D477" s="61" t="str">
        <f t="shared" si="12"/>
        <v>101917327/0021881853</v>
      </c>
      <c r="E477" s="69" t="s">
        <v>1408</v>
      </c>
      <c r="F477" s="57" t="s">
        <v>379</v>
      </c>
      <c r="G477" s="88"/>
      <c r="H477" s="72" t="s">
        <v>887</v>
      </c>
      <c r="I477" s="88"/>
      <c r="J477" s="88"/>
      <c r="K477" s="170"/>
      <c r="L477" s="168"/>
      <c r="M477" s="170"/>
      <c r="N477" s="170"/>
      <c r="O477" s="170"/>
      <c r="P477" s="88" t="s">
        <v>1602</v>
      </c>
    </row>
    <row r="478" spans="1:16" x14ac:dyDescent="0.25">
      <c r="A478" s="5">
        <v>282</v>
      </c>
      <c r="B478" s="60">
        <v>101917394</v>
      </c>
      <c r="C478" s="108" t="s">
        <v>1409</v>
      </c>
      <c r="D478" s="61" t="str">
        <f t="shared" si="12"/>
        <v>101917394/0036873182</v>
      </c>
      <c r="E478" s="107" t="s">
        <v>1410</v>
      </c>
      <c r="F478" s="74" t="s">
        <v>379</v>
      </c>
      <c r="G478" s="88"/>
      <c r="H478" s="72" t="s">
        <v>878</v>
      </c>
      <c r="I478" s="88"/>
      <c r="J478" s="88"/>
      <c r="K478" s="170"/>
      <c r="L478" s="168"/>
      <c r="M478" s="170"/>
      <c r="N478" s="170"/>
      <c r="O478" s="170"/>
      <c r="P478" s="88" t="s">
        <v>444</v>
      </c>
    </row>
    <row r="479" spans="1:16" x14ac:dyDescent="0.25">
      <c r="A479" s="5">
        <v>283</v>
      </c>
      <c r="B479" s="60">
        <v>101917220</v>
      </c>
      <c r="C479" s="131" t="s">
        <v>1411</v>
      </c>
      <c r="D479" s="61" t="str">
        <f t="shared" si="12"/>
        <v>101917220/0043592534</v>
      </c>
      <c r="E479" s="69" t="s">
        <v>1412</v>
      </c>
      <c r="F479" s="57" t="s">
        <v>379</v>
      </c>
      <c r="G479" s="88"/>
      <c r="H479" s="72" t="s">
        <v>840</v>
      </c>
      <c r="I479" s="88"/>
      <c r="J479" s="88"/>
      <c r="K479" s="170"/>
      <c r="L479" s="168"/>
      <c r="M479" s="170"/>
      <c r="N479" s="170"/>
      <c r="O479" s="170"/>
      <c r="P479" s="88" t="s">
        <v>1602</v>
      </c>
    </row>
    <row r="480" spans="1:16" x14ac:dyDescent="0.25">
      <c r="A480" s="5">
        <v>284</v>
      </c>
      <c r="B480" s="60">
        <v>101917256</v>
      </c>
      <c r="C480" s="131" t="s">
        <v>1413</v>
      </c>
      <c r="D480" s="61" t="str">
        <f t="shared" si="12"/>
        <v>101917256/0039171729</v>
      </c>
      <c r="E480" s="69" t="s">
        <v>1414</v>
      </c>
      <c r="F480" s="57" t="s">
        <v>381</v>
      </c>
      <c r="G480" s="88"/>
      <c r="H480" s="72" t="s">
        <v>875</v>
      </c>
      <c r="I480" s="88"/>
      <c r="J480" s="88"/>
      <c r="K480" s="170"/>
      <c r="L480" s="168"/>
      <c r="M480" s="170"/>
      <c r="N480" s="170"/>
      <c r="O480" s="170"/>
      <c r="P480" s="88" t="s">
        <v>1602</v>
      </c>
    </row>
    <row r="481" spans="1:16" x14ac:dyDescent="0.25">
      <c r="A481" s="5">
        <v>285</v>
      </c>
      <c r="B481" s="60">
        <v>101917257</v>
      </c>
      <c r="C481" s="131" t="s">
        <v>1415</v>
      </c>
      <c r="D481" s="61" t="str">
        <f t="shared" si="12"/>
        <v>101917257/0037476443</v>
      </c>
      <c r="E481" s="69" t="s">
        <v>1416</v>
      </c>
      <c r="F481" s="57" t="s">
        <v>379</v>
      </c>
      <c r="G481" s="88"/>
      <c r="H481" s="72" t="s">
        <v>875</v>
      </c>
      <c r="I481" s="88"/>
      <c r="J481" s="88"/>
      <c r="K481" s="170"/>
      <c r="L481" s="168"/>
      <c r="M481" s="170"/>
      <c r="N481" s="170"/>
      <c r="O481" s="170"/>
      <c r="P481" s="88" t="s">
        <v>1602</v>
      </c>
    </row>
    <row r="482" spans="1:16" x14ac:dyDescent="0.25">
      <c r="A482" s="5">
        <v>286</v>
      </c>
      <c r="B482" s="60">
        <v>101917435</v>
      </c>
      <c r="C482" s="132" t="s">
        <v>1417</v>
      </c>
      <c r="D482" s="61" t="str">
        <f t="shared" si="12"/>
        <v>101917435/0044356636</v>
      </c>
      <c r="E482" s="106" t="s">
        <v>1418</v>
      </c>
      <c r="F482" s="57" t="s">
        <v>379</v>
      </c>
      <c r="G482" s="88"/>
      <c r="H482" s="72" t="s">
        <v>854</v>
      </c>
      <c r="I482" s="88"/>
      <c r="J482" s="88"/>
      <c r="K482" s="170"/>
      <c r="L482" s="168"/>
      <c r="M482" s="170"/>
      <c r="N482" s="170"/>
      <c r="O482" s="170"/>
      <c r="P482" s="88" t="s">
        <v>444</v>
      </c>
    </row>
    <row r="483" spans="1:16" x14ac:dyDescent="0.25">
      <c r="A483" s="5">
        <v>287</v>
      </c>
      <c r="B483" s="60">
        <v>101917471</v>
      </c>
      <c r="C483" s="65" t="s">
        <v>1419</v>
      </c>
      <c r="D483" s="61" t="str">
        <f t="shared" si="12"/>
        <v>101917471/0042615782</v>
      </c>
      <c r="E483" s="105" t="s">
        <v>1420</v>
      </c>
      <c r="F483" s="57" t="s">
        <v>379</v>
      </c>
      <c r="G483" s="88"/>
      <c r="H483" s="72" t="s">
        <v>843</v>
      </c>
      <c r="I483" s="88"/>
      <c r="J483" s="88"/>
      <c r="K483" s="170"/>
      <c r="L483" s="168"/>
      <c r="M483" s="170"/>
      <c r="N483" s="170"/>
      <c r="O483" s="170"/>
      <c r="P483" s="88" t="s">
        <v>444</v>
      </c>
    </row>
    <row r="484" spans="1:16" x14ac:dyDescent="0.25">
      <c r="A484" s="5">
        <v>288</v>
      </c>
      <c r="B484" s="60">
        <v>101917360</v>
      </c>
      <c r="C484" s="131" t="s">
        <v>1421</v>
      </c>
      <c r="D484" s="61" t="str">
        <f t="shared" si="12"/>
        <v>101917360/0041614471</v>
      </c>
      <c r="E484" s="69" t="s">
        <v>1422</v>
      </c>
      <c r="F484" s="57" t="s">
        <v>381</v>
      </c>
      <c r="G484" s="88"/>
      <c r="H484" s="72" t="s">
        <v>870</v>
      </c>
      <c r="I484" s="88"/>
      <c r="J484" s="88"/>
      <c r="K484" s="170"/>
      <c r="L484" s="168"/>
      <c r="M484" s="170"/>
      <c r="N484" s="170"/>
      <c r="O484" s="170"/>
      <c r="P484" s="88" t="s">
        <v>1602</v>
      </c>
    </row>
    <row r="485" spans="1:16" x14ac:dyDescent="0.25">
      <c r="A485" s="5">
        <v>289</v>
      </c>
      <c r="B485" s="60">
        <v>101917395</v>
      </c>
      <c r="C485" s="108" t="s">
        <v>1423</v>
      </c>
      <c r="D485" s="61" t="str">
        <f t="shared" si="12"/>
        <v>101917395/0041972110</v>
      </c>
      <c r="E485" s="107" t="s">
        <v>1424</v>
      </c>
      <c r="F485" s="74" t="s">
        <v>379</v>
      </c>
      <c r="G485" s="88"/>
      <c r="H485" s="72" t="s">
        <v>878</v>
      </c>
      <c r="I485" s="88"/>
      <c r="J485" s="88"/>
      <c r="K485" s="170"/>
      <c r="L485" s="168"/>
      <c r="M485" s="170"/>
      <c r="N485" s="170"/>
      <c r="O485" s="170"/>
      <c r="P485" s="88" t="s">
        <v>444</v>
      </c>
    </row>
    <row r="486" spans="1:16" x14ac:dyDescent="0.25">
      <c r="A486" s="5">
        <v>290</v>
      </c>
      <c r="B486" s="60">
        <v>101917508</v>
      </c>
      <c r="C486" s="65" t="s">
        <v>1425</v>
      </c>
      <c r="D486" s="61" t="str">
        <f t="shared" si="12"/>
        <v>101917508/0042077523</v>
      </c>
      <c r="E486" s="94" t="s">
        <v>1426</v>
      </c>
      <c r="F486" s="57" t="s">
        <v>381</v>
      </c>
      <c r="G486" s="88"/>
      <c r="H486" s="72" t="s">
        <v>837</v>
      </c>
      <c r="I486" s="88"/>
      <c r="J486" s="88"/>
      <c r="K486" s="170"/>
      <c r="L486" s="168"/>
      <c r="M486" s="170"/>
      <c r="N486" s="170"/>
      <c r="O486" s="170"/>
      <c r="P486" s="88" t="s">
        <v>1602</v>
      </c>
    </row>
    <row r="487" spans="1:16" x14ac:dyDescent="0.25">
      <c r="A487" s="5">
        <v>291</v>
      </c>
      <c r="B487" s="60">
        <v>101917540</v>
      </c>
      <c r="C487" s="135" t="s">
        <v>1427</v>
      </c>
      <c r="D487" s="61" t="str">
        <f t="shared" si="12"/>
        <v>101917540/0037898553</v>
      </c>
      <c r="E487" s="107" t="s">
        <v>1428</v>
      </c>
      <c r="F487" s="57" t="s">
        <v>379</v>
      </c>
      <c r="G487" s="88"/>
      <c r="H487" s="72" t="s">
        <v>863</v>
      </c>
      <c r="I487" s="88"/>
      <c r="J487" s="88"/>
      <c r="K487" s="170"/>
      <c r="L487" s="168"/>
      <c r="M487" s="170"/>
      <c r="N487" s="170"/>
      <c r="O487" s="170"/>
      <c r="P487" s="88" t="s">
        <v>444</v>
      </c>
    </row>
    <row r="488" spans="1:16" x14ac:dyDescent="0.25">
      <c r="A488" s="5">
        <v>292</v>
      </c>
      <c r="B488" s="60">
        <v>101917184</v>
      </c>
      <c r="C488" s="131" t="s">
        <v>1429</v>
      </c>
      <c r="D488" s="61" t="str">
        <f t="shared" si="12"/>
        <v>101917184/0026486284</v>
      </c>
      <c r="E488" s="69" t="s">
        <v>1430</v>
      </c>
      <c r="F488" s="57" t="s">
        <v>379</v>
      </c>
      <c r="G488" s="88"/>
      <c r="H488" s="72" t="s">
        <v>837</v>
      </c>
      <c r="I488" s="88"/>
      <c r="J488" s="88"/>
      <c r="K488" s="170"/>
      <c r="L488" s="168"/>
      <c r="M488" s="170"/>
      <c r="N488" s="170"/>
      <c r="O488" s="170"/>
      <c r="P488" s="88" t="s">
        <v>1602</v>
      </c>
    </row>
    <row r="489" spans="1:16" x14ac:dyDescent="0.25">
      <c r="A489" s="5">
        <v>293</v>
      </c>
      <c r="B489" s="60">
        <v>101917291</v>
      </c>
      <c r="C489" s="131" t="s">
        <v>1431</v>
      </c>
      <c r="D489" s="61" t="str">
        <f t="shared" si="12"/>
        <v>101917291/0033822255</v>
      </c>
      <c r="E489" s="69" t="s">
        <v>1432</v>
      </c>
      <c r="F489" s="57" t="s">
        <v>379</v>
      </c>
      <c r="G489" s="88"/>
      <c r="H489" s="72" t="s">
        <v>851</v>
      </c>
      <c r="I489" s="88"/>
      <c r="J489" s="88"/>
      <c r="K489" s="170"/>
      <c r="L489" s="168"/>
      <c r="M489" s="170"/>
      <c r="N489" s="170"/>
      <c r="O489" s="170"/>
      <c r="P489" s="88" t="s">
        <v>1602</v>
      </c>
    </row>
    <row r="490" spans="1:16" x14ac:dyDescent="0.25">
      <c r="A490" s="5">
        <v>294</v>
      </c>
      <c r="B490" s="60">
        <v>101917436</v>
      </c>
      <c r="C490" s="71" t="s">
        <v>1433</v>
      </c>
      <c r="D490" s="61" t="str">
        <f t="shared" si="12"/>
        <v>101917436/0041319860</v>
      </c>
      <c r="E490" s="106" t="s">
        <v>1434</v>
      </c>
      <c r="F490" s="57" t="s">
        <v>381</v>
      </c>
      <c r="G490" s="88"/>
      <c r="H490" s="72" t="s">
        <v>854</v>
      </c>
      <c r="I490" s="88"/>
      <c r="J490" s="88"/>
      <c r="K490" s="170"/>
      <c r="L490" s="168"/>
      <c r="M490" s="170"/>
      <c r="N490" s="170"/>
      <c r="O490" s="170"/>
      <c r="P490" s="88" t="s">
        <v>444</v>
      </c>
    </row>
    <row r="491" spans="1:16" x14ac:dyDescent="0.25">
      <c r="A491" s="5">
        <v>295</v>
      </c>
      <c r="B491" s="60">
        <v>101917328</v>
      </c>
      <c r="C491" s="131" t="s">
        <v>1435</v>
      </c>
      <c r="D491" s="61" t="str">
        <f t="shared" si="12"/>
        <v>101917328/0043154615</v>
      </c>
      <c r="E491" s="69" t="s">
        <v>1436</v>
      </c>
      <c r="F491" s="57" t="s">
        <v>379</v>
      </c>
      <c r="G491" s="88"/>
      <c r="H491" s="72" t="s">
        <v>887</v>
      </c>
      <c r="I491" s="88"/>
      <c r="J491" s="88"/>
      <c r="K491" s="170"/>
      <c r="L491" s="168"/>
      <c r="M491" s="170"/>
      <c r="N491" s="170"/>
      <c r="O491" s="170"/>
      <c r="P491" s="88" t="s">
        <v>1602</v>
      </c>
    </row>
    <row r="492" spans="1:16" x14ac:dyDescent="0.25">
      <c r="A492" s="5">
        <v>296</v>
      </c>
      <c r="B492" s="60">
        <v>101917258</v>
      </c>
      <c r="C492" s="131" t="s">
        <v>1437</v>
      </c>
      <c r="D492" s="61" t="str">
        <f t="shared" si="12"/>
        <v>101917258/0043592531</v>
      </c>
      <c r="E492" s="69" t="s">
        <v>1438</v>
      </c>
      <c r="F492" s="57" t="s">
        <v>379</v>
      </c>
      <c r="G492" s="88"/>
      <c r="H492" s="72" t="s">
        <v>875</v>
      </c>
      <c r="I492" s="88"/>
      <c r="J492" s="88"/>
      <c r="K492" s="170"/>
      <c r="L492" s="168"/>
      <c r="M492" s="170"/>
      <c r="N492" s="170"/>
      <c r="O492" s="170"/>
      <c r="P492" s="88" t="s">
        <v>1602</v>
      </c>
    </row>
    <row r="493" spans="1:16" x14ac:dyDescent="0.25">
      <c r="A493" s="5">
        <v>297</v>
      </c>
      <c r="B493" s="60">
        <v>101917472</v>
      </c>
      <c r="C493" s="65" t="s">
        <v>1439</v>
      </c>
      <c r="D493" s="61" t="str">
        <f t="shared" si="12"/>
        <v>101917472/0035099340</v>
      </c>
      <c r="E493" s="105" t="s">
        <v>1440</v>
      </c>
      <c r="F493" s="57" t="s">
        <v>379</v>
      </c>
      <c r="G493" s="88"/>
      <c r="H493" s="72" t="s">
        <v>843</v>
      </c>
      <c r="I493" s="88"/>
      <c r="J493" s="88"/>
      <c r="K493" s="170"/>
      <c r="L493" s="168"/>
      <c r="M493" s="170"/>
      <c r="N493" s="170"/>
      <c r="O493" s="170"/>
      <c r="P493" s="88" t="s">
        <v>444</v>
      </c>
    </row>
    <row r="494" spans="1:16" x14ac:dyDescent="0.25">
      <c r="A494" s="5">
        <v>298</v>
      </c>
      <c r="B494" s="60">
        <v>101917509</v>
      </c>
      <c r="C494" s="65" t="s">
        <v>1441</v>
      </c>
      <c r="D494" s="61" t="str">
        <f t="shared" si="12"/>
        <v>101917509/0042099393</v>
      </c>
      <c r="E494" s="94" t="s">
        <v>1442</v>
      </c>
      <c r="F494" s="57" t="s">
        <v>379</v>
      </c>
      <c r="G494" s="88"/>
      <c r="H494" s="72" t="s">
        <v>846</v>
      </c>
      <c r="I494" s="88"/>
      <c r="J494" s="88"/>
      <c r="K494" s="170"/>
      <c r="L494" s="168"/>
      <c r="M494" s="170"/>
      <c r="N494" s="170"/>
      <c r="O494" s="170"/>
      <c r="P494" s="88" t="s">
        <v>444</v>
      </c>
    </row>
    <row r="495" spans="1:16" x14ac:dyDescent="0.25">
      <c r="A495" s="5">
        <v>299</v>
      </c>
      <c r="B495" s="60">
        <v>101917396</v>
      </c>
      <c r="C495" s="108" t="s">
        <v>1443</v>
      </c>
      <c r="D495" s="61" t="str">
        <f t="shared" si="12"/>
        <v>101917396/0036976773</v>
      </c>
      <c r="E495" s="107" t="s">
        <v>1444</v>
      </c>
      <c r="F495" s="74" t="s">
        <v>379</v>
      </c>
      <c r="G495" s="88"/>
      <c r="H495" s="72" t="s">
        <v>878</v>
      </c>
      <c r="I495" s="88"/>
      <c r="J495" s="88"/>
      <c r="K495" s="170"/>
      <c r="L495" s="168"/>
      <c r="M495" s="170"/>
      <c r="N495" s="170"/>
      <c r="O495" s="170"/>
      <c r="P495" s="88" t="s">
        <v>444</v>
      </c>
    </row>
    <row r="496" spans="1:16" x14ac:dyDescent="0.25">
      <c r="A496" s="5">
        <v>300</v>
      </c>
      <c r="B496" s="60">
        <v>101917437</v>
      </c>
      <c r="C496" s="71" t="s">
        <v>1445</v>
      </c>
      <c r="D496" s="61" t="str">
        <f t="shared" si="12"/>
        <v>101917437/0032401801</v>
      </c>
      <c r="E496" s="106" t="s">
        <v>1446</v>
      </c>
      <c r="F496" s="57" t="s">
        <v>379</v>
      </c>
      <c r="G496" s="88"/>
      <c r="H496" s="72" t="s">
        <v>854</v>
      </c>
      <c r="I496" s="88"/>
      <c r="J496" s="88"/>
      <c r="K496" s="170"/>
      <c r="L496" s="168"/>
      <c r="M496" s="170"/>
      <c r="N496" s="170"/>
      <c r="O496" s="170"/>
      <c r="P496" s="88" t="s">
        <v>444</v>
      </c>
    </row>
    <row r="497" spans="1:16" x14ac:dyDescent="0.25">
      <c r="A497" s="5">
        <v>301</v>
      </c>
      <c r="B497" s="60">
        <v>101917397</v>
      </c>
      <c r="C497" s="108" t="s">
        <v>1447</v>
      </c>
      <c r="D497" s="61" t="str">
        <f t="shared" si="12"/>
        <v>101917397/0035986481</v>
      </c>
      <c r="E497" s="107" t="s">
        <v>1448</v>
      </c>
      <c r="F497" s="74" t="s">
        <v>379</v>
      </c>
      <c r="G497" s="88"/>
      <c r="H497" s="72" t="s">
        <v>878</v>
      </c>
      <c r="I497" s="88"/>
      <c r="J497" s="88"/>
      <c r="K497" s="170"/>
      <c r="L497" s="168"/>
      <c r="M497" s="170"/>
      <c r="N497" s="170"/>
      <c r="O497" s="170"/>
      <c r="P497" s="88" t="s">
        <v>444</v>
      </c>
    </row>
    <row r="498" spans="1:16" x14ac:dyDescent="0.25">
      <c r="A498" s="5">
        <v>302</v>
      </c>
      <c r="B498" s="60">
        <v>101917362</v>
      </c>
      <c r="C498" s="131" t="s">
        <v>1449</v>
      </c>
      <c r="D498" s="61" t="str">
        <f t="shared" si="12"/>
        <v>101917362/0036719381</v>
      </c>
      <c r="E498" s="69" t="s">
        <v>1450</v>
      </c>
      <c r="F498" s="57" t="s">
        <v>381</v>
      </c>
      <c r="G498" s="88"/>
      <c r="H498" s="72" t="s">
        <v>870</v>
      </c>
      <c r="I498" s="88"/>
      <c r="J498" s="88"/>
      <c r="K498" s="170"/>
      <c r="L498" s="168"/>
      <c r="M498" s="170"/>
      <c r="N498" s="170"/>
      <c r="O498" s="170"/>
      <c r="P498" s="88" t="s">
        <v>1602</v>
      </c>
    </row>
    <row r="499" spans="1:16" x14ac:dyDescent="0.25">
      <c r="A499" s="5">
        <v>303</v>
      </c>
      <c r="B499" s="60">
        <v>101917473</v>
      </c>
      <c r="C499" s="65" t="s">
        <v>1451</v>
      </c>
      <c r="D499" s="61" t="str">
        <f t="shared" si="12"/>
        <v>101917473/0047211378</v>
      </c>
      <c r="E499" s="105" t="s">
        <v>1452</v>
      </c>
      <c r="F499" s="57" t="s">
        <v>379</v>
      </c>
      <c r="G499" s="88"/>
      <c r="H499" s="72" t="s">
        <v>843</v>
      </c>
      <c r="I499" s="88"/>
      <c r="J499" s="88"/>
      <c r="K499" s="170"/>
      <c r="L499" s="168"/>
      <c r="M499" s="170"/>
      <c r="N499" s="170"/>
      <c r="O499" s="170"/>
      <c r="P499" s="88" t="s">
        <v>444</v>
      </c>
    </row>
    <row r="500" spans="1:16" x14ac:dyDescent="0.25">
      <c r="A500" s="5">
        <v>304</v>
      </c>
      <c r="B500" s="60">
        <v>101917398</v>
      </c>
      <c r="C500" s="108" t="s">
        <v>1453</v>
      </c>
      <c r="D500" s="61" t="str">
        <f t="shared" si="12"/>
        <v>101917398/0047087044</v>
      </c>
      <c r="E500" s="107" t="s">
        <v>1454</v>
      </c>
      <c r="F500" s="74" t="s">
        <v>379</v>
      </c>
      <c r="G500" s="88"/>
      <c r="H500" s="72" t="s">
        <v>878</v>
      </c>
      <c r="I500" s="88"/>
      <c r="J500" s="88"/>
      <c r="K500" s="170"/>
      <c r="L500" s="168"/>
      <c r="M500" s="170"/>
      <c r="N500" s="170"/>
      <c r="O500" s="170"/>
      <c r="P500" s="88" t="s">
        <v>444</v>
      </c>
    </row>
    <row r="501" spans="1:16" x14ac:dyDescent="0.25">
      <c r="A501" s="5">
        <v>305</v>
      </c>
      <c r="B501" s="60">
        <v>101917510</v>
      </c>
      <c r="C501" s="65" t="s">
        <v>1455</v>
      </c>
      <c r="D501" s="61" t="str">
        <f t="shared" si="12"/>
        <v>101917510/0042558823</v>
      </c>
      <c r="E501" s="94" t="s">
        <v>1456</v>
      </c>
      <c r="F501" s="57" t="s">
        <v>379</v>
      </c>
      <c r="G501" s="88"/>
      <c r="H501" s="72" t="s">
        <v>846</v>
      </c>
      <c r="I501" s="88"/>
      <c r="J501" s="88"/>
      <c r="K501" s="170"/>
      <c r="L501" s="168"/>
      <c r="M501" s="170"/>
      <c r="N501" s="170"/>
      <c r="O501" s="170"/>
      <c r="P501" s="88" t="s">
        <v>444</v>
      </c>
    </row>
    <row r="502" spans="1:16" x14ac:dyDescent="0.25">
      <c r="A502" s="5">
        <v>306</v>
      </c>
      <c r="B502" s="60">
        <v>101917329</v>
      </c>
      <c r="C502" s="131" t="s">
        <v>1457</v>
      </c>
      <c r="D502" s="61" t="str">
        <f t="shared" si="12"/>
        <v>101917329/0034749813</v>
      </c>
      <c r="E502" s="69" t="s">
        <v>1458</v>
      </c>
      <c r="F502" s="57" t="s">
        <v>379</v>
      </c>
      <c r="G502" s="88"/>
      <c r="H502" s="72" t="s">
        <v>887</v>
      </c>
      <c r="I502" s="88"/>
      <c r="J502" s="88"/>
      <c r="K502" s="170"/>
      <c r="L502" s="168"/>
      <c r="M502" s="170"/>
      <c r="N502" s="170"/>
      <c r="O502" s="170"/>
      <c r="P502" s="88" t="s">
        <v>1602</v>
      </c>
    </row>
    <row r="503" spans="1:16" x14ac:dyDescent="0.25">
      <c r="A503" s="5">
        <v>307</v>
      </c>
      <c r="B503" s="60">
        <v>101917438</v>
      </c>
      <c r="C503" s="71" t="s">
        <v>1459</v>
      </c>
      <c r="D503" s="61" t="str">
        <f t="shared" si="12"/>
        <v>101917438/0042077529</v>
      </c>
      <c r="E503" s="106" t="s">
        <v>1460</v>
      </c>
      <c r="F503" s="57" t="s">
        <v>379</v>
      </c>
      <c r="G503" s="88"/>
      <c r="H503" s="72" t="s">
        <v>854</v>
      </c>
      <c r="I503" s="88"/>
      <c r="J503" s="88"/>
      <c r="K503" s="170"/>
      <c r="L503" s="168"/>
      <c r="M503" s="170"/>
      <c r="N503" s="170"/>
      <c r="O503" s="170"/>
      <c r="P503" s="88" t="s">
        <v>444</v>
      </c>
    </row>
    <row r="504" spans="1:16" x14ac:dyDescent="0.25">
      <c r="A504" s="5">
        <v>308</v>
      </c>
      <c r="B504" s="60">
        <v>101917259</v>
      </c>
      <c r="C504" s="131" t="s">
        <v>1461</v>
      </c>
      <c r="D504" s="61" t="str">
        <f t="shared" si="12"/>
        <v>101917259/0034464171</v>
      </c>
      <c r="E504" s="69" t="s">
        <v>1462</v>
      </c>
      <c r="F504" s="57" t="s">
        <v>381</v>
      </c>
      <c r="G504" s="88"/>
      <c r="H504" s="72" t="s">
        <v>875</v>
      </c>
      <c r="I504" s="88"/>
      <c r="J504" s="88"/>
      <c r="K504" s="170"/>
      <c r="L504" s="168"/>
      <c r="M504" s="170"/>
      <c r="N504" s="170"/>
      <c r="O504" s="170"/>
      <c r="P504" s="88" t="s">
        <v>1602</v>
      </c>
    </row>
    <row r="505" spans="1:16" x14ac:dyDescent="0.25">
      <c r="A505" s="5">
        <v>309</v>
      </c>
      <c r="B505" s="60">
        <v>101917474</v>
      </c>
      <c r="C505" s="65" t="s">
        <v>1463</v>
      </c>
      <c r="D505" s="61" t="str">
        <f t="shared" si="12"/>
        <v>101917474/0036734326</v>
      </c>
      <c r="E505" s="105" t="s">
        <v>1464</v>
      </c>
      <c r="F505" s="57" t="s">
        <v>379</v>
      </c>
      <c r="G505" s="88"/>
      <c r="H505" s="72" t="s">
        <v>843</v>
      </c>
      <c r="I505" s="88"/>
      <c r="J505" s="88"/>
      <c r="K505" s="170"/>
      <c r="L505" s="168"/>
      <c r="M505" s="170"/>
      <c r="N505" s="170"/>
      <c r="O505" s="170"/>
      <c r="P505" s="88" t="s">
        <v>444</v>
      </c>
    </row>
    <row r="506" spans="1:16" x14ac:dyDescent="0.25">
      <c r="A506" s="5">
        <v>310</v>
      </c>
      <c r="B506" s="60">
        <v>101917542</v>
      </c>
      <c r="C506" s="71" t="s">
        <v>1465</v>
      </c>
      <c r="D506" s="61" t="str">
        <f t="shared" si="12"/>
        <v>101917542/0033858771</v>
      </c>
      <c r="E506" s="107" t="s">
        <v>1466</v>
      </c>
      <c r="F506" s="57" t="s">
        <v>379</v>
      </c>
      <c r="G506" s="88"/>
      <c r="H506" s="72" t="s">
        <v>863</v>
      </c>
      <c r="I506" s="88"/>
      <c r="J506" s="88"/>
      <c r="K506" s="170"/>
      <c r="L506" s="168"/>
      <c r="M506" s="170"/>
      <c r="N506" s="170"/>
      <c r="O506" s="170"/>
      <c r="P506" s="88" t="s">
        <v>444</v>
      </c>
    </row>
    <row r="507" spans="1:16" x14ac:dyDescent="0.25">
      <c r="A507" s="5">
        <v>311</v>
      </c>
      <c r="B507" s="60">
        <v>101917399</v>
      </c>
      <c r="C507" s="108" t="s">
        <v>1467</v>
      </c>
      <c r="D507" s="61" t="str">
        <f t="shared" si="12"/>
        <v>101917399/0058442494</v>
      </c>
      <c r="E507" s="107" t="s">
        <v>1468</v>
      </c>
      <c r="F507" s="74" t="s">
        <v>379</v>
      </c>
      <c r="G507" s="88"/>
      <c r="H507" s="72" t="s">
        <v>878</v>
      </c>
      <c r="I507" s="88"/>
      <c r="J507" s="88"/>
      <c r="K507" s="170"/>
      <c r="L507" s="168"/>
      <c r="M507" s="170"/>
      <c r="N507" s="170"/>
      <c r="O507" s="170"/>
      <c r="P507" s="88" t="s">
        <v>444</v>
      </c>
    </row>
    <row r="508" spans="1:16" x14ac:dyDescent="0.25">
      <c r="A508" s="5">
        <v>312</v>
      </c>
      <c r="B508" s="60">
        <v>101917292</v>
      </c>
      <c r="C508" s="131" t="s">
        <v>1469</v>
      </c>
      <c r="D508" s="61" t="str">
        <f t="shared" si="12"/>
        <v>101917292/0043176445</v>
      </c>
      <c r="E508" s="69" t="s">
        <v>1470</v>
      </c>
      <c r="F508" s="57" t="s">
        <v>379</v>
      </c>
      <c r="G508" s="88"/>
      <c r="H508" s="72" t="s">
        <v>851</v>
      </c>
      <c r="I508" s="88"/>
      <c r="J508" s="88"/>
      <c r="K508" s="170"/>
      <c r="L508" s="168"/>
      <c r="M508" s="170"/>
      <c r="N508" s="170"/>
      <c r="O508" s="170"/>
      <c r="P508" s="88" t="s">
        <v>1602</v>
      </c>
    </row>
    <row r="509" spans="1:16" x14ac:dyDescent="0.25">
      <c r="A509" s="5">
        <v>313</v>
      </c>
      <c r="B509" s="60">
        <v>101917400</v>
      </c>
      <c r="C509" s="108" t="s">
        <v>1471</v>
      </c>
      <c r="D509" s="61" t="str">
        <f t="shared" si="12"/>
        <v>101917400/0036874355</v>
      </c>
      <c r="E509" s="107" t="s">
        <v>1472</v>
      </c>
      <c r="F509" s="74" t="s">
        <v>379</v>
      </c>
      <c r="G509" s="88"/>
      <c r="H509" s="72" t="s">
        <v>878</v>
      </c>
      <c r="I509" s="88"/>
      <c r="J509" s="88"/>
      <c r="K509" s="170"/>
      <c r="L509" s="168"/>
      <c r="M509" s="170"/>
      <c r="N509" s="170"/>
      <c r="O509" s="170"/>
      <c r="P509" s="88" t="s">
        <v>444</v>
      </c>
    </row>
    <row r="510" spans="1:16" x14ac:dyDescent="0.25">
      <c r="A510" s="5">
        <v>314</v>
      </c>
      <c r="B510" s="60">
        <v>101917401</v>
      </c>
      <c r="C510" s="108" t="s">
        <v>1473</v>
      </c>
      <c r="D510" s="61" t="str">
        <f t="shared" si="12"/>
        <v>101917401/9945663476</v>
      </c>
      <c r="E510" s="107" t="s">
        <v>1474</v>
      </c>
      <c r="F510" s="74" t="s">
        <v>379</v>
      </c>
      <c r="G510" s="88"/>
      <c r="H510" s="72" t="s">
        <v>878</v>
      </c>
      <c r="I510" s="88"/>
      <c r="J510" s="88"/>
      <c r="K510" s="170"/>
      <c r="L510" s="168"/>
      <c r="M510" s="170"/>
      <c r="N510" s="170"/>
      <c r="O510" s="170"/>
      <c r="P510" s="88" t="s">
        <v>444</v>
      </c>
    </row>
    <row r="511" spans="1:16" x14ac:dyDescent="0.25">
      <c r="A511" s="5">
        <v>315</v>
      </c>
      <c r="B511" s="60">
        <v>101917363</v>
      </c>
      <c r="C511" s="131" t="s">
        <v>1475</v>
      </c>
      <c r="D511" s="61" t="str">
        <f t="shared" ref="D511:D572" si="13">B511&amp;"/"&amp;C511</f>
        <v>101917363/0043112732</v>
      </c>
      <c r="E511" s="69" t="s">
        <v>1476</v>
      </c>
      <c r="F511" s="57" t="s">
        <v>379</v>
      </c>
      <c r="G511" s="88"/>
      <c r="H511" s="72" t="s">
        <v>870</v>
      </c>
      <c r="I511" s="88"/>
      <c r="J511" s="88"/>
      <c r="K511" s="170"/>
      <c r="L511" s="168"/>
      <c r="M511" s="170"/>
      <c r="N511" s="170"/>
      <c r="O511" s="170"/>
      <c r="P511" s="88" t="s">
        <v>1602</v>
      </c>
    </row>
    <row r="512" spans="1:16" x14ac:dyDescent="0.25">
      <c r="A512" s="5">
        <v>316</v>
      </c>
      <c r="B512" s="60">
        <v>101917185</v>
      </c>
      <c r="C512" s="131" t="s">
        <v>1477</v>
      </c>
      <c r="D512" s="61" t="str">
        <f t="shared" si="13"/>
        <v>101917185/0053933853</v>
      </c>
      <c r="E512" s="69" t="s">
        <v>1478</v>
      </c>
      <c r="F512" s="57" t="s">
        <v>381</v>
      </c>
      <c r="G512" s="88"/>
      <c r="H512" s="72" t="s">
        <v>837</v>
      </c>
      <c r="I512" s="88"/>
      <c r="J512" s="88"/>
      <c r="K512" s="170"/>
      <c r="L512" s="168"/>
      <c r="M512" s="170"/>
      <c r="N512" s="170"/>
      <c r="O512" s="170"/>
      <c r="P512" s="88" t="s">
        <v>1602</v>
      </c>
    </row>
    <row r="513" spans="1:16" x14ac:dyDescent="0.25">
      <c r="A513" s="5">
        <v>317</v>
      </c>
      <c r="B513" s="60">
        <v>101917475</v>
      </c>
      <c r="C513" s="65" t="s">
        <v>1479</v>
      </c>
      <c r="D513" s="61" t="str">
        <f t="shared" si="13"/>
        <v>101917475/0041056818</v>
      </c>
      <c r="E513" s="105" t="s">
        <v>1480</v>
      </c>
      <c r="F513" s="57" t="s">
        <v>379</v>
      </c>
      <c r="G513" s="88"/>
      <c r="H513" s="72" t="s">
        <v>843</v>
      </c>
      <c r="I513" s="88"/>
      <c r="J513" s="88"/>
      <c r="K513" s="170"/>
      <c r="L513" s="168"/>
      <c r="M513" s="170"/>
      <c r="N513" s="170"/>
      <c r="O513" s="170"/>
      <c r="P513" s="88" t="s">
        <v>444</v>
      </c>
    </row>
    <row r="514" spans="1:16" x14ac:dyDescent="0.25">
      <c r="A514" s="5">
        <v>318</v>
      </c>
      <c r="B514" s="60">
        <v>101917186</v>
      </c>
      <c r="C514" s="131" t="s">
        <v>1481</v>
      </c>
      <c r="D514" s="61" t="str">
        <f t="shared" si="13"/>
        <v>101917186/0046530476</v>
      </c>
      <c r="E514" s="69" t="s">
        <v>1482</v>
      </c>
      <c r="F514" s="57" t="s">
        <v>381</v>
      </c>
      <c r="G514" s="88"/>
      <c r="H514" s="72" t="s">
        <v>837</v>
      </c>
      <c r="I514" s="88"/>
      <c r="J514" s="88"/>
      <c r="K514" s="170"/>
      <c r="L514" s="168"/>
      <c r="M514" s="170"/>
      <c r="N514" s="170"/>
      <c r="O514" s="170"/>
      <c r="P514" s="88" t="s">
        <v>1602</v>
      </c>
    </row>
    <row r="515" spans="1:16" x14ac:dyDescent="0.25">
      <c r="A515" s="5">
        <v>319</v>
      </c>
      <c r="B515" s="60">
        <v>101917543</v>
      </c>
      <c r="C515" s="71" t="s">
        <v>1483</v>
      </c>
      <c r="D515" s="61" t="str">
        <f t="shared" si="13"/>
        <v>101917543/0049532249</v>
      </c>
      <c r="E515" s="107" t="s">
        <v>1484</v>
      </c>
      <c r="F515" s="57" t="s">
        <v>379</v>
      </c>
      <c r="G515" s="88"/>
      <c r="H515" s="72" t="s">
        <v>863</v>
      </c>
      <c r="I515" s="88"/>
      <c r="J515" s="88"/>
      <c r="K515" s="170"/>
      <c r="L515" s="168"/>
      <c r="M515" s="170"/>
      <c r="N515" s="170"/>
      <c r="O515" s="170"/>
      <c r="P515" s="88" t="s">
        <v>444</v>
      </c>
    </row>
    <row r="516" spans="1:16" x14ac:dyDescent="0.25">
      <c r="A516" s="5">
        <v>320</v>
      </c>
      <c r="B516" s="60">
        <v>101917402</v>
      </c>
      <c r="C516" s="108" t="s">
        <v>1485</v>
      </c>
      <c r="D516" s="61" t="str">
        <f t="shared" si="13"/>
        <v>101917402/0043350846</v>
      </c>
      <c r="E516" s="107" t="s">
        <v>1486</v>
      </c>
      <c r="F516" s="74" t="s">
        <v>379</v>
      </c>
      <c r="G516" s="88"/>
      <c r="H516" s="72" t="s">
        <v>878</v>
      </c>
      <c r="I516" s="88"/>
      <c r="J516" s="88"/>
      <c r="K516" s="170"/>
      <c r="L516" s="168"/>
      <c r="M516" s="170"/>
      <c r="N516" s="170"/>
      <c r="O516" s="170"/>
      <c r="P516" s="88" t="s">
        <v>1602</v>
      </c>
    </row>
    <row r="517" spans="1:16" x14ac:dyDescent="0.25">
      <c r="A517" s="5">
        <v>321</v>
      </c>
      <c r="B517" s="60">
        <v>101917187</v>
      </c>
      <c r="C517" s="131" t="s">
        <v>1487</v>
      </c>
      <c r="D517" s="61" t="str">
        <f t="shared" si="13"/>
        <v>101917187/0042021486</v>
      </c>
      <c r="E517" s="69" t="s">
        <v>1488</v>
      </c>
      <c r="F517" s="57" t="s">
        <v>381</v>
      </c>
      <c r="G517" s="88"/>
      <c r="H517" s="72" t="s">
        <v>837</v>
      </c>
      <c r="I517" s="88"/>
      <c r="J517" s="88"/>
      <c r="K517" s="170"/>
      <c r="L517" s="168"/>
      <c r="M517" s="170"/>
      <c r="N517" s="170"/>
      <c r="O517" s="170"/>
      <c r="P517" s="88" t="s">
        <v>1602</v>
      </c>
    </row>
    <row r="518" spans="1:16" x14ac:dyDescent="0.25">
      <c r="A518" s="5">
        <v>322</v>
      </c>
      <c r="B518" s="60">
        <v>101917403</v>
      </c>
      <c r="C518" s="108" t="s">
        <v>1489</v>
      </c>
      <c r="D518" s="61" t="str">
        <f t="shared" si="13"/>
        <v>101917403/0035099347</v>
      </c>
      <c r="E518" s="107" t="s">
        <v>1490</v>
      </c>
      <c r="F518" s="74" t="s">
        <v>381</v>
      </c>
      <c r="G518" s="88"/>
      <c r="H518" s="72" t="s">
        <v>878</v>
      </c>
      <c r="I518" s="88"/>
      <c r="J518" s="88"/>
      <c r="K518" s="170"/>
      <c r="L518" s="168"/>
      <c r="M518" s="170"/>
      <c r="N518" s="170"/>
      <c r="O518" s="170"/>
      <c r="P518" s="88" t="s">
        <v>444</v>
      </c>
    </row>
    <row r="519" spans="1:16" x14ac:dyDescent="0.25">
      <c r="A519" s="5">
        <v>323</v>
      </c>
      <c r="B519" s="60">
        <v>101917511</v>
      </c>
      <c r="C519" s="65" t="s">
        <v>1491</v>
      </c>
      <c r="D519" s="61" t="str">
        <f t="shared" si="13"/>
        <v>101917511/0038428966</v>
      </c>
      <c r="E519" s="94" t="s">
        <v>1492</v>
      </c>
      <c r="F519" s="57" t="s">
        <v>379</v>
      </c>
      <c r="G519" s="88"/>
      <c r="H519" s="72" t="s">
        <v>846</v>
      </c>
      <c r="I519" s="88"/>
      <c r="J519" s="88"/>
      <c r="K519" s="170"/>
      <c r="L519" s="168"/>
      <c r="M519" s="170"/>
      <c r="N519" s="170"/>
      <c r="O519" s="170"/>
      <c r="P519" s="88" t="s">
        <v>444</v>
      </c>
    </row>
    <row r="520" spans="1:16" x14ac:dyDescent="0.25">
      <c r="A520" s="5">
        <v>324</v>
      </c>
      <c r="B520" s="60">
        <v>101917330</v>
      </c>
      <c r="C520" s="131" t="s">
        <v>1493</v>
      </c>
      <c r="D520" s="61" t="str">
        <f t="shared" si="13"/>
        <v>101917330/0035030026</v>
      </c>
      <c r="E520" s="69" t="s">
        <v>1494</v>
      </c>
      <c r="F520" s="57" t="s">
        <v>381</v>
      </c>
      <c r="G520" s="88"/>
      <c r="H520" s="72" t="s">
        <v>887</v>
      </c>
      <c r="I520" s="88"/>
      <c r="J520" s="88"/>
      <c r="K520" s="170"/>
      <c r="L520" s="168"/>
      <c r="M520" s="170"/>
      <c r="N520" s="170"/>
      <c r="O520" s="170"/>
      <c r="P520" s="88" t="s">
        <v>1602</v>
      </c>
    </row>
    <row r="521" spans="1:16" x14ac:dyDescent="0.25">
      <c r="A521" s="5">
        <v>325</v>
      </c>
      <c r="B521" s="60">
        <v>101917544</v>
      </c>
      <c r="C521" s="71" t="s">
        <v>1495</v>
      </c>
      <c r="D521" s="61" t="str">
        <f t="shared" si="13"/>
        <v>101917544/0043813797</v>
      </c>
      <c r="E521" s="107" t="s">
        <v>1496</v>
      </c>
      <c r="F521" s="57" t="s">
        <v>379</v>
      </c>
      <c r="G521" s="88"/>
      <c r="H521" s="72" t="s">
        <v>863</v>
      </c>
      <c r="I521" s="88"/>
      <c r="J521" s="88"/>
      <c r="K521" s="170"/>
      <c r="L521" s="168"/>
      <c r="M521" s="170"/>
      <c r="N521" s="170"/>
      <c r="O521" s="170"/>
      <c r="P521" s="88" t="s">
        <v>444</v>
      </c>
    </row>
    <row r="522" spans="1:16" x14ac:dyDescent="0.25">
      <c r="A522" s="5">
        <v>326</v>
      </c>
      <c r="B522" s="60">
        <v>101917293</v>
      </c>
      <c r="C522" s="131" t="s">
        <v>1497</v>
      </c>
      <c r="D522" s="61" t="str">
        <f t="shared" si="13"/>
        <v>101917293/0046133017</v>
      </c>
      <c r="E522" s="69" t="s">
        <v>1498</v>
      </c>
      <c r="F522" s="57" t="s">
        <v>381</v>
      </c>
      <c r="G522" s="88"/>
      <c r="H522" s="72" t="s">
        <v>851</v>
      </c>
      <c r="I522" s="88"/>
      <c r="J522" s="88"/>
      <c r="K522" s="170"/>
      <c r="L522" s="168"/>
      <c r="M522" s="170"/>
      <c r="N522" s="170"/>
      <c r="O522" s="170"/>
      <c r="P522" s="88" t="s">
        <v>1602</v>
      </c>
    </row>
    <row r="523" spans="1:16" x14ac:dyDescent="0.25">
      <c r="A523" s="5">
        <v>327</v>
      </c>
      <c r="B523" s="60">
        <v>101917439</v>
      </c>
      <c r="C523" s="71" t="s">
        <v>1499</v>
      </c>
      <c r="D523" s="61" t="str">
        <f t="shared" si="13"/>
        <v>101917439/0043230653</v>
      </c>
      <c r="E523" s="106" t="s">
        <v>1500</v>
      </c>
      <c r="F523" s="57" t="s">
        <v>381</v>
      </c>
      <c r="G523" s="88"/>
      <c r="H523" s="72" t="s">
        <v>854</v>
      </c>
      <c r="I523" s="88"/>
      <c r="J523" s="88"/>
      <c r="K523" s="170"/>
      <c r="L523" s="168"/>
      <c r="M523" s="170"/>
      <c r="N523" s="170"/>
      <c r="O523" s="170"/>
      <c r="P523" s="88" t="s">
        <v>444</v>
      </c>
    </row>
    <row r="524" spans="1:16" x14ac:dyDescent="0.25">
      <c r="A524" s="5">
        <v>328</v>
      </c>
      <c r="B524" s="60">
        <v>101917188</v>
      </c>
      <c r="C524" s="131" t="s">
        <v>1501</v>
      </c>
      <c r="D524" s="61" t="str">
        <f t="shared" si="13"/>
        <v>101917188/0042558786</v>
      </c>
      <c r="E524" s="69" t="s">
        <v>1502</v>
      </c>
      <c r="F524" s="57" t="s">
        <v>381</v>
      </c>
      <c r="G524" s="88"/>
      <c r="H524" s="72" t="s">
        <v>837</v>
      </c>
      <c r="I524" s="88"/>
      <c r="J524" s="88"/>
      <c r="K524" s="170"/>
      <c r="L524" s="168"/>
      <c r="M524" s="170"/>
      <c r="N524" s="170"/>
      <c r="O524" s="170"/>
      <c r="P524" s="88" t="s">
        <v>1602</v>
      </c>
    </row>
    <row r="525" spans="1:16" x14ac:dyDescent="0.25">
      <c r="A525" s="5">
        <v>329</v>
      </c>
      <c r="B525" s="60">
        <v>101917294</v>
      </c>
      <c r="C525" s="131" t="s">
        <v>1503</v>
      </c>
      <c r="D525" s="61" t="str">
        <f t="shared" si="13"/>
        <v>101917294/0044562920</v>
      </c>
      <c r="E525" s="69" t="s">
        <v>1504</v>
      </c>
      <c r="F525" s="57" t="s">
        <v>381</v>
      </c>
      <c r="G525" s="88"/>
      <c r="H525" s="72" t="s">
        <v>851</v>
      </c>
      <c r="I525" s="88"/>
      <c r="J525" s="88"/>
      <c r="K525" s="170"/>
      <c r="L525" s="168"/>
      <c r="M525" s="170"/>
      <c r="N525" s="170"/>
      <c r="O525" s="170"/>
      <c r="P525" s="88" t="s">
        <v>1602</v>
      </c>
    </row>
    <row r="526" spans="1:16" x14ac:dyDescent="0.25">
      <c r="A526" s="5">
        <v>330</v>
      </c>
      <c r="B526" s="60">
        <v>101917404</v>
      </c>
      <c r="C526" s="108" t="s">
        <v>1505</v>
      </c>
      <c r="D526" s="61" t="str">
        <f t="shared" si="13"/>
        <v>101917404/0036114620</v>
      </c>
      <c r="E526" s="107" t="s">
        <v>1506</v>
      </c>
      <c r="F526" s="74" t="s">
        <v>379</v>
      </c>
      <c r="G526" s="88"/>
      <c r="H526" s="72" t="s">
        <v>878</v>
      </c>
      <c r="I526" s="88"/>
      <c r="J526" s="88"/>
      <c r="K526" s="170"/>
      <c r="L526" s="168"/>
      <c r="M526" s="170"/>
      <c r="N526" s="170"/>
      <c r="O526" s="170"/>
      <c r="P526" s="88" t="s">
        <v>444</v>
      </c>
    </row>
    <row r="527" spans="1:16" x14ac:dyDescent="0.25">
      <c r="A527" s="5">
        <v>331</v>
      </c>
      <c r="B527" s="60">
        <v>101917221</v>
      </c>
      <c r="C527" s="131" t="s">
        <v>1507</v>
      </c>
      <c r="D527" s="61" t="str">
        <f t="shared" si="13"/>
        <v>101917221/0040579108</v>
      </c>
      <c r="E527" s="69" t="s">
        <v>1508</v>
      </c>
      <c r="F527" s="57" t="s">
        <v>379</v>
      </c>
      <c r="G527" s="88"/>
      <c r="H527" s="72" t="s">
        <v>840</v>
      </c>
      <c r="I527" s="88"/>
      <c r="J527" s="88"/>
      <c r="K527" s="170"/>
      <c r="L527" s="168"/>
      <c r="M527" s="170"/>
      <c r="N527" s="170"/>
      <c r="O527" s="170"/>
      <c r="P527" s="88" t="s">
        <v>1602</v>
      </c>
    </row>
    <row r="528" spans="1:16" x14ac:dyDescent="0.25">
      <c r="A528" s="5">
        <v>332</v>
      </c>
      <c r="B528" s="60">
        <v>101917295</v>
      </c>
      <c r="C528" s="131" t="s">
        <v>1509</v>
      </c>
      <c r="D528" s="61" t="str">
        <f t="shared" si="13"/>
        <v>101917295/0036919853</v>
      </c>
      <c r="E528" s="69" t="s">
        <v>1510</v>
      </c>
      <c r="F528" s="57" t="s">
        <v>381</v>
      </c>
      <c r="G528" s="88"/>
      <c r="H528" s="72" t="s">
        <v>851</v>
      </c>
      <c r="I528" s="88"/>
      <c r="J528" s="88"/>
      <c r="K528" s="170"/>
      <c r="L528" s="168"/>
      <c r="M528" s="170"/>
      <c r="N528" s="170"/>
      <c r="O528" s="170"/>
      <c r="P528" s="88" t="s">
        <v>1602</v>
      </c>
    </row>
    <row r="529" spans="1:16" x14ac:dyDescent="0.25">
      <c r="A529" s="5">
        <v>333</v>
      </c>
      <c r="B529" s="60">
        <v>101917189</v>
      </c>
      <c r="C529" s="131" t="s">
        <v>1511</v>
      </c>
      <c r="D529" s="61" t="str">
        <f t="shared" si="13"/>
        <v>101917189/0042989267</v>
      </c>
      <c r="E529" s="69" t="s">
        <v>1512</v>
      </c>
      <c r="F529" s="57" t="s">
        <v>381</v>
      </c>
      <c r="G529" s="88"/>
      <c r="H529" s="72" t="s">
        <v>837</v>
      </c>
      <c r="I529" s="88"/>
      <c r="J529" s="88"/>
      <c r="K529" s="170"/>
      <c r="L529" s="168"/>
      <c r="M529" s="170"/>
      <c r="N529" s="170"/>
      <c r="O529" s="170"/>
      <c r="P529" s="88" t="s">
        <v>1602</v>
      </c>
    </row>
    <row r="530" spans="1:16" x14ac:dyDescent="0.25">
      <c r="A530" s="5">
        <v>334</v>
      </c>
      <c r="B530" s="60">
        <v>101917545</v>
      </c>
      <c r="C530" s="71" t="s">
        <v>1513</v>
      </c>
      <c r="D530" s="61" t="str">
        <f t="shared" si="13"/>
        <v>101917545/0043670395</v>
      </c>
      <c r="E530" s="107" t="s">
        <v>1514</v>
      </c>
      <c r="F530" s="57" t="s">
        <v>381</v>
      </c>
      <c r="G530" s="88"/>
      <c r="H530" s="72" t="s">
        <v>863</v>
      </c>
      <c r="I530" s="88"/>
      <c r="J530" s="88"/>
      <c r="K530" s="170"/>
      <c r="L530" s="168"/>
      <c r="M530" s="170"/>
      <c r="N530" s="170"/>
      <c r="O530" s="170"/>
      <c r="P530" s="88" t="s">
        <v>444</v>
      </c>
    </row>
    <row r="531" spans="1:16" x14ac:dyDescent="0.25">
      <c r="A531" s="5">
        <v>335</v>
      </c>
      <c r="B531" s="60">
        <v>101917405</v>
      </c>
      <c r="C531" s="108" t="s">
        <v>1515</v>
      </c>
      <c r="D531" s="61" t="str">
        <f t="shared" si="13"/>
        <v>101917405/0045862919</v>
      </c>
      <c r="E531" s="107" t="s">
        <v>1516</v>
      </c>
      <c r="F531" s="74" t="s">
        <v>381</v>
      </c>
      <c r="G531" s="88"/>
      <c r="H531" s="72" t="s">
        <v>878</v>
      </c>
      <c r="I531" s="88"/>
      <c r="J531" s="88"/>
      <c r="K531" s="170"/>
      <c r="L531" s="168"/>
      <c r="M531" s="170"/>
      <c r="N531" s="170"/>
      <c r="O531" s="170"/>
      <c r="P531" s="88" t="s">
        <v>444</v>
      </c>
    </row>
    <row r="532" spans="1:16" x14ac:dyDescent="0.25">
      <c r="A532" s="5">
        <v>336</v>
      </c>
      <c r="B532" s="60">
        <v>101917406</v>
      </c>
      <c r="C532" s="108" t="s">
        <v>1517</v>
      </c>
      <c r="D532" s="61" t="str">
        <f t="shared" si="13"/>
        <v>101917406/0036874333</v>
      </c>
      <c r="E532" s="107" t="s">
        <v>1518</v>
      </c>
      <c r="F532" s="74" t="s">
        <v>379</v>
      </c>
      <c r="G532" s="88"/>
      <c r="H532" s="72" t="s">
        <v>878</v>
      </c>
      <c r="I532" s="88"/>
      <c r="J532" s="88"/>
      <c r="K532" s="170"/>
      <c r="L532" s="168"/>
      <c r="M532" s="170"/>
      <c r="N532" s="170"/>
      <c r="O532" s="170"/>
      <c r="P532" s="88" t="s">
        <v>444</v>
      </c>
    </row>
    <row r="533" spans="1:16" x14ac:dyDescent="0.25">
      <c r="A533" s="5">
        <v>337</v>
      </c>
      <c r="B533" s="60">
        <v>101917512</v>
      </c>
      <c r="C533" s="65" t="s">
        <v>1519</v>
      </c>
      <c r="D533" s="61" t="str">
        <f t="shared" si="13"/>
        <v>101917512/0044905602</v>
      </c>
      <c r="E533" s="94" t="s">
        <v>1520</v>
      </c>
      <c r="F533" s="57" t="s">
        <v>381</v>
      </c>
      <c r="G533" s="88"/>
      <c r="H533" s="72" t="s">
        <v>846</v>
      </c>
      <c r="I533" s="88"/>
      <c r="J533" s="88"/>
      <c r="K533" s="170"/>
      <c r="L533" s="168"/>
      <c r="M533" s="170"/>
      <c r="N533" s="170"/>
      <c r="O533" s="170"/>
      <c r="P533" s="88" t="s">
        <v>444</v>
      </c>
    </row>
    <row r="534" spans="1:16" x14ac:dyDescent="0.25">
      <c r="A534" s="5">
        <v>338</v>
      </c>
      <c r="B534" s="60">
        <v>101917546</v>
      </c>
      <c r="C534" s="135" t="s">
        <v>1521</v>
      </c>
      <c r="D534" s="61" t="str">
        <f t="shared" si="13"/>
        <v>101917546/0037019591</v>
      </c>
      <c r="E534" s="107" t="s">
        <v>1522</v>
      </c>
      <c r="F534" s="57" t="s">
        <v>379</v>
      </c>
      <c r="G534" s="88"/>
      <c r="H534" s="72" t="s">
        <v>863</v>
      </c>
      <c r="I534" s="88"/>
      <c r="J534" s="88"/>
      <c r="K534" s="170"/>
      <c r="L534" s="168"/>
      <c r="M534" s="170"/>
      <c r="N534" s="170"/>
      <c r="O534" s="170"/>
      <c r="P534" s="88" t="s">
        <v>444</v>
      </c>
    </row>
    <row r="535" spans="1:16" x14ac:dyDescent="0.25">
      <c r="A535" s="5">
        <v>339</v>
      </c>
      <c r="B535" s="60">
        <v>101917260</v>
      </c>
      <c r="C535" s="131" t="s">
        <v>1523</v>
      </c>
      <c r="D535" s="61" t="str">
        <f t="shared" si="13"/>
        <v>101917260/0047493281</v>
      </c>
      <c r="E535" s="69" t="s">
        <v>1524</v>
      </c>
      <c r="F535" s="57" t="s">
        <v>381</v>
      </c>
      <c r="G535" s="88"/>
      <c r="H535" s="72" t="s">
        <v>875</v>
      </c>
      <c r="I535" s="88"/>
      <c r="J535" s="88"/>
      <c r="K535" s="170"/>
      <c r="L535" s="168"/>
      <c r="M535" s="170"/>
      <c r="N535" s="170"/>
      <c r="O535" s="170"/>
      <c r="P535" s="88" t="s">
        <v>1602</v>
      </c>
    </row>
    <row r="536" spans="1:16" x14ac:dyDescent="0.25">
      <c r="A536" s="5">
        <v>340</v>
      </c>
      <c r="B536" s="60">
        <v>101917513</v>
      </c>
      <c r="C536" s="65" t="s">
        <v>1525</v>
      </c>
      <c r="D536" s="61" t="str">
        <f t="shared" si="13"/>
        <v>101917513/0040277532</v>
      </c>
      <c r="E536" s="94" t="s">
        <v>1526</v>
      </c>
      <c r="F536" s="57" t="s">
        <v>381</v>
      </c>
      <c r="G536" s="88"/>
      <c r="H536" s="72" t="s">
        <v>846</v>
      </c>
      <c r="I536" s="88"/>
      <c r="J536" s="88"/>
      <c r="K536" s="170"/>
      <c r="L536" s="168"/>
      <c r="M536" s="170"/>
      <c r="N536" s="170"/>
      <c r="O536" s="170"/>
      <c r="P536" s="88" t="s">
        <v>444</v>
      </c>
    </row>
    <row r="537" spans="1:16" x14ac:dyDescent="0.25">
      <c r="A537" s="5">
        <v>341</v>
      </c>
      <c r="B537" s="60">
        <v>101917332</v>
      </c>
      <c r="C537" s="131" t="s">
        <v>1527</v>
      </c>
      <c r="D537" s="61" t="str">
        <f t="shared" si="13"/>
        <v>101917332/0043771095</v>
      </c>
      <c r="E537" s="69" t="s">
        <v>1528</v>
      </c>
      <c r="F537" s="57" t="s">
        <v>381</v>
      </c>
      <c r="G537" s="88"/>
      <c r="H537" s="72" t="s">
        <v>887</v>
      </c>
      <c r="I537" s="88"/>
      <c r="J537" s="88"/>
      <c r="K537" s="170"/>
      <c r="L537" s="168"/>
      <c r="M537" s="170"/>
      <c r="N537" s="170"/>
      <c r="O537" s="170"/>
      <c r="P537" s="88" t="s">
        <v>1602</v>
      </c>
    </row>
    <row r="538" spans="1:16" x14ac:dyDescent="0.25">
      <c r="A538" s="5">
        <v>342</v>
      </c>
      <c r="B538" s="60">
        <v>101917364</v>
      </c>
      <c r="C538" s="131" t="s">
        <v>1529</v>
      </c>
      <c r="D538" s="61" t="str">
        <f t="shared" si="13"/>
        <v>101917364/0043112584</v>
      </c>
      <c r="E538" s="69" t="s">
        <v>1530</v>
      </c>
      <c r="F538" s="57" t="s">
        <v>381</v>
      </c>
      <c r="G538" s="88"/>
      <c r="H538" s="72" t="s">
        <v>870</v>
      </c>
      <c r="I538" s="88"/>
      <c r="J538" s="88"/>
      <c r="K538" s="170"/>
      <c r="L538" s="168"/>
      <c r="M538" s="170"/>
      <c r="N538" s="170"/>
      <c r="O538" s="170"/>
      <c r="P538" s="88" t="s">
        <v>1602</v>
      </c>
    </row>
    <row r="539" spans="1:16" x14ac:dyDescent="0.25">
      <c r="A539" s="5">
        <v>343</v>
      </c>
      <c r="B539" s="60">
        <v>101917477</v>
      </c>
      <c r="C539" s="65" t="s">
        <v>1531</v>
      </c>
      <c r="D539" s="61" t="str">
        <f t="shared" si="13"/>
        <v>101917477/0038397409</v>
      </c>
      <c r="E539" s="105" t="s">
        <v>1532</v>
      </c>
      <c r="F539" s="57" t="s">
        <v>381</v>
      </c>
      <c r="G539" s="88"/>
      <c r="H539" s="72" t="s">
        <v>843</v>
      </c>
      <c r="I539" s="88"/>
      <c r="J539" s="88"/>
      <c r="K539" s="170"/>
      <c r="L539" s="168"/>
      <c r="M539" s="170"/>
      <c r="N539" s="170"/>
      <c r="O539" s="170"/>
      <c r="P539" s="88" t="s">
        <v>444</v>
      </c>
    </row>
    <row r="540" spans="1:16" x14ac:dyDescent="0.25">
      <c r="A540" s="5">
        <v>344</v>
      </c>
      <c r="B540" s="60">
        <v>101917547</v>
      </c>
      <c r="C540" s="71" t="s">
        <v>1533</v>
      </c>
      <c r="D540" s="61" t="str">
        <f t="shared" si="13"/>
        <v>101917547/0042936380</v>
      </c>
      <c r="E540" s="107" t="s">
        <v>1534</v>
      </c>
      <c r="F540" s="57" t="s">
        <v>379</v>
      </c>
      <c r="G540" s="88"/>
      <c r="H540" s="72" t="s">
        <v>863</v>
      </c>
      <c r="I540" s="88"/>
      <c r="J540" s="88"/>
      <c r="K540" s="170"/>
      <c r="L540" s="168"/>
      <c r="M540" s="170"/>
      <c r="N540" s="170"/>
      <c r="O540" s="170"/>
      <c r="P540" s="88" t="s">
        <v>444</v>
      </c>
    </row>
    <row r="541" spans="1:16" x14ac:dyDescent="0.25">
      <c r="A541" s="5">
        <v>345</v>
      </c>
      <c r="B541" s="60">
        <v>101917222</v>
      </c>
      <c r="C541" s="131" t="s">
        <v>1535</v>
      </c>
      <c r="D541" s="61" t="str">
        <f t="shared" si="13"/>
        <v>101917222/0043146511</v>
      </c>
      <c r="E541" s="69" t="s">
        <v>1536</v>
      </c>
      <c r="F541" s="57" t="s">
        <v>379</v>
      </c>
      <c r="G541" s="88"/>
      <c r="H541" s="72" t="s">
        <v>840</v>
      </c>
      <c r="I541" s="88"/>
      <c r="J541" s="88"/>
      <c r="K541" s="170"/>
      <c r="L541" s="168"/>
      <c r="M541" s="170"/>
      <c r="N541" s="170"/>
      <c r="O541" s="170"/>
      <c r="P541" s="88" t="s">
        <v>1602</v>
      </c>
    </row>
    <row r="542" spans="1:16" x14ac:dyDescent="0.25">
      <c r="A542" s="5">
        <v>346</v>
      </c>
      <c r="B542" s="60">
        <v>101917333</v>
      </c>
      <c r="C542" s="131" t="s">
        <v>1537</v>
      </c>
      <c r="D542" s="61" t="str">
        <f t="shared" si="13"/>
        <v>101917333/0042571432</v>
      </c>
      <c r="E542" s="69" t="s">
        <v>1538</v>
      </c>
      <c r="F542" s="57" t="s">
        <v>381</v>
      </c>
      <c r="G542" s="88"/>
      <c r="H542" s="72" t="s">
        <v>887</v>
      </c>
      <c r="I542" s="88"/>
      <c r="J542" s="88"/>
      <c r="K542" s="170"/>
      <c r="L542" s="168"/>
      <c r="M542" s="170"/>
      <c r="N542" s="170"/>
      <c r="O542" s="170"/>
      <c r="P542" s="88" t="s">
        <v>1602</v>
      </c>
    </row>
    <row r="543" spans="1:16" x14ac:dyDescent="0.25">
      <c r="A543" s="5">
        <v>347</v>
      </c>
      <c r="B543" s="60">
        <v>101917296</v>
      </c>
      <c r="C543" s="131" t="s">
        <v>1539</v>
      </c>
      <c r="D543" s="61" t="str">
        <f t="shared" si="13"/>
        <v>101917296/0041768851</v>
      </c>
      <c r="E543" s="69" t="s">
        <v>1540</v>
      </c>
      <c r="F543" s="57" t="s">
        <v>381</v>
      </c>
      <c r="G543" s="88"/>
      <c r="H543" s="72" t="s">
        <v>851</v>
      </c>
      <c r="I543" s="88"/>
      <c r="J543" s="88"/>
      <c r="K543" s="170"/>
      <c r="L543" s="168"/>
      <c r="M543" s="170"/>
      <c r="N543" s="170"/>
      <c r="O543" s="170"/>
      <c r="P543" s="88" t="s">
        <v>1602</v>
      </c>
    </row>
    <row r="544" spans="1:16" x14ac:dyDescent="0.25">
      <c r="A544" s="5">
        <v>348</v>
      </c>
      <c r="B544" s="60">
        <v>101917365</v>
      </c>
      <c r="C544" s="131" t="s">
        <v>1541</v>
      </c>
      <c r="D544" s="61" t="str">
        <f t="shared" si="13"/>
        <v>101917365/0042196878</v>
      </c>
      <c r="E544" s="69" t="s">
        <v>1542</v>
      </c>
      <c r="F544" s="57" t="s">
        <v>381</v>
      </c>
      <c r="G544" s="88"/>
      <c r="H544" s="72" t="s">
        <v>870</v>
      </c>
      <c r="I544" s="88"/>
      <c r="J544" s="88"/>
      <c r="K544" s="170"/>
      <c r="L544" s="168"/>
      <c r="M544" s="170"/>
      <c r="N544" s="170"/>
      <c r="O544" s="170"/>
      <c r="P544" s="88" t="s">
        <v>1602</v>
      </c>
    </row>
    <row r="545" spans="1:16" x14ac:dyDescent="0.25">
      <c r="A545" s="5">
        <v>349</v>
      </c>
      <c r="B545" s="60">
        <v>101917366</v>
      </c>
      <c r="C545" s="131" t="s">
        <v>1543</v>
      </c>
      <c r="D545" s="61" t="str">
        <f t="shared" si="13"/>
        <v>101917366/0037593024</v>
      </c>
      <c r="E545" s="69" t="s">
        <v>1544</v>
      </c>
      <c r="F545" s="57" t="s">
        <v>381</v>
      </c>
      <c r="G545" s="88"/>
      <c r="H545" s="72" t="s">
        <v>870</v>
      </c>
      <c r="I545" s="88"/>
      <c r="J545" s="88"/>
      <c r="K545" s="170"/>
      <c r="L545" s="168"/>
      <c r="M545" s="170"/>
      <c r="N545" s="170"/>
      <c r="O545" s="170"/>
      <c r="P545" s="88" t="s">
        <v>1602</v>
      </c>
    </row>
    <row r="546" spans="1:16" x14ac:dyDescent="0.25">
      <c r="A546" s="5">
        <v>350</v>
      </c>
      <c r="B546" s="60">
        <v>101917190</v>
      </c>
      <c r="C546" s="131" t="s">
        <v>1545</v>
      </c>
      <c r="D546" s="61" t="str">
        <f t="shared" si="13"/>
        <v>101917190/0045771685</v>
      </c>
      <c r="E546" s="69" t="s">
        <v>1546</v>
      </c>
      <c r="F546" s="57" t="s">
        <v>381</v>
      </c>
      <c r="G546" s="88"/>
      <c r="H546" s="72" t="s">
        <v>837</v>
      </c>
      <c r="I546" s="88"/>
      <c r="J546" s="88"/>
      <c r="K546" s="170"/>
      <c r="L546" s="168"/>
      <c r="M546" s="170"/>
      <c r="N546" s="170"/>
      <c r="O546" s="170"/>
      <c r="P546" s="88" t="s">
        <v>1602</v>
      </c>
    </row>
    <row r="547" spans="1:16" x14ac:dyDescent="0.25">
      <c r="A547" s="5">
        <v>351</v>
      </c>
      <c r="B547" s="60">
        <v>101917223</v>
      </c>
      <c r="C547" s="131" t="s">
        <v>1547</v>
      </c>
      <c r="D547" s="61" t="str">
        <f t="shared" si="13"/>
        <v>101917223/0047199134</v>
      </c>
      <c r="E547" s="69" t="s">
        <v>1548</v>
      </c>
      <c r="F547" s="57" t="s">
        <v>381</v>
      </c>
      <c r="G547" s="88"/>
      <c r="H547" s="72" t="s">
        <v>840</v>
      </c>
      <c r="I547" s="88"/>
      <c r="J547" s="88"/>
      <c r="K547" s="170"/>
      <c r="L547" s="168"/>
      <c r="M547" s="170"/>
      <c r="N547" s="170"/>
      <c r="O547" s="170"/>
      <c r="P547" s="88" t="s">
        <v>1602</v>
      </c>
    </row>
    <row r="548" spans="1:16" x14ac:dyDescent="0.25">
      <c r="A548" s="5">
        <v>352</v>
      </c>
      <c r="B548" s="60">
        <v>101917224</v>
      </c>
      <c r="C548" s="131" t="s">
        <v>1549</v>
      </c>
      <c r="D548" s="61" t="str">
        <f t="shared" si="13"/>
        <v>101917224/0043112588</v>
      </c>
      <c r="E548" s="69" t="s">
        <v>1550</v>
      </c>
      <c r="F548" s="57" t="s">
        <v>379</v>
      </c>
      <c r="G548" s="88"/>
      <c r="H548" s="72" t="s">
        <v>840</v>
      </c>
      <c r="I548" s="88"/>
      <c r="J548" s="88"/>
      <c r="K548" s="170"/>
      <c r="L548" s="168"/>
      <c r="M548" s="170"/>
      <c r="N548" s="170"/>
      <c r="O548" s="170"/>
      <c r="P548" s="88" t="s">
        <v>1602</v>
      </c>
    </row>
    <row r="549" spans="1:16" x14ac:dyDescent="0.25">
      <c r="A549" s="5">
        <v>353</v>
      </c>
      <c r="B549" s="60">
        <v>101917440</v>
      </c>
      <c r="C549" s="71" t="s">
        <v>1551</v>
      </c>
      <c r="D549" s="61" t="str">
        <f t="shared" si="13"/>
        <v>101917440/0036719403</v>
      </c>
      <c r="E549" s="106" t="s">
        <v>1552</v>
      </c>
      <c r="F549" s="57" t="s">
        <v>379</v>
      </c>
      <c r="G549" s="88"/>
      <c r="H549" s="72" t="s">
        <v>854</v>
      </c>
      <c r="I549" s="88"/>
      <c r="J549" s="88"/>
      <c r="K549" s="170"/>
      <c r="L549" s="168"/>
      <c r="M549" s="170"/>
      <c r="N549" s="170"/>
      <c r="O549" s="170"/>
      <c r="P549" s="88" t="s">
        <v>444</v>
      </c>
    </row>
    <row r="550" spans="1:16" x14ac:dyDescent="0.25">
      <c r="A550" s="5">
        <v>354</v>
      </c>
      <c r="B550" s="60">
        <v>101917334</v>
      </c>
      <c r="C550" s="131" t="s">
        <v>1553</v>
      </c>
      <c r="D550" s="61" t="str">
        <f t="shared" si="13"/>
        <v>101917334/0043699183</v>
      </c>
      <c r="E550" s="69" t="s">
        <v>1554</v>
      </c>
      <c r="F550" s="57" t="s">
        <v>381</v>
      </c>
      <c r="G550" s="88"/>
      <c r="H550" s="72" t="s">
        <v>887</v>
      </c>
      <c r="I550" s="88"/>
      <c r="J550" s="88"/>
      <c r="K550" s="170"/>
      <c r="L550" s="168"/>
      <c r="M550" s="170"/>
      <c r="N550" s="170"/>
      <c r="O550" s="170"/>
      <c r="P550" s="88" t="s">
        <v>1602</v>
      </c>
    </row>
    <row r="551" spans="1:16" x14ac:dyDescent="0.25">
      <c r="A551" s="5">
        <v>355</v>
      </c>
      <c r="B551" s="60">
        <v>101917191</v>
      </c>
      <c r="C551" s="131" t="s">
        <v>1555</v>
      </c>
      <c r="D551" s="61" t="str">
        <f t="shared" si="13"/>
        <v>101917191/0042015111</v>
      </c>
      <c r="E551" s="69" t="s">
        <v>1556</v>
      </c>
      <c r="F551" s="57" t="s">
        <v>381</v>
      </c>
      <c r="G551" s="88"/>
      <c r="H551" s="72" t="s">
        <v>837</v>
      </c>
      <c r="I551" s="88"/>
      <c r="J551" s="88"/>
      <c r="K551" s="170"/>
      <c r="L551" s="168"/>
      <c r="M551" s="170"/>
      <c r="N551" s="170"/>
      <c r="O551" s="170"/>
      <c r="P551" s="88" t="s">
        <v>1602</v>
      </c>
    </row>
    <row r="552" spans="1:16" x14ac:dyDescent="0.25">
      <c r="A552" s="5">
        <v>356</v>
      </c>
      <c r="B552" s="60">
        <v>101917367</v>
      </c>
      <c r="C552" s="131" t="s">
        <v>1557</v>
      </c>
      <c r="D552" s="61" t="str">
        <f t="shared" si="13"/>
        <v>101917367/0037541733</v>
      </c>
      <c r="E552" s="69" t="s">
        <v>1558</v>
      </c>
      <c r="F552" s="57" t="s">
        <v>381</v>
      </c>
      <c r="G552" s="88"/>
      <c r="H552" s="72" t="s">
        <v>870</v>
      </c>
      <c r="I552" s="88"/>
      <c r="J552" s="88"/>
      <c r="K552" s="170"/>
      <c r="L552" s="168"/>
      <c r="M552" s="170"/>
      <c r="N552" s="170"/>
      <c r="O552" s="170"/>
      <c r="P552" s="88" t="s">
        <v>1602</v>
      </c>
    </row>
    <row r="553" spans="1:16" x14ac:dyDescent="0.25">
      <c r="A553" s="5">
        <v>357</v>
      </c>
      <c r="B553" s="60">
        <v>101917407</v>
      </c>
      <c r="C553" s="108" t="s">
        <v>1559</v>
      </c>
      <c r="D553" s="61" t="str">
        <f t="shared" si="13"/>
        <v>101917407/0048996557</v>
      </c>
      <c r="E553" s="107" t="s">
        <v>1560</v>
      </c>
      <c r="F553" s="74" t="s">
        <v>381</v>
      </c>
      <c r="G553" s="88"/>
      <c r="H553" s="72" t="s">
        <v>878</v>
      </c>
      <c r="I553" s="88"/>
      <c r="J553" s="88"/>
      <c r="K553" s="170"/>
      <c r="L553" s="168"/>
      <c r="M553" s="170"/>
      <c r="N553" s="170"/>
      <c r="O553" s="170"/>
      <c r="P553" s="88" t="s">
        <v>444</v>
      </c>
    </row>
    <row r="554" spans="1:16" x14ac:dyDescent="0.25">
      <c r="A554" s="5">
        <v>358</v>
      </c>
      <c r="B554" s="60">
        <v>101917368</v>
      </c>
      <c r="C554" s="131" t="s">
        <v>1561</v>
      </c>
      <c r="D554" s="61" t="str">
        <f t="shared" si="13"/>
        <v>101917368/0048349131</v>
      </c>
      <c r="E554" s="69" t="s">
        <v>1562</v>
      </c>
      <c r="F554" s="57" t="s">
        <v>381</v>
      </c>
      <c r="G554" s="88"/>
      <c r="H554" s="72" t="s">
        <v>870</v>
      </c>
      <c r="I554" s="88"/>
      <c r="J554" s="88"/>
      <c r="K554" s="170"/>
      <c r="L554" s="168"/>
      <c r="M554" s="170"/>
      <c r="N554" s="170"/>
      <c r="O554" s="170"/>
      <c r="P554" s="88" t="s">
        <v>1602</v>
      </c>
    </row>
    <row r="555" spans="1:16" x14ac:dyDescent="0.25">
      <c r="A555" s="5">
        <v>359</v>
      </c>
      <c r="B555" s="60">
        <v>101917225</v>
      </c>
      <c r="C555" s="131" t="s">
        <v>1563</v>
      </c>
      <c r="D555" s="61" t="str">
        <f t="shared" si="13"/>
        <v>101917225/0035007218</v>
      </c>
      <c r="E555" s="69" t="s">
        <v>1564</v>
      </c>
      <c r="F555" s="57" t="s">
        <v>381</v>
      </c>
      <c r="G555" s="88"/>
      <c r="H555" s="72" t="s">
        <v>840</v>
      </c>
      <c r="I555" s="88"/>
      <c r="J555" s="88"/>
      <c r="K555" s="170"/>
      <c r="L555" s="168"/>
      <c r="M555" s="170"/>
      <c r="N555" s="170"/>
      <c r="O555" s="170"/>
      <c r="P555" s="88" t="s">
        <v>1602</v>
      </c>
    </row>
    <row r="556" spans="1:16" x14ac:dyDescent="0.25">
      <c r="A556" s="5">
        <v>360</v>
      </c>
      <c r="B556" s="60">
        <v>101917369</v>
      </c>
      <c r="C556" s="131" t="s">
        <v>1565</v>
      </c>
      <c r="D556" s="61" t="str">
        <f t="shared" si="13"/>
        <v>101917369/0023256387</v>
      </c>
      <c r="E556" s="69" t="s">
        <v>1566</v>
      </c>
      <c r="F556" s="57" t="s">
        <v>381</v>
      </c>
      <c r="G556" s="88"/>
      <c r="H556" s="72" t="s">
        <v>870</v>
      </c>
      <c r="I556" s="88"/>
      <c r="J556" s="88"/>
      <c r="K556" s="170"/>
      <c r="L556" s="168"/>
      <c r="M556" s="170"/>
      <c r="N556" s="170"/>
      <c r="O556" s="170"/>
      <c r="P556" s="88" t="s">
        <v>1602</v>
      </c>
    </row>
    <row r="557" spans="1:16" x14ac:dyDescent="0.25">
      <c r="A557" s="5">
        <v>361</v>
      </c>
      <c r="B557" s="60">
        <v>101917478</v>
      </c>
      <c r="C557" s="65" t="s">
        <v>1567</v>
      </c>
      <c r="D557" s="61" t="str">
        <f t="shared" si="13"/>
        <v>101917478/0037834804</v>
      </c>
      <c r="E557" s="105" t="s">
        <v>1568</v>
      </c>
      <c r="F557" s="57" t="s">
        <v>379</v>
      </c>
      <c r="G557" s="88"/>
      <c r="H557" s="72" t="s">
        <v>843</v>
      </c>
      <c r="I557" s="88"/>
      <c r="J557" s="88"/>
      <c r="K557" s="170"/>
      <c r="L557" s="168"/>
      <c r="M557" s="170"/>
      <c r="N557" s="170"/>
      <c r="O557" s="170"/>
      <c r="P557" s="88" t="s">
        <v>444</v>
      </c>
    </row>
    <row r="558" spans="1:16" x14ac:dyDescent="0.25">
      <c r="A558" s="5">
        <v>362</v>
      </c>
      <c r="B558" s="60">
        <v>101917297</v>
      </c>
      <c r="C558" s="131" t="s">
        <v>1569</v>
      </c>
      <c r="D558" s="61" t="str">
        <f t="shared" si="13"/>
        <v>101917297/0046398875</v>
      </c>
      <c r="E558" s="69" t="s">
        <v>1570</v>
      </c>
      <c r="F558" s="57" t="s">
        <v>381</v>
      </c>
      <c r="G558" s="88"/>
      <c r="H558" s="72" t="s">
        <v>851</v>
      </c>
      <c r="I558" s="88"/>
      <c r="J558" s="88"/>
      <c r="K558" s="170"/>
      <c r="L558" s="168"/>
      <c r="M558" s="170"/>
      <c r="N558" s="170"/>
      <c r="O558" s="170"/>
      <c r="P558" s="88" t="s">
        <v>1602</v>
      </c>
    </row>
    <row r="559" spans="1:16" x14ac:dyDescent="0.25">
      <c r="A559" s="5">
        <v>363</v>
      </c>
      <c r="B559" s="60">
        <v>101917226</v>
      </c>
      <c r="C559" s="131" t="s">
        <v>1571</v>
      </c>
      <c r="D559" s="61" t="str">
        <f t="shared" si="13"/>
        <v>101917226/0038830591</v>
      </c>
      <c r="E559" s="69" t="s">
        <v>1572</v>
      </c>
      <c r="F559" s="57" t="s">
        <v>381</v>
      </c>
      <c r="G559" s="88"/>
      <c r="H559" s="72" t="s">
        <v>840</v>
      </c>
      <c r="I559" s="88"/>
      <c r="J559" s="88"/>
      <c r="K559" s="170"/>
      <c r="L559" s="168"/>
      <c r="M559" s="170"/>
      <c r="N559" s="170"/>
      <c r="O559" s="170"/>
      <c r="P559" s="88" t="s">
        <v>1602</v>
      </c>
    </row>
    <row r="560" spans="1:16" x14ac:dyDescent="0.25">
      <c r="A560" s="5">
        <v>364</v>
      </c>
      <c r="B560" s="60">
        <v>101917479</v>
      </c>
      <c r="C560" s="65" t="s">
        <v>1573</v>
      </c>
      <c r="D560" s="61" t="str">
        <f t="shared" si="13"/>
        <v>101917479/0042077832</v>
      </c>
      <c r="E560" s="105" t="s">
        <v>1574</v>
      </c>
      <c r="F560" s="57" t="s">
        <v>379</v>
      </c>
      <c r="G560" s="88"/>
      <c r="H560" s="72" t="s">
        <v>843</v>
      </c>
      <c r="I560" s="88"/>
      <c r="J560" s="88"/>
      <c r="K560" s="170"/>
      <c r="L560" s="168"/>
      <c r="M560" s="170"/>
      <c r="N560" s="170"/>
      <c r="O560" s="170"/>
      <c r="P560" s="88" t="s">
        <v>444</v>
      </c>
    </row>
    <row r="561" spans="1:16" x14ac:dyDescent="0.25">
      <c r="A561" s="5">
        <v>365</v>
      </c>
      <c r="B561" s="60">
        <v>101917298</v>
      </c>
      <c r="C561" s="131" t="s">
        <v>1575</v>
      </c>
      <c r="D561" s="61" t="str">
        <f t="shared" si="13"/>
        <v>101917298/0046799264</v>
      </c>
      <c r="E561" s="69" t="s">
        <v>1576</v>
      </c>
      <c r="F561" s="57" t="s">
        <v>379</v>
      </c>
      <c r="G561" s="88"/>
      <c r="H561" s="72" t="s">
        <v>851</v>
      </c>
      <c r="I561" s="88"/>
      <c r="J561" s="88"/>
      <c r="K561" s="170"/>
      <c r="L561" s="168"/>
      <c r="M561" s="170"/>
      <c r="N561" s="170"/>
      <c r="O561" s="170"/>
      <c r="P561" s="88" t="s">
        <v>1602</v>
      </c>
    </row>
    <row r="562" spans="1:16" x14ac:dyDescent="0.25">
      <c r="A562" s="5">
        <v>366</v>
      </c>
      <c r="B562" s="60">
        <v>101917441</v>
      </c>
      <c r="C562" s="71" t="s">
        <v>1577</v>
      </c>
      <c r="D562" s="61" t="str">
        <f t="shared" si="13"/>
        <v>101917441/0044054358</v>
      </c>
      <c r="E562" s="106" t="s">
        <v>1578</v>
      </c>
      <c r="F562" s="57" t="s">
        <v>379</v>
      </c>
      <c r="G562" s="88"/>
      <c r="H562" s="72" t="s">
        <v>854</v>
      </c>
      <c r="I562" s="88"/>
      <c r="J562" s="88"/>
      <c r="K562" s="170"/>
      <c r="L562" s="168"/>
      <c r="M562" s="170"/>
      <c r="N562" s="170"/>
      <c r="O562" s="170"/>
      <c r="P562" s="88" t="s">
        <v>444</v>
      </c>
    </row>
    <row r="563" spans="1:16" x14ac:dyDescent="0.25">
      <c r="A563" s="5">
        <v>367</v>
      </c>
      <c r="B563" s="60">
        <v>101917261</v>
      </c>
      <c r="C563" s="131" t="s">
        <v>1579</v>
      </c>
      <c r="D563" s="61" t="str">
        <f t="shared" si="13"/>
        <v>101917261/0036450431</v>
      </c>
      <c r="E563" s="69" t="s">
        <v>1580</v>
      </c>
      <c r="F563" s="57" t="s">
        <v>381</v>
      </c>
      <c r="G563" s="88"/>
      <c r="H563" s="72" t="s">
        <v>875</v>
      </c>
      <c r="I563" s="88"/>
      <c r="J563" s="88"/>
      <c r="K563" s="170"/>
      <c r="L563" s="168"/>
      <c r="M563" s="170"/>
      <c r="N563" s="170"/>
      <c r="O563" s="170"/>
      <c r="P563" s="88" t="s">
        <v>1602</v>
      </c>
    </row>
    <row r="564" spans="1:16" x14ac:dyDescent="0.25">
      <c r="A564" s="5">
        <v>368</v>
      </c>
      <c r="B564" s="60">
        <v>101917548</v>
      </c>
      <c r="C564" s="71" t="s">
        <v>1581</v>
      </c>
      <c r="D564" s="61" t="str">
        <f t="shared" si="13"/>
        <v>101917548/0029462820</v>
      </c>
      <c r="E564" s="107" t="s">
        <v>1582</v>
      </c>
      <c r="F564" s="57" t="s">
        <v>379</v>
      </c>
      <c r="G564" s="88"/>
      <c r="H564" s="72" t="s">
        <v>863</v>
      </c>
      <c r="I564" s="88"/>
      <c r="J564" s="88"/>
      <c r="K564" s="170"/>
      <c r="L564" s="168"/>
      <c r="M564" s="170"/>
      <c r="N564" s="170"/>
      <c r="O564" s="170"/>
      <c r="P564" s="88" t="s">
        <v>444</v>
      </c>
    </row>
    <row r="565" spans="1:16" x14ac:dyDescent="0.25">
      <c r="A565" s="5">
        <v>369</v>
      </c>
      <c r="B565" s="60">
        <v>101917370</v>
      </c>
      <c r="C565" s="131" t="s">
        <v>1583</v>
      </c>
      <c r="D565" s="61" t="str">
        <f t="shared" si="13"/>
        <v>101917370/0040695240</v>
      </c>
      <c r="E565" s="69" t="s">
        <v>1584</v>
      </c>
      <c r="F565" s="57" t="s">
        <v>381</v>
      </c>
      <c r="G565" s="88"/>
      <c r="H565" s="72" t="s">
        <v>870</v>
      </c>
      <c r="I565" s="88"/>
      <c r="J565" s="88"/>
      <c r="K565" s="170"/>
      <c r="L565" s="168"/>
      <c r="M565" s="170"/>
      <c r="N565" s="170"/>
      <c r="O565" s="170"/>
      <c r="P565" s="88" t="s">
        <v>1602</v>
      </c>
    </row>
    <row r="566" spans="1:16" x14ac:dyDescent="0.25">
      <c r="A566" s="5">
        <v>370</v>
      </c>
      <c r="B566" s="60">
        <v>101917262</v>
      </c>
      <c r="C566" s="131" t="s">
        <v>1585</v>
      </c>
      <c r="D566" s="61" t="str">
        <f t="shared" si="13"/>
        <v>101917262/0043956649</v>
      </c>
      <c r="E566" s="69" t="s">
        <v>1586</v>
      </c>
      <c r="F566" s="57" t="s">
        <v>379</v>
      </c>
      <c r="G566" s="88"/>
      <c r="H566" s="72" t="s">
        <v>875</v>
      </c>
      <c r="I566" s="88"/>
      <c r="J566" s="88"/>
      <c r="K566" s="170"/>
      <c r="L566" s="168"/>
      <c r="M566" s="170"/>
      <c r="N566" s="170"/>
      <c r="O566" s="170"/>
      <c r="P566" s="88" t="s">
        <v>1602</v>
      </c>
    </row>
    <row r="567" spans="1:16" x14ac:dyDescent="0.25">
      <c r="A567" s="5">
        <v>371</v>
      </c>
      <c r="B567" s="60">
        <v>101917335</v>
      </c>
      <c r="C567" s="131" t="s">
        <v>1587</v>
      </c>
      <c r="D567" s="61" t="str">
        <f t="shared" si="13"/>
        <v>101917335/0035508503</v>
      </c>
      <c r="E567" s="69" t="s">
        <v>1588</v>
      </c>
      <c r="F567" s="57" t="s">
        <v>381</v>
      </c>
      <c r="G567" s="88"/>
      <c r="H567" s="72" t="s">
        <v>887</v>
      </c>
      <c r="I567" s="88"/>
      <c r="J567" s="88"/>
      <c r="K567" s="170"/>
      <c r="L567" s="168"/>
      <c r="M567" s="170"/>
      <c r="N567" s="170"/>
      <c r="O567" s="170"/>
      <c r="P567" s="88" t="s">
        <v>1602</v>
      </c>
    </row>
    <row r="568" spans="1:16" x14ac:dyDescent="0.25">
      <c r="A568" s="5">
        <v>372</v>
      </c>
      <c r="B568" s="60">
        <v>101917371</v>
      </c>
      <c r="C568" s="131" t="s">
        <v>1589</v>
      </c>
      <c r="D568" s="61" t="str">
        <f t="shared" si="13"/>
        <v>101917371/0025365146</v>
      </c>
      <c r="E568" s="69" t="s">
        <v>1590</v>
      </c>
      <c r="F568" s="57" t="s">
        <v>381</v>
      </c>
      <c r="G568" s="88"/>
      <c r="H568" s="72" t="s">
        <v>870</v>
      </c>
      <c r="I568" s="88"/>
      <c r="J568" s="88"/>
      <c r="K568" s="170"/>
      <c r="L568" s="168"/>
      <c r="M568" s="170"/>
      <c r="N568" s="170"/>
      <c r="O568" s="170"/>
      <c r="P568" s="88" t="s">
        <v>1602</v>
      </c>
    </row>
    <row r="569" spans="1:16" x14ac:dyDescent="0.25">
      <c r="A569" s="5">
        <v>373</v>
      </c>
      <c r="B569" s="60">
        <v>101917299</v>
      </c>
      <c r="C569" s="131" t="s">
        <v>1591</v>
      </c>
      <c r="D569" s="61" t="str">
        <f t="shared" si="13"/>
        <v>101917299/0043277091</v>
      </c>
      <c r="E569" s="69" t="s">
        <v>1592</v>
      </c>
      <c r="F569" s="57" t="s">
        <v>379</v>
      </c>
      <c r="G569" s="88"/>
      <c r="H569" s="72" t="s">
        <v>851</v>
      </c>
      <c r="I569" s="88"/>
      <c r="J569" s="88"/>
      <c r="K569" s="170"/>
      <c r="L569" s="168"/>
      <c r="M569" s="170"/>
      <c r="N569" s="170"/>
      <c r="O569" s="170"/>
      <c r="P569" s="88" t="s">
        <v>1602</v>
      </c>
    </row>
    <row r="570" spans="1:16" x14ac:dyDescent="0.25">
      <c r="A570" s="5">
        <v>374</v>
      </c>
      <c r="B570" s="60">
        <v>101917227</v>
      </c>
      <c r="C570" s="131" t="s">
        <v>1593</v>
      </c>
      <c r="D570" s="61" t="str">
        <f t="shared" si="13"/>
        <v>101917227/0035947678</v>
      </c>
      <c r="E570" s="69" t="s">
        <v>1594</v>
      </c>
      <c r="F570" s="57" t="s">
        <v>381</v>
      </c>
      <c r="G570" s="88"/>
      <c r="H570" s="72" t="s">
        <v>840</v>
      </c>
      <c r="I570" s="88"/>
      <c r="J570" s="88"/>
      <c r="K570" s="170"/>
      <c r="L570" s="168"/>
      <c r="M570" s="170"/>
      <c r="N570" s="170"/>
      <c r="O570" s="170"/>
      <c r="P570" s="88" t="s">
        <v>1602</v>
      </c>
    </row>
    <row r="571" spans="1:16" x14ac:dyDescent="0.25">
      <c r="A571" s="5">
        <v>375</v>
      </c>
      <c r="B571" s="60">
        <v>101917263</v>
      </c>
      <c r="C571" s="131" t="s">
        <v>1595</v>
      </c>
      <c r="D571" s="61" t="str">
        <f t="shared" si="13"/>
        <v>101917263/0046780622</v>
      </c>
      <c r="E571" s="69" t="s">
        <v>1596</v>
      </c>
      <c r="F571" s="57" t="s">
        <v>379</v>
      </c>
      <c r="G571" s="88"/>
      <c r="H571" s="72" t="s">
        <v>875</v>
      </c>
      <c r="I571" s="88"/>
      <c r="J571" s="88"/>
      <c r="K571" s="170"/>
      <c r="L571" s="168"/>
      <c r="M571" s="170"/>
      <c r="N571" s="170"/>
      <c r="O571" s="170"/>
      <c r="P571" s="88" t="s">
        <v>1602</v>
      </c>
    </row>
    <row r="572" spans="1:16" x14ac:dyDescent="0.25">
      <c r="A572" s="5">
        <v>376</v>
      </c>
      <c r="B572" s="60">
        <v>101917443</v>
      </c>
      <c r="C572" s="71" t="s">
        <v>1597</v>
      </c>
      <c r="D572" s="61" t="str">
        <f t="shared" si="13"/>
        <v>101917443/0034064222</v>
      </c>
      <c r="E572" s="106" t="s">
        <v>1598</v>
      </c>
      <c r="F572" s="57" t="s">
        <v>379</v>
      </c>
      <c r="G572" s="88"/>
      <c r="H572" s="72" t="s">
        <v>854</v>
      </c>
      <c r="I572" s="88"/>
      <c r="J572" s="88"/>
      <c r="K572" s="170"/>
      <c r="L572" s="168"/>
      <c r="M572" s="170"/>
      <c r="N572" s="170"/>
      <c r="O572" s="170"/>
      <c r="P572" s="88" t="s">
        <v>444</v>
      </c>
    </row>
    <row r="573" spans="1:16" x14ac:dyDescent="0.25">
      <c r="A573" s="5"/>
      <c r="B573" s="60"/>
      <c r="C573" s="61"/>
      <c r="D573" s="61"/>
      <c r="E573" s="69"/>
      <c r="F573" s="57"/>
      <c r="G573" s="88"/>
      <c r="H573" s="88"/>
      <c r="I573" s="88"/>
      <c r="J573" s="88"/>
      <c r="K573" s="170"/>
      <c r="L573" s="168"/>
      <c r="M573" s="170"/>
      <c r="N573" s="170"/>
      <c r="O573" s="170"/>
      <c r="P573" s="88"/>
    </row>
    <row r="574" spans="1:16" x14ac:dyDescent="0.25">
      <c r="A574" s="5">
        <v>1</v>
      </c>
      <c r="B574" s="60">
        <v>102017550</v>
      </c>
      <c r="C574" s="60" t="s">
        <v>1599</v>
      </c>
      <c r="D574" s="61" t="str">
        <f t="shared" ref="D574:D637" si="14">B574&amp;"/"&amp;C574</f>
        <v>102017550/0052650652</v>
      </c>
      <c r="E574" s="75" t="s">
        <v>1600</v>
      </c>
      <c r="F574" s="57" t="s">
        <v>381</v>
      </c>
      <c r="G574" s="88"/>
      <c r="H574" s="88"/>
      <c r="I574" s="72" t="s">
        <v>1601</v>
      </c>
      <c r="J574" s="88"/>
      <c r="K574" s="170"/>
      <c r="L574" s="168"/>
      <c r="M574" s="170"/>
      <c r="N574" s="170"/>
      <c r="O574" s="170"/>
      <c r="P574" s="88" t="s">
        <v>1602</v>
      </c>
    </row>
    <row r="575" spans="1:16" x14ac:dyDescent="0.25">
      <c r="A575" s="5">
        <v>2</v>
      </c>
      <c r="B575" s="60">
        <v>102017551</v>
      </c>
      <c r="C575" s="60" t="s">
        <v>1603</v>
      </c>
      <c r="D575" s="61" t="str">
        <f t="shared" si="14"/>
        <v>102017551/0058398897</v>
      </c>
      <c r="E575" s="75" t="s">
        <v>1604</v>
      </c>
      <c r="F575" s="57" t="s">
        <v>381</v>
      </c>
      <c r="G575" s="88"/>
      <c r="H575" s="88"/>
      <c r="I575" s="72" t="s">
        <v>1601</v>
      </c>
      <c r="J575" s="88"/>
      <c r="K575" s="170"/>
      <c r="L575" s="168"/>
      <c r="M575" s="170"/>
      <c r="N575" s="170"/>
      <c r="O575" s="170"/>
      <c r="P575" s="88" t="s">
        <v>1602</v>
      </c>
    </row>
    <row r="576" spans="1:16" x14ac:dyDescent="0.25">
      <c r="A576" s="5">
        <v>3</v>
      </c>
      <c r="B576" s="60">
        <v>102017730</v>
      </c>
      <c r="C576" s="60" t="s">
        <v>1605</v>
      </c>
      <c r="D576" s="61" t="str">
        <f t="shared" si="14"/>
        <v>102017730/0046107211</v>
      </c>
      <c r="E576" s="69" t="s">
        <v>1606</v>
      </c>
      <c r="F576" s="57" t="s">
        <v>379</v>
      </c>
      <c r="G576" s="88"/>
      <c r="H576" s="88"/>
      <c r="I576" s="72" t="s">
        <v>1607</v>
      </c>
      <c r="J576" s="88"/>
      <c r="K576" s="170"/>
      <c r="L576" s="168"/>
      <c r="M576" s="170"/>
      <c r="N576" s="170"/>
      <c r="O576" s="170"/>
      <c r="P576" s="88" t="s">
        <v>1602</v>
      </c>
    </row>
    <row r="577" spans="1:16" x14ac:dyDescent="0.25">
      <c r="A577" s="5">
        <v>4</v>
      </c>
      <c r="B577" s="60">
        <v>102017552</v>
      </c>
      <c r="C577" s="60" t="s">
        <v>1608</v>
      </c>
      <c r="D577" s="61" t="str">
        <f t="shared" si="14"/>
        <v>102017552/0048116751</v>
      </c>
      <c r="E577" s="75" t="s">
        <v>1609</v>
      </c>
      <c r="F577" s="57" t="s">
        <v>381</v>
      </c>
      <c r="G577" s="88"/>
      <c r="H577" s="88"/>
      <c r="I577" s="72" t="s">
        <v>1601</v>
      </c>
      <c r="J577" s="88"/>
      <c r="K577" s="170"/>
      <c r="L577" s="168"/>
      <c r="M577" s="170"/>
      <c r="N577" s="170"/>
      <c r="O577" s="170"/>
      <c r="P577" s="88" t="s">
        <v>1602</v>
      </c>
    </row>
    <row r="578" spans="1:16" x14ac:dyDescent="0.25">
      <c r="A578" s="5">
        <v>5</v>
      </c>
      <c r="B578" s="60">
        <v>102017838</v>
      </c>
      <c r="C578" s="63" t="s">
        <v>1610</v>
      </c>
      <c r="D578" s="61" t="str">
        <f t="shared" si="14"/>
        <v>102017838/0051117535</v>
      </c>
      <c r="E578" s="69" t="s">
        <v>1611</v>
      </c>
      <c r="F578" s="57" t="s">
        <v>379</v>
      </c>
      <c r="G578" s="88"/>
      <c r="H578" s="88"/>
      <c r="I578" s="72" t="s">
        <v>1612</v>
      </c>
      <c r="J578" s="88"/>
      <c r="K578" s="170"/>
      <c r="L578" s="168"/>
      <c r="M578" s="170"/>
      <c r="N578" s="170"/>
      <c r="O578" s="170"/>
      <c r="P578" s="88" t="s">
        <v>1602</v>
      </c>
    </row>
    <row r="579" spans="1:16" x14ac:dyDescent="0.25">
      <c r="A579" s="5">
        <v>6</v>
      </c>
      <c r="B579" s="60">
        <v>102017910</v>
      </c>
      <c r="C579" s="63" t="s">
        <v>1613</v>
      </c>
      <c r="D579" s="61" t="str">
        <f t="shared" si="14"/>
        <v>102017910/0062107691</v>
      </c>
      <c r="E579" s="69" t="s">
        <v>1614</v>
      </c>
      <c r="F579" s="57" t="s">
        <v>381</v>
      </c>
      <c r="G579" s="88"/>
      <c r="H579" s="88"/>
      <c r="I579" s="72" t="s">
        <v>1615</v>
      </c>
      <c r="J579" s="88"/>
      <c r="K579" s="170"/>
      <c r="L579" s="168"/>
      <c r="M579" s="170"/>
      <c r="N579" s="170"/>
      <c r="O579" s="170"/>
      <c r="P579" s="88" t="s">
        <v>1602</v>
      </c>
    </row>
    <row r="580" spans="1:16" x14ac:dyDescent="0.25">
      <c r="A580" s="5">
        <v>7</v>
      </c>
      <c r="B580" s="60">
        <v>102017802</v>
      </c>
      <c r="C580" s="62" t="s">
        <v>1616</v>
      </c>
      <c r="D580" s="61" t="str">
        <f t="shared" si="14"/>
        <v>102017802/0045777272</v>
      </c>
      <c r="E580" s="69" t="s">
        <v>1617</v>
      </c>
      <c r="F580" s="57" t="s">
        <v>379</v>
      </c>
      <c r="G580" s="88"/>
      <c r="H580" s="88"/>
      <c r="I580" s="72" t="s">
        <v>1618</v>
      </c>
      <c r="J580" s="88"/>
      <c r="K580" s="170"/>
      <c r="L580" s="168"/>
      <c r="M580" s="170"/>
      <c r="N580" s="170"/>
      <c r="O580" s="170"/>
      <c r="P580" s="88" t="s">
        <v>1602</v>
      </c>
    </row>
    <row r="581" spans="1:16" x14ac:dyDescent="0.25">
      <c r="A581" s="5">
        <v>8</v>
      </c>
      <c r="B581" s="60">
        <v>102017554</v>
      </c>
      <c r="C581" s="62" t="s">
        <v>1619</v>
      </c>
      <c r="D581" s="61" t="str">
        <f t="shared" si="14"/>
        <v>102017554/3027625150</v>
      </c>
      <c r="E581" s="73" t="s">
        <v>1620</v>
      </c>
      <c r="F581" s="57" t="s">
        <v>379</v>
      </c>
      <c r="G581" s="88"/>
      <c r="H581" s="88"/>
      <c r="I581" s="72" t="s">
        <v>1601</v>
      </c>
      <c r="J581" s="88"/>
      <c r="K581" s="170"/>
      <c r="L581" s="168"/>
      <c r="M581" s="170"/>
      <c r="N581" s="170"/>
      <c r="O581" s="170"/>
      <c r="P581" s="88" t="s">
        <v>1602</v>
      </c>
    </row>
    <row r="582" spans="1:16" x14ac:dyDescent="0.25">
      <c r="A582" s="5">
        <v>9</v>
      </c>
      <c r="B582" s="60">
        <v>102017586</v>
      </c>
      <c r="C582" s="62" t="s">
        <v>1621</v>
      </c>
      <c r="D582" s="61" t="str">
        <f t="shared" si="14"/>
        <v>102017586/0046306973</v>
      </c>
      <c r="E582" s="73" t="s">
        <v>1622</v>
      </c>
      <c r="F582" s="57" t="s">
        <v>379</v>
      </c>
      <c r="G582" s="88"/>
      <c r="H582" s="88"/>
      <c r="I582" s="72" t="s">
        <v>1623</v>
      </c>
      <c r="J582" s="88"/>
      <c r="K582" s="170"/>
      <c r="L582" s="168"/>
      <c r="M582" s="170"/>
      <c r="N582" s="170"/>
      <c r="O582" s="170"/>
      <c r="P582" s="88" t="s">
        <v>1602</v>
      </c>
    </row>
    <row r="583" spans="1:16" x14ac:dyDescent="0.25">
      <c r="A583" s="5">
        <v>10</v>
      </c>
      <c r="B583" s="60">
        <v>102017912</v>
      </c>
      <c r="C583" s="63" t="s">
        <v>1624</v>
      </c>
      <c r="D583" s="61" t="str">
        <f t="shared" si="14"/>
        <v>102017912/0045658810</v>
      </c>
      <c r="E583" s="69" t="s">
        <v>1625</v>
      </c>
      <c r="F583" s="57" t="s">
        <v>379</v>
      </c>
      <c r="G583" s="88"/>
      <c r="H583" s="88"/>
      <c r="I583" s="72" t="s">
        <v>1615</v>
      </c>
      <c r="J583" s="88"/>
      <c r="K583" s="170"/>
      <c r="L583" s="168"/>
      <c r="M583" s="170"/>
      <c r="N583" s="170"/>
      <c r="O583" s="170"/>
      <c r="P583" s="88" t="s">
        <v>1602</v>
      </c>
    </row>
    <row r="584" spans="1:16" x14ac:dyDescent="0.25">
      <c r="A584" s="5">
        <v>11</v>
      </c>
      <c r="B584" s="60">
        <v>102017555</v>
      </c>
      <c r="C584" s="60" t="s">
        <v>1626</v>
      </c>
      <c r="D584" s="61" t="str">
        <f t="shared" si="14"/>
        <v>102017555/0049057802</v>
      </c>
      <c r="E584" s="75" t="s">
        <v>1627</v>
      </c>
      <c r="F584" s="57" t="s">
        <v>379</v>
      </c>
      <c r="G584" s="88"/>
      <c r="H584" s="88"/>
      <c r="I584" s="72" t="s">
        <v>1601</v>
      </c>
      <c r="J584" s="88"/>
      <c r="K584" s="170"/>
      <c r="L584" s="168"/>
      <c r="M584" s="170"/>
      <c r="N584" s="170"/>
      <c r="O584" s="170"/>
      <c r="P584" s="88" t="s">
        <v>1602</v>
      </c>
    </row>
    <row r="585" spans="1:16" x14ac:dyDescent="0.25">
      <c r="A585" s="5">
        <v>12</v>
      </c>
      <c r="B585" s="60">
        <v>102017874</v>
      </c>
      <c r="C585" s="63" t="s">
        <v>1628</v>
      </c>
      <c r="D585" s="61" t="str">
        <f t="shared" si="14"/>
        <v>102017874/0044276227</v>
      </c>
      <c r="E585" s="69" t="s">
        <v>1629</v>
      </c>
      <c r="F585" s="57" t="s">
        <v>379</v>
      </c>
      <c r="G585" s="88"/>
      <c r="H585" s="88"/>
      <c r="I585" s="72" t="s">
        <v>1630</v>
      </c>
      <c r="J585" s="88"/>
      <c r="K585" s="170"/>
      <c r="L585" s="168"/>
      <c r="M585" s="170"/>
      <c r="N585" s="170"/>
      <c r="O585" s="170"/>
      <c r="P585" s="88" t="s">
        <v>1602</v>
      </c>
    </row>
    <row r="586" spans="1:16" x14ac:dyDescent="0.25">
      <c r="A586" s="5">
        <v>13</v>
      </c>
      <c r="B586" s="60">
        <v>102017731</v>
      </c>
      <c r="C586" s="60" t="s">
        <v>1631</v>
      </c>
      <c r="D586" s="61" t="str">
        <f t="shared" si="14"/>
        <v>102017731/0049752338</v>
      </c>
      <c r="E586" s="69" t="s">
        <v>1632</v>
      </c>
      <c r="F586" s="57" t="s">
        <v>379</v>
      </c>
      <c r="G586" s="88"/>
      <c r="H586" s="88"/>
      <c r="I586" s="72" t="s">
        <v>1607</v>
      </c>
      <c r="J586" s="88"/>
      <c r="K586" s="170"/>
      <c r="L586" s="168"/>
      <c r="M586" s="170"/>
      <c r="N586" s="170"/>
      <c r="O586" s="170"/>
      <c r="P586" s="88" t="s">
        <v>1602</v>
      </c>
    </row>
    <row r="587" spans="1:16" x14ac:dyDescent="0.25">
      <c r="A587" s="5">
        <v>14</v>
      </c>
      <c r="B587" s="60">
        <v>102017587</v>
      </c>
      <c r="C587" s="60" t="s">
        <v>1633</v>
      </c>
      <c r="D587" s="61" t="str">
        <f t="shared" si="14"/>
        <v>102017587/0045464947</v>
      </c>
      <c r="E587" s="75" t="s">
        <v>1634</v>
      </c>
      <c r="F587" s="57" t="s">
        <v>379</v>
      </c>
      <c r="G587" s="88"/>
      <c r="H587" s="88"/>
      <c r="I587" s="72" t="s">
        <v>1623</v>
      </c>
      <c r="J587" s="88"/>
      <c r="K587" s="170"/>
      <c r="L587" s="168"/>
      <c r="M587" s="170"/>
      <c r="N587" s="170"/>
      <c r="O587" s="170"/>
      <c r="P587" s="88" t="s">
        <v>1602</v>
      </c>
    </row>
    <row r="588" spans="1:16" x14ac:dyDescent="0.25">
      <c r="A588" s="5">
        <v>15</v>
      </c>
      <c r="B588" s="60">
        <v>102017622</v>
      </c>
      <c r="C588" s="60" t="s">
        <v>1635</v>
      </c>
      <c r="D588" s="61" t="str">
        <f t="shared" si="14"/>
        <v>102017622/0044852787</v>
      </c>
      <c r="E588" s="69" t="s">
        <v>1636</v>
      </c>
      <c r="F588" s="57" t="s">
        <v>381</v>
      </c>
      <c r="G588" s="88"/>
      <c r="H588" s="88"/>
      <c r="I588" s="72" t="s">
        <v>1637</v>
      </c>
      <c r="J588" s="88"/>
      <c r="K588" s="170"/>
      <c r="L588" s="168"/>
      <c r="M588" s="170"/>
      <c r="N588" s="170"/>
      <c r="O588" s="170"/>
      <c r="P588" s="88" t="s">
        <v>1602</v>
      </c>
    </row>
    <row r="589" spans="1:16" x14ac:dyDescent="0.25">
      <c r="A589" s="5">
        <v>16</v>
      </c>
      <c r="B589" s="60">
        <v>102017803</v>
      </c>
      <c r="C589" s="60" t="s">
        <v>1638</v>
      </c>
      <c r="D589" s="61" t="str">
        <f t="shared" si="14"/>
        <v>102017803/0067583367</v>
      </c>
      <c r="E589" s="69" t="s">
        <v>1639</v>
      </c>
      <c r="F589" s="57" t="s">
        <v>379</v>
      </c>
      <c r="G589" s="88"/>
      <c r="H589" s="88"/>
      <c r="I589" s="72" t="s">
        <v>1618</v>
      </c>
      <c r="J589" s="88"/>
      <c r="K589" s="170"/>
      <c r="L589" s="168"/>
      <c r="M589" s="170"/>
      <c r="N589" s="170"/>
      <c r="O589" s="170"/>
      <c r="P589" s="88" t="s">
        <v>1602</v>
      </c>
    </row>
    <row r="590" spans="1:16" x14ac:dyDescent="0.25">
      <c r="A590" s="5">
        <v>17</v>
      </c>
      <c r="B590" s="60">
        <v>102017556</v>
      </c>
      <c r="C590" s="60" t="s">
        <v>1640</v>
      </c>
      <c r="D590" s="61" t="str">
        <f t="shared" si="14"/>
        <v>102017556/0045812326</v>
      </c>
      <c r="E590" s="75" t="s">
        <v>1641</v>
      </c>
      <c r="F590" s="57" t="s">
        <v>381</v>
      </c>
      <c r="G590" s="88"/>
      <c r="H590" s="88"/>
      <c r="I590" s="72" t="s">
        <v>1601</v>
      </c>
      <c r="J590" s="88"/>
      <c r="K590" s="170"/>
      <c r="L590" s="168"/>
      <c r="M590" s="170"/>
      <c r="N590" s="170"/>
      <c r="O590" s="170"/>
      <c r="P590" s="88" t="s">
        <v>1602</v>
      </c>
    </row>
    <row r="591" spans="1:16" x14ac:dyDescent="0.25">
      <c r="A591" s="5">
        <v>18</v>
      </c>
      <c r="B591" s="60">
        <v>102017766</v>
      </c>
      <c r="C591" s="60" t="s">
        <v>1642</v>
      </c>
      <c r="D591" s="61" t="str">
        <f t="shared" si="14"/>
        <v>102017766/0053484036</v>
      </c>
      <c r="E591" s="69" t="s">
        <v>1643</v>
      </c>
      <c r="F591" s="57" t="s">
        <v>381</v>
      </c>
      <c r="G591" s="88"/>
      <c r="H591" s="88"/>
      <c r="I591" s="72" t="s">
        <v>1644</v>
      </c>
      <c r="J591" s="88"/>
      <c r="K591" s="170"/>
      <c r="L591" s="168"/>
      <c r="M591" s="170"/>
      <c r="N591" s="170"/>
      <c r="O591" s="170"/>
      <c r="P591" s="88" t="s">
        <v>1602</v>
      </c>
    </row>
    <row r="592" spans="1:16" x14ac:dyDescent="0.25">
      <c r="A592" s="5">
        <v>19</v>
      </c>
      <c r="B592" s="60">
        <v>102017658</v>
      </c>
      <c r="C592" s="60" t="s">
        <v>1645</v>
      </c>
      <c r="D592" s="61" t="str">
        <f t="shared" si="14"/>
        <v>102017658/0052592312</v>
      </c>
      <c r="E592" s="69" t="s">
        <v>1646</v>
      </c>
      <c r="F592" s="57" t="s">
        <v>381</v>
      </c>
      <c r="G592" s="88"/>
      <c r="H592" s="88"/>
      <c r="I592" s="72" t="s">
        <v>1647</v>
      </c>
      <c r="J592" s="88"/>
      <c r="K592" s="170"/>
      <c r="L592" s="168"/>
      <c r="M592" s="170"/>
      <c r="N592" s="170"/>
      <c r="O592" s="170"/>
      <c r="P592" s="88" t="s">
        <v>1602</v>
      </c>
    </row>
    <row r="593" spans="1:16" x14ac:dyDescent="0.25">
      <c r="A593" s="5">
        <v>20</v>
      </c>
      <c r="B593" s="60">
        <v>102017557</v>
      </c>
      <c r="C593" s="60" t="s">
        <v>1648</v>
      </c>
      <c r="D593" s="61" t="str">
        <f t="shared" si="14"/>
        <v>102017557/0006622661</v>
      </c>
      <c r="E593" s="75" t="s">
        <v>1649</v>
      </c>
      <c r="F593" s="57" t="s">
        <v>381</v>
      </c>
      <c r="G593" s="88"/>
      <c r="H593" s="88"/>
      <c r="I593" s="72" t="s">
        <v>1601</v>
      </c>
      <c r="J593" s="88"/>
      <c r="K593" s="170"/>
      <c r="L593" s="168"/>
      <c r="M593" s="170"/>
      <c r="N593" s="170"/>
      <c r="O593" s="170"/>
      <c r="P593" s="88" t="s">
        <v>1650</v>
      </c>
    </row>
    <row r="594" spans="1:16" x14ac:dyDescent="0.25">
      <c r="A594" s="5">
        <v>21</v>
      </c>
      <c r="B594" s="60">
        <v>102017558</v>
      </c>
      <c r="C594" s="60" t="s">
        <v>1651</v>
      </c>
      <c r="D594" s="61" t="str">
        <f t="shared" si="14"/>
        <v>102017558/0043469952</v>
      </c>
      <c r="E594" s="75" t="s">
        <v>1652</v>
      </c>
      <c r="F594" s="57" t="s">
        <v>381</v>
      </c>
      <c r="G594" s="88"/>
      <c r="H594" s="88"/>
      <c r="I594" s="72" t="s">
        <v>1601</v>
      </c>
      <c r="J594" s="88"/>
      <c r="K594" s="170"/>
      <c r="L594" s="168"/>
      <c r="M594" s="170"/>
      <c r="N594" s="170"/>
      <c r="O594" s="170"/>
      <c r="P594" s="88" t="s">
        <v>1602</v>
      </c>
    </row>
    <row r="595" spans="1:16" x14ac:dyDescent="0.25">
      <c r="A595" s="5">
        <v>22</v>
      </c>
      <c r="B595" s="60">
        <v>102017732</v>
      </c>
      <c r="C595" s="60" t="s">
        <v>1653</v>
      </c>
      <c r="D595" s="61" t="str">
        <f t="shared" si="14"/>
        <v>102017732/0054963362</v>
      </c>
      <c r="E595" s="69" t="s">
        <v>1654</v>
      </c>
      <c r="F595" s="57" t="s">
        <v>381</v>
      </c>
      <c r="G595" s="88"/>
      <c r="H595" s="88"/>
      <c r="I595" s="72" t="s">
        <v>1607</v>
      </c>
      <c r="J595" s="88"/>
      <c r="K595" s="170"/>
      <c r="L595" s="168"/>
      <c r="M595" s="170"/>
      <c r="N595" s="170"/>
      <c r="O595" s="170"/>
      <c r="P595" s="88" t="s">
        <v>1602</v>
      </c>
    </row>
    <row r="596" spans="1:16" x14ac:dyDescent="0.25">
      <c r="A596" s="5">
        <v>23</v>
      </c>
      <c r="B596" s="60">
        <v>102017659</v>
      </c>
      <c r="C596" s="60" t="s">
        <v>1655</v>
      </c>
      <c r="D596" s="61" t="str">
        <f t="shared" si="14"/>
        <v>102017659/0059640170</v>
      </c>
      <c r="E596" s="69" t="s">
        <v>1656</v>
      </c>
      <c r="F596" s="57" t="s">
        <v>381</v>
      </c>
      <c r="G596" s="88"/>
      <c r="H596" s="88"/>
      <c r="I596" s="72" t="s">
        <v>1647</v>
      </c>
      <c r="J596" s="88"/>
      <c r="K596" s="170"/>
      <c r="L596" s="168"/>
      <c r="M596" s="170"/>
      <c r="N596" s="170"/>
      <c r="O596" s="170"/>
      <c r="P596" s="88" t="s">
        <v>1602</v>
      </c>
    </row>
    <row r="597" spans="1:16" x14ac:dyDescent="0.25">
      <c r="A597" s="5">
        <v>24</v>
      </c>
      <c r="B597" s="60">
        <v>102017559</v>
      </c>
      <c r="C597" s="62" t="s">
        <v>1657</v>
      </c>
      <c r="D597" s="61" t="str">
        <f t="shared" si="14"/>
        <v>102017559/0044857862</v>
      </c>
      <c r="E597" s="73" t="s">
        <v>1658</v>
      </c>
      <c r="F597" s="57" t="s">
        <v>381</v>
      </c>
      <c r="G597" s="88"/>
      <c r="H597" s="88"/>
      <c r="I597" s="72" t="s">
        <v>1601</v>
      </c>
      <c r="J597" s="88"/>
      <c r="K597" s="170"/>
      <c r="L597" s="168"/>
      <c r="M597" s="170"/>
      <c r="N597" s="170"/>
      <c r="O597" s="170"/>
      <c r="P597" s="88" t="s">
        <v>1602</v>
      </c>
    </row>
    <row r="598" spans="1:16" x14ac:dyDescent="0.25">
      <c r="A598" s="5">
        <v>25</v>
      </c>
      <c r="B598" s="60">
        <v>102017588</v>
      </c>
      <c r="C598" s="60" t="s">
        <v>1659</v>
      </c>
      <c r="D598" s="61" t="str">
        <f t="shared" si="14"/>
        <v>102017588/0026860281</v>
      </c>
      <c r="E598" s="75" t="s">
        <v>1660</v>
      </c>
      <c r="F598" s="57" t="s">
        <v>381</v>
      </c>
      <c r="G598" s="88"/>
      <c r="H598" s="88"/>
      <c r="I598" s="72" t="s">
        <v>1623</v>
      </c>
      <c r="J598" s="88"/>
      <c r="K598" s="170"/>
      <c r="L598" s="168"/>
      <c r="M598" s="170"/>
      <c r="N598" s="170"/>
      <c r="O598" s="170"/>
      <c r="P598" s="88" t="s">
        <v>1602</v>
      </c>
    </row>
    <row r="599" spans="1:16" x14ac:dyDescent="0.25">
      <c r="A599" s="5">
        <v>26</v>
      </c>
      <c r="B599" s="60">
        <v>102017560</v>
      </c>
      <c r="C599" s="60" t="s">
        <v>1661</v>
      </c>
      <c r="D599" s="61" t="str">
        <f t="shared" si="14"/>
        <v>102017560/0044954384</v>
      </c>
      <c r="E599" s="75" t="s">
        <v>1662</v>
      </c>
      <c r="F599" s="57" t="s">
        <v>379</v>
      </c>
      <c r="G599" s="88"/>
      <c r="H599" s="88"/>
      <c r="I599" s="72" t="s">
        <v>1601</v>
      </c>
      <c r="J599" s="88"/>
      <c r="K599" s="170"/>
      <c r="L599" s="168"/>
      <c r="M599" s="170"/>
      <c r="N599" s="170"/>
      <c r="O599" s="170"/>
      <c r="P599" s="88" t="s">
        <v>1602</v>
      </c>
    </row>
    <row r="600" spans="1:16" x14ac:dyDescent="0.25">
      <c r="A600" s="5">
        <v>27</v>
      </c>
      <c r="B600" s="60">
        <v>102017913</v>
      </c>
      <c r="C600" s="63" t="s">
        <v>1663</v>
      </c>
      <c r="D600" s="61" t="str">
        <f t="shared" si="14"/>
        <v>102017913/3058125310</v>
      </c>
      <c r="E600" s="69" t="s">
        <v>1664</v>
      </c>
      <c r="F600" s="57" t="s">
        <v>379</v>
      </c>
      <c r="G600" s="88"/>
      <c r="H600" s="88"/>
      <c r="I600" s="72" t="s">
        <v>1615</v>
      </c>
      <c r="J600" s="88"/>
      <c r="K600" s="170"/>
      <c r="L600" s="168"/>
      <c r="M600" s="170"/>
      <c r="N600" s="170"/>
      <c r="O600" s="170"/>
      <c r="P600" s="88" t="s">
        <v>1602</v>
      </c>
    </row>
    <row r="601" spans="1:16" x14ac:dyDescent="0.25">
      <c r="A601" s="5">
        <v>28</v>
      </c>
      <c r="B601" s="60">
        <v>102017561</v>
      </c>
      <c r="C601" s="62" t="s">
        <v>1665</v>
      </c>
      <c r="D601" s="61" t="str">
        <f t="shared" si="14"/>
        <v>102017561/0053211710</v>
      </c>
      <c r="E601" s="73" t="s">
        <v>1666</v>
      </c>
      <c r="F601" s="57" t="s">
        <v>381</v>
      </c>
      <c r="G601" s="88"/>
      <c r="H601" s="88"/>
      <c r="I601" s="72" t="s">
        <v>1601</v>
      </c>
      <c r="J601" s="88"/>
      <c r="K601" s="170"/>
      <c r="L601" s="168"/>
      <c r="M601" s="170"/>
      <c r="N601" s="170"/>
      <c r="O601" s="170"/>
      <c r="P601" s="88" t="s">
        <v>1602</v>
      </c>
    </row>
    <row r="602" spans="1:16" x14ac:dyDescent="0.25">
      <c r="A602" s="5">
        <v>29</v>
      </c>
      <c r="B602" s="60">
        <v>102017875</v>
      </c>
      <c r="C602" s="64" t="s">
        <v>1667</v>
      </c>
      <c r="D602" s="61" t="str">
        <f t="shared" si="14"/>
        <v>102017875/0041128805</v>
      </c>
      <c r="E602" s="69" t="s">
        <v>1668</v>
      </c>
      <c r="F602" s="57" t="s">
        <v>379</v>
      </c>
      <c r="G602" s="88"/>
      <c r="H602" s="88"/>
      <c r="I602" s="72" t="s">
        <v>1630</v>
      </c>
      <c r="J602" s="88"/>
      <c r="K602" s="170"/>
      <c r="L602" s="168"/>
      <c r="M602" s="170"/>
      <c r="N602" s="170"/>
      <c r="O602" s="170"/>
      <c r="P602" s="88" t="s">
        <v>1602</v>
      </c>
    </row>
    <row r="603" spans="1:16" x14ac:dyDescent="0.25">
      <c r="A603" s="5">
        <v>30</v>
      </c>
      <c r="B603" s="60">
        <v>102017623</v>
      </c>
      <c r="C603" s="60" t="s">
        <v>1669</v>
      </c>
      <c r="D603" s="61" t="str">
        <f t="shared" si="14"/>
        <v>102017623/0045607400</v>
      </c>
      <c r="E603" s="69" t="s">
        <v>1670</v>
      </c>
      <c r="F603" s="57" t="s">
        <v>379</v>
      </c>
      <c r="G603" s="88"/>
      <c r="H603" s="88"/>
      <c r="I603" s="72" t="s">
        <v>1637</v>
      </c>
      <c r="J603" s="88"/>
      <c r="K603" s="170"/>
      <c r="L603" s="168"/>
      <c r="M603" s="170"/>
      <c r="N603" s="170"/>
      <c r="O603" s="170"/>
      <c r="P603" s="88" t="s">
        <v>1602</v>
      </c>
    </row>
    <row r="604" spans="1:16" x14ac:dyDescent="0.25">
      <c r="A604" s="5">
        <v>31</v>
      </c>
      <c r="B604" s="60">
        <v>102017876</v>
      </c>
      <c r="C604" s="64" t="s">
        <v>1671</v>
      </c>
      <c r="D604" s="61" t="str">
        <f t="shared" si="14"/>
        <v>102017876/0036450479</v>
      </c>
      <c r="E604" s="69" t="s">
        <v>1672</v>
      </c>
      <c r="F604" s="57" t="s">
        <v>379</v>
      </c>
      <c r="G604" s="88"/>
      <c r="H604" s="88"/>
      <c r="I604" s="72" t="s">
        <v>1630</v>
      </c>
      <c r="J604" s="88"/>
      <c r="K604" s="170"/>
      <c r="L604" s="168"/>
      <c r="M604" s="170"/>
      <c r="N604" s="170"/>
      <c r="O604" s="170"/>
      <c r="P604" s="88" t="s">
        <v>1602</v>
      </c>
    </row>
    <row r="605" spans="1:16" x14ac:dyDescent="0.25">
      <c r="A605" s="5">
        <v>32</v>
      </c>
      <c r="B605" s="60">
        <v>102017839</v>
      </c>
      <c r="C605" s="63" t="s">
        <v>1673</v>
      </c>
      <c r="D605" s="61" t="str">
        <f t="shared" si="14"/>
        <v>102017839/0044552066</v>
      </c>
      <c r="E605" s="69" t="s">
        <v>1674</v>
      </c>
      <c r="F605" s="57" t="s">
        <v>379</v>
      </c>
      <c r="G605" s="88"/>
      <c r="H605" s="88"/>
      <c r="I605" s="72" t="s">
        <v>1612</v>
      </c>
      <c r="J605" s="88"/>
      <c r="K605" s="170"/>
      <c r="L605" s="168"/>
      <c r="M605" s="170"/>
      <c r="N605" s="170"/>
      <c r="O605" s="170"/>
      <c r="P605" s="88" t="s">
        <v>1602</v>
      </c>
    </row>
    <row r="606" spans="1:16" x14ac:dyDescent="0.25">
      <c r="A606" s="5">
        <v>33</v>
      </c>
      <c r="B606" s="60">
        <v>102017804</v>
      </c>
      <c r="C606" s="62" t="s">
        <v>1675</v>
      </c>
      <c r="D606" s="61" t="str">
        <f t="shared" si="14"/>
        <v>102017804/0047637910</v>
      </c>
      <c r="E606" s="69" t="s">
        <v>1676</v>
      </c>
      <c r="F606" s="57" t="s">
        <v>379</v>
      </c>
      <c r="G606" s="88"/>
      <c r="H606" s="88"/>
      <c r="I606" s="72" t="s">
        <v>1618</v>
      </c>
      <c r="J606" s="88"/>
      <c r="K606" s="170"/>
      <c r="L606" s="168"/>
      <c r="M606" s="170"/>
      <c r="N606" s="170"/>
      <c r="O606" s="170"/>
      <c r="P606" s="88" t="s">
        <v>1602</v>
      </c>
    </row>
    <row r="607" spans="1:16" x14ac:dyDescent="0.25">
      <c r="A607" s="5">
        <v>34</v>
      </c>
      <c r="B607" s="60">
        <v>102017562</v>
      </c>
      <c r="C607" s="60" t="s">
        <v>1677</v>
      </c>
      <c r="D607" s="61" t="str">
        <f t="shared" si="14"/>
        <v>102017562/0049284522</v>
      </c>
      <c r="E607" s="75" t="s">
        <v>1678</v>
      </c>
      <c r="F607" s="57" t="s">
        <v>381</v>
      </c>
      <c r="G607" s="88"/>
      <c r="H607" s="88"/>
      <c r="I607" s="72" t="s">
        <v>1601</v>
      </c>
      <c r="J607" s="88"/>
      <c r="K607" s="170"/>
      <c r="L607" s="168"/>
      <c r="M607" s="170"/>
      <c r="N607" s="170"/>
      <c r="O607" s="170"/>
      <c r="P607" s="88" t="s">
        <v>1602</v>
      </c>
    </row>
    <row r="608" spans="1:16" x14ac:dyDescent="0.25">
      <c r="A608" s="5">
        <v>35</v>
      </c>
      <c r="B608" s="60">
        <v>102017660</v>
      </c>
      <c r="C608" s="60" t="s">
        <v>1679</v>
      </c>
      <c r="D608" s="61" t="str">
        <f t="shared" si="14"/>
        <v>102017660/0042963064</v>
      </c>
      <c r="E608" s="69" t="s">
        <v>1680</v>
      </c>
      <c r="F608" s="57" t="s">
        <v>381</v>
      </c>
      <c r="G608" s="88"/>
      <c r="H608" s="88"/>
      <c r="I608" s="72" t="s">
        <v>1647</v>
      </c>
      <c r="J608" s="88"/>
      <c r="K608" s="170"/>
      <c r="L608" s="168"/>
      <c r="M608" s="170"/>
      <c r="N608" s="170"/>
      <c r="O608" s="170"/>
      <c r="P608" s="88" t="s">
        <v>1602</v>
      </c>
    </row>
    <row r="609" spans="1:16" x14ac:dyDescent="0.25">
      <c r="A609" s="5">
        <v>36</v>
      </c>
      <c r="B609" s="60">
        <v>102017563</v>
      </c>
      <c r="C609" s="62" t="s">
        <v>1681</v>
      </c>
      <c r="D609" s="61" t="str">
        <f t="shared" si="14"/>
        <v>102017563/0058032536</v>
      </c>
      <c r="E609" s="73" t="s">
        <v>1682</v>
      </c>
      <c r="F609" s="57" t="s">
        <v>381</v>
      </c>
      <c r="G609" s="88"/>
      <c r="H609" s="88"/>
      <c r="I609" s="72" t="s">
        <v>1601</v>
      </c>
      <c r="J609" s="88"/>
      <c r="K609" s="170"/>
      <c r="L609" s="168"/>
      <c r="M609" s="170"/>
      <c r="N609" s="170"/>
      <c r="O609" s="170"/>
      <c r="P609" s="88" t="s">
        <v>1602</v>
      </c>
    </row>
    <row r="610" spans="1:16" x14ac:dyDescent="0.25">
      <c r="A610" s="5">
        <v>37</v>
      </c>
      <c r="B610" s="60">
        <v>102017877</v>
      </c>
      <c r="C610" s="64" t="s">
        <v>1683</v>
      </c>
      <c r="D610" s="61" t="str">
        <f t="shared" si="14"/>
        <v>102017877/0051112352</v>
      </c>
      <c r="E610" s="69" t="s">
        <v>1684</v>
      </c>
      <c r="F610" s="57" t="s">
        <v>381</v>
      </c>
      <c r="G610" s="88"/>
      <c r="H610" s="88"/>
      <c r="I610" s="72" t="s">
        <v>1630</v>
      </c>
      <c r="J610" s="88"/>
      <c r="K610" s="170"/>
      <c r="L610" s="168"/>
      <c r="M610" s="170"/>
      <c r="N610" s="170"/>
      <c r="O610" s="170"/>
      <c r="P610" s="88" t="s">
        <v>1602</v>
      </c>
    </row>
    <row r="611" spans="1:16" x14ac:dyDescent="0.25">
      <c r="A611" s="5">
        <v>38</v>
      </c>
      <c r="B611" s="60">
        <v>102017564</v>
      </c>
      <c r="C611" s="60" t="s">
        <v>1685</v>
      </c>
      <c r="D611" s="61" t="str">
        <f t="shared" si="14"/>
        <v>102017564/0058978169</v>
      </c>
      <c r="E611" s="75" t="s">
        <v>1686</v>
      </c>
      <c r="F611" s="57" t="s">
        <v>381</v>
      </c>
      <c r="G611" s="88"/>
      <c r="H611" s="88"/>
      <c r="I611" s="72" t="s">
        <v>1601</v>
      </c>
      <c r="J611" s="88"/>
      <c r="K611" s="170"/>
      <c r="L611" s="168"/>
      <c r="M611" s="170"/>
      <c r="N611" s="170"/>
      <c r="O611" s="170"/>
      <c r="P611" s="88" t="s">
        <v>1602</v>
      </c>
    </row>
    <row r="612" spans="1:16" x14ac:dyDescent="0.25">
      <c r="A612" s="5">
        <v>39</v>
      </c>
      <c r="B612" s="60">
        <v>102017589</v>
      </c>
      <c r="C612" s="60" t="s">
        <v>1687</v>
      </c>
      <c r="D612" s="61" t="str">
        <f t="shared" si="14"/>
        <v>102017589/0055764409</v>
      </c>
      <c r="E612" s="75" t="s">
        <v>1688</v>
      </c>
      <c r="F612" s="57" t="s">
        <v>381</v>
      </c>
      <c r="G612" s="88"/>
      <c r="H612" s="88"/>
      <c r="I612" s="72" t="s">
        <v>1623</v>
      </c>
      <c r="J612" s="88"/>
      <c r="K612" s="170"/>
      <c r="L612" s="168"/>
      <c r="M612" s="170"/>
      <c r="N612" s="170"/>
      <c r="O612" s="170"/>
      <c r="P612" s="88" t="s">
        <v>1602</v>
      </c>
    </row>
    <row r="613" spans="1:16" x14ac:dyDescent="0.25">
      <c r="A613" s="5">
        <v>40</v>
      </c>
      <c r="B613" s="60">
        <v>102017565</v>
      </c>
      <c r="C613" s="62" t="s">
        <v>1689</v>
      </c>
      <c r="D613" s="61" t="str">
        <f t="shared" si="14"/>
        <v>102017565/0009379656</v>
      </c>
      <c r="E613" s="73" t="s">
        <v>1690</v>
      </c>
      <c r="F613" s="57" t="s">
        <v>381</v>
      </c>
      <c r="G613" s="88"/>
      <c r="H613" s="88"/>
      <c r="I613" s="72" t="s">
        <v>1601</v>
      </c>
      <c r="J613" s="88"/>
      <c r="K613" s="170"/>
      <c r="L613" s="168"/>
      <c r="M613" s="170"/>
      <c r="N613" s="170"/>
      <c r="O613" s="170"/>
      <c r="P613" s="88" t="s">
        <v>1602</v>
      </c>
    </row>
    <row r="614" spans="1:16" x14ac:dyDescent="0.25">
      <c r="A614" s="5">
        <v>41</v>
      </c>
      <c r="B614" s="60">
        <v>102017946</v>
      </c>
      <c r="C614" s="136" t="s">
        <v>1691</v>
      </c>
      <c r="D614" s="61" t="str">
        <f t="shared" si="14"/>
        <v>102017946/0042869408</v>
      </c>
      <c r="E614" s="69" t="s">
        <v>1692</v>
      </c>
      <c r="F614" s="57" t="s">
        <v>379</v>
      </c>
      <c r="G614" s="88"/>
      <c r="H614" s="88"/>
      <c r="I614" s="72" t="s">
        <v>1612</v>
      </c>
      <c r="J614" s="88"/>
      <c r="K614" s="170"/>
      <c r="L614" s="168"/>
      <c r="M614" s="170"/>
      <c r="N614" s="170"/>
      <c r="O614" s="170"/>
      <c r="P614" s="88" t="s">
        <v>1602</v>
      </c>
    </row>
    <row r="615" spans="1:16" x14ac:dyDescent="0.25">
      <c r="A615" s="5">
        <v>42</v>
      </c>
      <c r="B615" s="60">
        <v>102017566</v>
      </c>
      <c r="C615" s="60" t="s">
        <v>1693</v>
      </c>
      <c r="D615" s="61" t="str">
        <f t="shared" si="14"/>
        <v>102017566/0058843074</v>
      </c>
      <c r="E615" s="75" t="s">
        <v>1694</v>
      </c>
      <c r="F615" s="57" t="s">
        <v>379</v>
      </c>
      <c r="G615" s="88"/>
      <c r="H615" s="88"/>
      <c r="I615" s="72" t="s">
        <v>1601</v>
      </c>
      <c r="J615" s="88"/>
      <c r="K615" s="170"/>
      <c r="L615" s="168"/>
      <c r="M615" s="170"/>
      <c r="N615" s="170"/>
      <c r="O615" s="170"/>
      <c r="P615" s="88" t="s">
        <v>1602</v>
      </c>
    </row>
    <row r="616" spans="1:16" x14ac:dyDescent="0.25">
      <c r="A616" s="5">
        <v>43</v>
      </c>
      <c r="B616" s="60">
        <v>102017767</v>
      </c>
      <c r="C616" s="60" t="s">
        <v>1695</v>
      </c>
      <c r="D616" s="61" t="str">
        <f t="shared" si="14"/>
        <v>102017767/0060033773</v>
      </c>
      <c r="E616" s="69" t="s">
        <v>1696</v>
      </c>
      <c r="F616" s="57" t="s">
        <v>379</v>
      </c>
      <c r="G616" s="88"/>
      <c r="H616" s="88"/>
      <c r="I616" s="72" t="s">
        <v>1644</v>
      </c>
      <c r="J616" s="88"/>
      <c r="K616" s="170"/>
      <c r="L616" s="168"/>
      <c r="M616" s="170"/>
      <c r="N616" s="170"/>
      <c r="O616" s="170"/>
      <c r="P616" s="88" t="s">
        <v>1602</v>
      </c>
    </row>
    <row r="617" spans="1:16" x14ac:dyDescent="0.25">
      <c r="A617" s="5">
        <v>44</v>
      </c>
      <c r="B617" s="60">
        <v>102017591</v>
      </c>
      <c r="C617" s="60" t="s">
        <v>1697</v>
      </c>
      <c r="D617" s="61" t="str">
        <f t="shared" si="14"/>
        <v>102017591/0046624490</v>
      </c>
      <c r="E617" s="75" t="s">
        <v>1698</v>
      </c>
      <c r="F617" s="57" t="s">
        <v>381</v>
      </c>
      <c r="G617" s="88"/>
      <c r="H617" s="88"/>
      <c r="I617" s="72" t="s">
        <v>1623</v>
      </c>
      <c r="J617" s="88"/>
      <c r="K617" s="170"/>
      <c r="L617" s="168"/>
      <c r="M617" s="170"/>
      <c r="N617" s="170"/>
      <c r="O617" s="170"/>
      <c r="P617" s="88" t="s">
        <v>1602</v>
      </c>
    </row>
    <row r="618" spans="1:16" x14ac:dyDescent="0.25">
      <c r="A618" s="5">
        <v>45</v>
      </c>
      <c r="B618" s="60">
        <v>102017695</v>
      </c>
      <c r="C618" s="60" t="s">
        <v>1699</v>
      </c>
      <c r="D618" s="61" t="str">
        <f t="shared" si="14"/>
        <v>102017695/0054247005</v>
      </c>
      <c r="E618" s="69" t="s">
        <v>1700</v>
      </c>
      <c r="F618" s="57" t="s">
        <v>381</v>
      </c>
      <c r="G618" s="88"/>
      <c r="H618" s="88"/>
      <c r="I618" s="72" t="s">
        <v>1701</v>
      </c>
      <c r="J618" s="88"/>
      <c r="K618" s="170"/>
      <c r="L618" s="168"/>
      <c r="M618" s="170"/>
      <c r="N618" s="170"/>
      <c r="O618" s="170"/>
      <c r="P618" s="88" t="s">
        <v>1602</v>
      </c>
    </row>
    <row r="619" spans="1:16" x14ac:dyDescent="0.25">
      <c r="A619" s="5">
        <v>46</v>
      </c>
      <c r="B619" s="60">
        <v>102017567</v>
      </c>
      <c r="C619" s="60" t="s">
        <v>1702</v>
      </c>
      <c r="D619" s="61" t="str">
        <f t="shared" si="14"/>
        <v>102017567/0059999624</v>
      </c>
      <c r="E619" s="75" t="s">
        <v>1703</v>
      </c>
      <c r="F619" s="57" t="s">
        <v>379</v>
      </c>
      <c r="G619" s="88"/>
      <c r="H619" s="88"/>
      <c r="I619" s="72" t="s">
        <v>1601</v>
      </c>
      <c r="J619" s="88"/>
      <c r="K619" s="170"/>
      <c r="L619" s="168"/>
      <c r="M619" s="170"/>
      <c r="N619" s="170"/>
      <c r="O619" s="170"/>
      <c r="P619" s="88" t="s">
        <v>1602</v>
      </c>
    </row>
    <row r="620" spans="1:16" x14ac:dyDescent="0.25">
      <c r="A620" s="5">
        <v>47</v>
      </c>
      <c r="B620" s="60">
        <v>102017915</v>
      </c>
      <c r="C620" s="63" t="s">
        <v>1704</v>
      </c>
      <c r="D620" s="61" t="str">
        <f t="shared" si="14"/>
        <v>102017915/0052697708</v>
      </c>
      <c r="E620" s="69" t="s">
        <v>1705</v>
      </c>
      <c r="F620" s="57" t="s">
        <v>379</v>
      </c>
      <c r="G620" s="88"/>
      <c r="H620" s="88"/>
      <c r="I620" s="72" t="s">
        <v>1615</v>
      </c>
      <c r="J620" s="88"/>
      <c r="K620" s="170"/>
      <c r="L620" s="168"/>
      <c r="M620" s="170"/>
      <c r="N620" s="170"/>
      <c r="O620" s="170"/>
      <c r="P620" s="88" t="s">
        <v>1602</v>
      </c>
    </row>
    <row r="621" spans="1:16" x14ac:dyDescent="0.25">
      <c r="A621" s="5">
        <v>48</v>
      </c>
      <c r="B621" s="60">
        <v>102017733</v>
      </c>
      <c r="C621" s="60" t="s">
        <v>1706</v>
      </c>
      <c r="D621" s="61" t="str">
        <f t="shared" si="14"/>
        <v>102017733/0055254660</v>
      </c>
      <c r="E621" s="69" t="s">
        <v>1707</v>
      </c>
      <c r="F621" s="57" t="s">
        <v>381</v>
      </c>
      <c r="G621" s="88"/>
      <c r="H621" s="88"/>
      <c r="I621" s="72" t="s">
        <v>1607</v>
      </c>
      <c r="J621" s="88"/>
      <c r="K621" s="170"/>
      <c r="L621" s="168"/>
      <c r="M621" s="170"/>
      <c r="N621" s="170"/>
      <c r="O621" s="170"/>
      <c r="P621" s="88" t="s">
        <v>1602</v>
      </c>
    </row>
    <row r="622" spans="1:16" x14ac:dyDescent="0.25">
      <c r="A622" s="5">
        <v>49</v>
      </c>
      <c r="B622" s="60">
        <v>102017661</v>
      </c>
      <c r="C622" s="60" t="s">
        <v>1708</v>
      </c>
      <c r="D622" s="61" t="str">
        <f t="shared" si="14"/>
        <v>102017661/0073806326</v>
      </c>
      <c r="E622" s="69" t="s">
        <v>1709</v>
      </c>
      <c r="F622" s="57" t="s">
        <v>379</v>
      </c>
      <c r="G622" s="88"/>
      <c r="H622" s="88"/>
      <c r="I622" s="72" t="s">
        <v>1647</v>
      </c>
      <c r="J622" s="88"/>
      <c r="K622" s="170"/>
      <c r="L622" s="168"/>
      <c r="M622" s="170"/>
      <c r="N622" s="170"/>
      <c r="O622" s="170"/>
      <c r="P622" s="88" t="s">
        <v>1602</v>
      </c>
    </row>
    <row r="623" spans="1:16" x14ac:dyDescent="0.25">
      <c r="A623" s="5">
        <v>50</v>
      </c>
      <c r="B623" s="60">
        <v>102017878</v>
      </c>
      <c r="C623" s="63" t="s">
        <v>1710</v>
      </c>
      <c r="D623" s="61" t="str">
        <f t="shared" si="14"/>
        <v>102017878/0045071216</v>
      </c>
      <c r="E623" s="69" t="s">
        <v>1711</v>
      </c>
      <c r="F623" s="57" t="s">
        <v>379</v>
      </c>
      <c r="G623" s="88"/>
      <c r="H623" s="88"/>
      <c r="I623" s="72" t="s">
        <v>1630</v>
      </c>
      <c r="J623" s="88"/>
      <c r="K623" s="170"/>
      <c r="L623" s="168"/>
      <c r="M623" s="170"/>
      <c r="N623" s="170"/>
      <c r="O623" s="170"/>
      <c r="P623" s="88" t="s">
        <v>1602</v>
      </c>
    </row>
    <row r="624" spans="1:16" x14ac:dyDescent="0.25">
      <c r="A624" s="5">
        <v>51</v>
      </c>
      <c r="B624" s="60">
        <v>102017662</v>
      </c>
      <c r="C624" s="60" t="s">
        <v>1712</v>
      </c>
      <c r="D624" s="61" t="str">
        <f t="shared" si="14"/>
        <v>102017662/0052037446</v>
      </c>
      <c r="E624" s="69" t="s">
        <v>1713</v>
      </c>
      <c r="F624" s="57" t="s">
        <v>381</v>
      </c>
      <c r="G624" s="88"/>
      <c r="H624" s="88"/>
      <c r="I624" s="72" t="s">
        <v>1647</v>
      </c>
      <c r="J624" s="88"/>
      <c r="K624" s="170"/>
      <c r="L624" s="168"/>
      <c r="M624" s="170"/>
      <c r="N624" s="170"/>
      <c r="O624" s="170"/>
      <c r="P624" s="88" t="s">
        <v>1602</v>
      </c>
    </row>
    <row r="625" spans="1:16" x14ac:dyDescent="0.25">
      <c r="A625" s="5">
        <v>52</v>
      </c>
      <c r="B625" s="60">
        <v>102017734</v>
      </c>
      <c r="C625" s="60" t="s">
        <v>1714</v>
      </c>
      <c r="D625" s="61" t="str">
        <f t="shared" si="14"/>
        <v>102017734/0049745567</v>
      </c>
      <c r="E625" s="69" t="s">
        <v>1715</v>
      </c>
      <c r="F625" s="57" t="s">
        <v>381</v>
      </c>
      <c r="G625" s="88"/>
      <c r="H625" s="88"/>
      <c r="I625" s="72" t="s">
        <v>1607</v>
      </c>
      <c r="J625" s="88"/>
      <c r="K625" s="170"/>
      <c r="L625" s="168"/>
      <c r="M625" s="170"/>
      <c r="N625" s="170"/>
      <c r="O625" s="170"/>
      <c r="P625" s="88" t="s">
        <v>1602</v>
      </c>
    </row>
    <row r="626" spans="1:16" x14ac:dyDescent="0.25">
      <c r="A626" s="5">
        <v>53</v>
      </c>
      <c r="B626" s="60">
        <v>102017624</v>
      </c>
      <c r="C626" s="60" t="s">
        <v>1716</v>
      </c>
      <c r="D626" s="61" t="str">
        <f t="shared" si="14"/>
        <v>102017624/0058367427</v>
      </c>
      <c r="E626" s="69" t="s">
        <v>1717</v>
      </c>
      <c r="F626" s="57" t="s">
        <v>381</v>
      </c>
      <c r="G626" s="88"/>
      <c r="H626" s="88"/>
      <c r="I626" s="72" t="s">
        <v>1637</v>
      </c>
      <c r="J626" s="88"/>
      <c r="K626" s="170"/>
      <c r="L626" s="168"/>
      <c r="M626" s="170"/>
      <c r="N626" s="170"/>
      <c r="O626" s="170"/>
      <c r="P626" s="88" t="s">
        <v>1602</v>
      </c>
    </row>
    <row r="627" spans="1:16" x14ac:dyDescent="0.25">
      <c r="A627" s="5">
        <v>54</v>
      </c>
      <c r="B627" s="60">
        <v>102017592</v>
      </c>
      <c r="C627" s="60" t="s">
        <v>1718</v>
      </c>
      <c r="D627" s="61" t="str">
        <f t="shared" si="14"/>
        <v>102017592/0048221108</v>
      </c>
      <c r="E627" s="75" t="s">
        <v>1719</v>
      </c>
      <c r="F627" s="57" t="s">
        <v>381</v>
      </c>
      <c r="G627" s="88"/>
      <c r="H627" s="88"/>
      <c r="I627" s="72" t="s">
        <v>1623</v>
      </c>
      <c r="J627" s="88"/>
      <c r="K627" s="170"/>
      <c r="L627" s="168"/>
      <c r="M627" s="170"/>
      <c r="N627" s="170"/>
      <c r="O627" s="170"/>
      <c r="P627" s="88" t="s">
        <v>1602</v>
      </c>
    </row>
    <row r="628" spans="1:16" x14ac:dyDescent="0.25">
      <c r="A628" s="5">
        <v>55</v>
      </c>
      <c r="B628" s="60">
        <v>102017593</v>
      </c>
      <c r="C628" s="60" t="s">
        <v>1720</v>
      </c>
      <c r="D628" s="61" t="str">
        <f t="shared" si="14"/>
        <v>102017593/0049571415</v>
      </c>
      <c r="E628" s="75" t="s">
        <v>1721</v>
      </c>
      <c r="F628" s="57" t="s">
        <v>381</v>
      </c>
      <c r="G628" s="88"/>
      <c r="H628" s="88"/>
      <c r="I628" s="72" t="s">
        <v>1623</v>
      </c>
      <c r="J628" s="88"/>
      <c r="K628" s="170"/>
      <c r="L628" s="168"/>
      <c r="M628" s="170"/>
      <c r="N628" s="170"/>
      <c r="O628" s="170"/>
      <c r="P628" s="88" t="s">
        <v>1602</v>
      </c>
    </row>
    <row r="629" spans="1:16" x14ac:dyDescent="0.25">
      <c r="A629" s="5">
        <v>56</v>
      </c>
      <c r="B629" s="60">
        <v>102017594</v>
      </c>
      <c r="C629" s="60" t="s">
        <v>1722</v>
      </c>
      <c r="D629" s="61" t="str">
        <f t="shared" si="14"/>
        <v>102017594/0053652068</v>
      </c>
      <c r="E629" s="75" t="s">
        <v>1723</v>
      </c>
      <c r="F629" s="57" t="s">
        <v>381</v>
      </c>
      <c r="G629" s="88"/>
      <c r="H629" s="88"/>
      <c r="I629" s="72" t="s">
        <v>1623</v>
      </c>
      <c r="J629" s="88"/>
      <c r="K629" s="170"/>
      <c r="L629" s="168"/>
      <c r="M629" s="170"/>
      <c r="N629" s="170"/>
      <c r="O629" s="170"/>
      <c r="P629" s="88" t="s">
        <v>1602</v>
      </c>
    </row>
    <row r="630" spans="1:16" x14ac:dyDescent="0.25">
      <c r="A630" s="5">
        <v>57</v>
      </c>
      <c r="B630" s="60">
        <v>102017625</v>
      </c>
      <c r="C630" s="62" t="s">
        <v>1724</v>
      </c>
      <c r="D630" s="61" t="str">
        <f t="shared" si="14"/>
        <v>102017625/004732257</v>
      </c>
      <c r="E630" s="69" t="s">
        <v>1725</v>
      </c>
      <c r="F630" s="57" t="s">
        <v>379</v>
      </c>
      <c r="G630" s="88"/>
      <c r="H630" s="88"/>
      <c r="I630" s="72" t="s">
        <v>1637</v>
      </c>
      <c r="J630" s="88"/>
      <c r="K630" s="170"/>
      <c r="L630" s="168"/>
      <c r="M630" s="170"/>
      <c r="N630" s="170"/>
      <c r="O630" s="170"/>
      <c r="P630" s="88" t="s">
        <v>1602</v>
      </c>
    </row>
    <row r="631" spans="1:16" x14ac:dyDescent="0.25">
      <c r="A631" s="5">
        <v>58</v>
      </c>
      <c r="B631" s="60">
        <v>102017840</v>
      </c>
      <c r="C631" s="63" t="s">
        <v>1726</v>
      </c>
      <c r="D631" s="61" t="str">
        <f t="shared" si="14"/>
        <v>102017840/0055211979</v>
      </c>
      <c r="E631" s="69" t="s">
        <v>1727</v>
      </c>
      <c r="F631" s="57" t="s">
        <v>379</v>
      </c>
      <c r="G631" s="88"/>
      <c r="H631" s="88"/>
      <c r="I631" s="72" t="s">
        <v>1612</v>
      </c>
      <c r="J631" s="88"/>
      <c r="K631" s="170"/>
      <c r="L631" s="168"/>
      <c r="M631" s="170"/>
      <c r="N631" s="170"/>
      <c r="O631" s="170"/>
      <c r="P631" s="88" t="s">
        <v>1602</v>
      </c>
    </row>
    <row r="632" spans="1:16" x14ac:dyDescent="0.25">
      <c r="A632" s="5">
        <v>59</v>
      </c>
      <c r="B632" s="60">
        <v>102017595</v>
      </c>
      <c r="C632" s="60" t="s">
        <v>1728</v>
      </c>
      <c r="D632" s="61" t="str">
        <f t="shared" si="14"/>
        <v>102017595/3057932331</v>
      </c>
      <c r="E632" s="75" t="s">
        <v>1729</v>
      </c>
      <c r="F632" s="57" t="s">
        <v>381</v>
      </c>
      <c r="G632" s="88"/>
      <c r="H632" s="88"/>
      <c r="I632" s="72" t="s">
        <v>1623</v>
      </c>
      <c r="J632" s="88"/>
      <c r="K632" s="170"/>
      <c r="L632" s="168"/>
      <c r="M632" s="170"/>
      <c r="N632" s="170"/>
      <c r="O632" s="170"/>
      <c r="P632" s="88" t="s">
        <v>1602</v>
      </c>
    </row>
    <row r="633" spans="1:16" x14ac:dyDescent="0.25">
      <c r="A633" s="5">
        <v>60</v>
      </c>
      <c r="B633" s="60">
        <v>102017768</v>
      </c>
      <c r="C633" s="60" t="s">
        <v>1730</v>
      </c>
      <c r="D633" s="61" t="str">
        <f t="shared" si="14"/>
        <v>102017768/0044454961</v>
      </c>
      <c r="E633" s="69" t="s">
        <v>1731</v>
      </c>
      <c r="F633" s="57" t="s">
        <v>381</v>
      </c>
      <c r="G633" s="88"/>
      <c r="H633" s="88"/>
      <c r="I633" s="72" t="s">
        <v>1644</v>
      </c>
      <c r="J633" s="88"/>
      <c r="K633" s="170"/>
      <c r="L633" s="168"/>
      <c r="M633" s="170"/>
      <c r="N633" s="170"/>
      <c r="O633" s="170"/>
      <c r="P633" s="88" t="s">
        <v>1602</v>
      </c>
    </row>
    <row r="634" spans="1:16" x14ac:dyDescent="0.25">
      <c r="A634" s="5">
        <v>61</v>
      </c>
      <c r="B634" s="60">
        <v>102017568</v>
      </c>
      <c r="C634" s="60" t="s">
        <v>1732</v>
      </c>
      <c r="D634" s="61" t="str">
        <f t="shared" si="14"/>
        <v>102017568/0056170737</v>
      </c>
      <c r="E634" s="75" t="s">
        <v>1733</v>
      </c>
      <c r="F634" s="57" t="s">
        <v>379</v>
      </c>
      <c r="G634" s="88"/>
      <c r="H634" s="88"/>
      <c r="I634" s="72" t="s">
        <v>1601</v>
      </c>
      <c r="J634" s="88"/>
      <c r="K634" s="170"/>
      <c r="L634" s="168"/>
      <c r="M634" s="170"/>
      <c r="N634" s="170"/>
      <c r="O634" s="170"/>
      <c r="P634" s="88" t="s">
        <v>1602</v>
      </c>
    </row>
    <row r="635" spans="1:16" x14ac:dyDescent="0.25">
      <c r="A635" s="5">
        <v>62</v>
      </c>
      <c r="B635" s="60">
        <v>102017916</v>
      </c>
      <c r="C635" s="64" t="s">
        <v>1734</v>
      </c>
      <c r="D635" s="61" t="str">
        <f t="shared" si="14"/>
        <v>102017916/0043644826</v>
      </c>
      <c r="E635" s="69" t="s">
        <v>1735</v>
      </c>
      <c r="F635" s="57" t="s">
        <v>381</v>
      </c>
      <c r="G635" s="88"/>
      <c r="H635" s="88"/>
      <c r="I635" s="72" t="s">
        <v>1615</v>
      </c>
      <c r="J635" s="88"/>
      <c r="K635" s="170"/>
      <c r="L635" s="168"/>
      <c r="M635" s="170"/>
      <c r="N635" s="170"/>
      <c r="O635" s="170"/>
      <c r="P635" s="88" t="s">
        <v>1602</v>
      </c>
    </row>
    <row r="636" spans="1:16" x14ac:dyDescent="0.25">
      <c r="A636" s="5">
        <v>63</v>
      </c>
      <c r="B636" s="60">
        <v>102017626</v>
      </c>
      <c r="C636" s="60" t="s">
        <v>1736</v>
      </c>
      <c r="D636" s="61" t="str">
        <f t="shared" si="14"/>
        <v>102017626/0055808266</v>
      </c>
      <c r="E636" s="69" t="s">
        <v>1737</v>
      </c>
      <c r="F636" s="57" t="s">
        <v>381</v>
      </c>
      <c r="G636" s="88"/>
      <c r="H636" s="88"/>
      <c r="I636" s="72" t="s">
        <v>1637</v>
      </c>
      <c r="J636" s="88"/>
      <c r="K636" s="170"/>
      <c r="L636" s="168"/>
      <c r="M636" s="170"/>
      <c r="N636" s="170"/>
      <c r="O636" s="170"/>
      <c r="P636" s="88" t="s">
        <v>1602</v>
      </c>
    </row>
    <row r="637" spans="1:16" x14ac:dyDescent="0.25">
      <c r="A637" s="5">
        <v>64</v>
      </c>
      <c r="B637" s="60">
        <v>102017769</v>
      </c>
      <c r="C637" s="60" t="s">
        <v>1738</v>
      </c>
      <c r="D637" s="61" t="str">
        <f t="shared" si="14"/>
        <v>102017769/0046144769</v>
      </c>
      <c r="E637" s="69" t="s">
        <v>1739</v>
      </c>
      <c r="F637" s="57" t="s">
        <v>379</v>
      </c>
      <c r="G637" s="88"/>
      <c r="H637" s="88"/>
      <c r="I637" s="72" t="s">
        <v>1644</v>
      </c>
      <c r="J637" s="88"/>
      <c r="K637" s="170"/>
      <c r="L637" s="168"/>
      <c r="M637" s="170"/>
      <c r="N637" s="170"/>
      <c r="O637" s="170"/>
      <c r="P637" s="88" t="s">
        <v>1602</v>
      </c>
    </row>
    <row r="638" spans="1:16" x14ac:dyDescent="0.25">
      <c r="A638" s="5">
        <v>65</v>
      </c>
      <c r="B638" s="60">
        <v>102017627</v>
      </c>
      <c r="C638" s="60" t="s">
        <v>1740</v>
      </c>
      <c r="D638" s="61" t="str">
        <f t="shared" ref="D638:D701" si="15">B638&amp;"/"&amp;C638</f>
        <v>102017627/0053550044</v>
      </c>
      <c r="E638" s="69" t="s">
        <v>1741</v>
      </c>
      <c r="F638" s="57" t="s">
        <v>381</v>
      </c>
      <c r="G638" s="88"/>
      <c r="H638" s="88"/>
      <c r="I638" s="72" t="s">
        <v>1637</v>
      </c>
      <c r="J638" s="88"/>
      <c r="K638" s="170"/>
      <c r="L638" s="168"/>
      <c r="M638" s="170"/>
      <c r="N638" s="170"/>
      <c r="O638" s="170"/>
      <c r="P638" s="88" t="s">
        <v>1602</v>
      </c>
    </row>
    <row r="639" spans="1:16" x14ac:dyDescent="0.25">
      <c r="A639" s="5">
        <v>66</v>
      </c>
      <c r="B639" s="60">
        <v>102017879</v>
      </c>
      <c r="C639" s="63" t="s">
        <v>1742</v>
      </c>
      <c r="D639" s="61" t="str">
        <f t="shared" si="15"/>
        <v>102017879/0051045363</v>
      </c>
      <c r="E639" s="69" t="s">
        <v>1743</v>
      </c>
      <c r="F639" s="57" t="s">
        <v>381</v>
      </c>
      <c r="G639" s="88"/>
      <c r="H639" s="88"/>
      <c r="I639" s="72" t="s">
        <v>1630</v>
      </c>
      <c r="J639" s="88"/>
      <c r="K639" s="170"/>
      <c r="L639" s="168"/>
      <c r="M639" s="170"/>
      <c r="N639" s="170"/>
      <c r="O639" s="170"/>
      <c r="P639" s="88" t="s">
        <v>1650</v>
      </c>
    </row>
    <row r="640" spans="1:16" x14ac:dyDescent="0.25">
      <c r="A640" s="5">
        <v>67</v>
      </c>
      <c r="B640" s="60">
        <v>102017880</v>
      </c>
      <c r="C640" s="63" t="s">
        <v>1744</v>
      </c>
      <c r="D640" s="61" t="str">
        <f t="shared" si="15"/>
        <v>102017880/0036835628</v>
      </c>
      <c r="E640" s="69" t="s">
        <v>1745</v>
      </c>
      <c r="F640" s="57" t="s">
        <v>379</v>
      </c>
      <c r="G640" s="88"/>
      <c r="H640" s="88"/>
      <c r="I640" s="72" t="s">
        <v>1630</v>
      </c>
      <c r="J640" s="88"/>
      <c r="K640" s="170"/>
      <c r="L640" s="168"/>
      <c r="M640" s="170"/>
      <c r="N640" s="170"/>
      <c r="O640" s="170"/>
      <c r="P640" s="88" t="s">
        <v>1602</v>
      </c>
    </row>
    <row r="641" spans="1:16" x14ac:dyDescent="0.25">
      <c r="A641" s="5">
        <v>68</v>
      </c>
      <c r="B641" s="60">
        <v>102017805</v>
      </c>
      <c r="C641" s="60" t="s">
        <v>1746</v>
      </c>
      <c r="D641" s="61" t="str">
        <f t="shared" si="15"/>
        <v>102017805/0055842268</v>
      </c>
      <c r="E641" s="69" t="s">
        <v>1747</v>
      </c>
      <c r="F641" s="57" t="s">
        <v>379</v>
      </c>
      <c r="G641" s="88"/>
      <c r="H641" s="88"/>
      <c r="I641" s="72" t="s">
        <v>1618</v>
      </c>
      <c r="J641" s="88"/>
      <c r="K641" s="170"/>
      <c r="L641" s="168"/>
      <c r="M641" s="170"/>
      <c r="N641" s="170"/>
      <c r="O641" s="170"/>
      <c r="P641" s="88" t="s">
        <v>1602</v>
      </c>
    </row>
    <row r="642" spans="1:16" x14ac:dyDescent="0.25">
      <c r="A642" s="5">
        <v>69</v>
      </c>
      <c r="B642" s="60">
        <v>102017596</v>
      </c>
      <c r="C642" s="60" t="s">
        <v>1748</v>
      </c>
      <c r="D642" s="61" t="str">
        <f t="shared" si="15"/>
        <v>102017596/0047779628</v>
      </c>
      <c r="E642" s="75" t="s">
        <v>1749</v>
      </c>
      <c r="F642" s="57" t="s">
        <v>381</v>
      </c>
      <c r="G642" s="88"/>
      <c r="H642" s="88"/>
      <c r="I642" s="72" t="s">
        <v>1623</v>
      </c>
      <c r="J642" s="88"/>
      <c r="K642" s="170"/>
      <c r="L642" s="168"/>
      <c r="M642" s="170"/>
      <c r="N642" s="170"/>
      <c r="O642" s="170"/>
      <c r="P642" s="88" t="s">
        <v>1602</v>
      </c>
    </row>
    <row r="643" spans="1:16" x14ac:dyDescent="0.25">
      <c r="A643" s="5">
        <v>70</v>
      </c>
      <c r="B643" s="60">
        <v>102017841</v>
      </c>
      <c r="C643" s="64" t="s">
        <v>1750</v>
      </c>
      <c r="D643" s="61" t="str">
        <f t="shared" si="15"/>
        <v>102017841/0045992141</v>
      </c>
      <c r="E643" s="69" t="s">
        <v>1751</v>
      </c>
      <c r="F643" s="57" t="s">
        <v>379</v>
      </c>
      <c r="G643" s="88"/>
      <c r="H643" s="88"/>
      <c r="I643" s="72" t="s">
        <v>1612</v>
      </c>
      <c r="J643" s="88"/>
      <c r="K643" s="170"/>
      <c r="L643" s="168"/>
      <c r="M643" s="170"/>
      <c r="N643" s="170"/>
      <c r="O643" s="170"/>
      <c r="P643" s="88" t="s">
        <v>1602</v>
      </c>
    </row>
    <row r="644" spans="1:16" x14ac:dyDescent="0.25">
      <c r="A644" s="5">
        <v>71</v>
      </c>
      <c r="B644" s="60">
        <v>102017736</v>
      </c>
      <c r="C644" s="60" t="s">
        <v>1752</v>
      </c>
      <c r="D644" s="61" t="str">
        <f t="shared" si="15"/>
        <v>102017736/0045456640</v>
      </c>
      <c r="E644" s="69" t="s">
        <v>1753</v>
      </c>
      <c r="F644" s="57" t="s">
        <v>379</v>
      </c>
      <c r="G644" s="88"/>
      <c r="H644" s="88"/>
      <c r="I644" s="72" t="s">
        <v>1607</v>
      </c>
      <c r="J644" s="88"/>
      <c r="K644" s="170"/>
      <c r="L644" s="168"/>
      <c r="M644" s="170"/>
      <c r="N644" s="170"/>
      <c r="O644" s="170"/>
      <c r="P644" s="88" t="s">
        <v>1602</v>
      </c>
    </row>
    <row r="645" spans="1:16" x14ac:dyDescent="0.25">
      <c r="A645" s="5">
        <v>72</v>
      </c>
      <c r="B645" s="60">
        <v>102017569</v>
      </c>
      <c r="C645" s="60" t="s">
        <v>1754</v>
      </c>
      <c r="D645" s="61" t="str">
        <f t="shared" si="15"/>
        <v>102017569/0059474765</v>
      </c>
      <c r="E645" s="75" t="s">
        <v>1755</v>
      </c>
      <c r="F645" s="57" t="s">
        <v>381</v>
      </c>
      <c r="G645" s="88"/>
      <c r="H645" s="88"/>
      <c r="I645" s="72" t="s">
        <v>1601</v>
      </c>
      <c r="J645" s="88"/>
      <c r="K645" s="170"/>
      <c r="L645" s="168"/>
      <c r="M645" s="170"/>
      <c r="N645" s="170"/>
      <c r="O645" s="170"/>
      <c r="P645" s="88" t="s">
        <v>1602</v>
      </c>
    </row>
    <row r="646" spans="1:16" x14ac:dyDescent="0.25">
      <c r="A646" s="5">
        <v>73</v>
      </c>
      <c r="B646" s="60">
        <v>102017842</v>
      </c>
      <c r="C646" s="63" t="s">
        <v>1756</v>
      </c>
      <c r="D646" s="61" t="str">
        <f t="shared" si="15"/>
        <v>102017842/0057870304</v>
      </c>
      <c r="E646" s="69" t="s">
        <v>1757</v>
      </c>
      <c r="F646" s="57" t="s">
        <v>379</v>
      </c>
      <c r="G646" s="88"/>
      <c r="H646" s="88"/>
      <c r="I646" s="72" t="s">
        <v>1612</v>
      </c>
      <c r="J646" s="88"/>
      <c r="K646" s="170"/>
      <c r="L646" s="168"/>
      <c r="M646" s="170"/>
      <c r="N646" s="170"/>
      <c r="O646" s="170"/>
      <c r="P646" s="88" t="s">
        <v>1602</v>
      </c>
    </row>
    <row r="647" spans="1:16" x14ac:dyDescent="0.25">
      <c r="A647" s="5">
        <v>74</v>
      </c>
      <c r="B647" s="60">
        <v>102017570</v>
      </c>
      <c r="C647" s="60" t="s">
        <v>1758</v>
      </c>
      <c r="D647" s="61" t="str">
        <f t="shared" si="15"/>
        <v>102017570/0046175914</v>
      </c>
      <c r="E647" s="75" t="s">
        <v>1759</v>
      </c>
      <c r="F647" s="57" t="s">
        <v>381</v>
      </c>
      <c r="G647" s="88"/>
      <c r="H647" s="88"/>
      <c r="I647" s="72" t="s">
        <v>1601</v>
      </c>
      <c r="J647" s="88"/>
      <c r="K647" s="170"/>
      <c r="L647" s="168"/>
      <c r="M647" s="170"/>
      <c r="N647" s="170"/>
      <c r="O647" s="170"/>
      <c r="P647" s="88" t="s">
        <v>1602</v>
      </c>
    </row>
    <row r="648" spans="1:16" x14ac:dyDescent="0.25">
      <c r="A648" s="5">
        <v>75</v>
      </c>
      <c r="B648" s="60">
        <v>102017881</v>
      </c>
      <c r="C648" s="63" t="s">
        <v>1760</v>
      </c>
      <c r="D648" s="61" t="str">
        <f t="shared" si="15"/>
        <v>102017881/0048783506</v>
      </c>
      <c r="E648" s="69" t="s">
        <v>1761</v>
      </c>
      <c r="F648" s="57" t="s">
        <v>379</v>
      </c>
      <c r="G648" s="88"/>
      <c r="H648" s="88"/>
      <c r="I648" s="72" t="s">
        <v>1630</v>
      </c>
      <c r="J648" s="88"/>
      <c r="K648" s="170"/>
      <c r="L648" s="168"/>
      <c r="M648" s="170"/>
      <c r="N648" s="170"/>
      <c r="O648" s="170"/>
      <c r="P648" s="88" t="s">
        <v>1602</v>
      </c>
    </row>
    <row r="649" spans="1:16" x14ac:dyDescent="0.25">
      <c r="A649" s="5">
        <v>76</v>
      </c>
      <c r="B649" s="60">
        <v>102017628</v>
      </c>
      <c r="C649" s="60" t="s">
        <v>1762</v>
      </c>
      <c r="D649" s="61" t="str">
        <f t="shared" si="15"/>
        <v>102017628/0066693137</v>
      </c>
      <c r="E649" s="69" t="s">
        <v>1763</v>
      </c>
      <c r="F649" s="57" t="s">
        <v>381</v>
      </c>
      <c r="G649" s="88"/>
      <c r="H649" s="88"/>
      <c r="I649" s="72" t="s">
        <v>1637</v>
      </c>
      <c r="J649" s="88"/>
      <c r="K649" s="170"/>
      <c r="L649" s="168"/>
      <c r="M649" s="170"/>
      <c r="N649" s="170"/>
      <c r="O649" s="170"/>
      <c r="P649" s="88" t="s">
        <v>1602</v>
      </c>
    </row>
    <row r="650" spans="1:16" x14ac:dyDescent="0.25">
      <c r="A650" s="5">
        <v>77</v>
      </c>
      <c r="B650" s="60">
        <v>102017843</v>
      </c>
      <c r="C650" s="63" t="s">
        <v>1764</v>
      </c>
      <c r="D650" s="61" t="str">
        <f t="shared" si="15"/>
        <v>102017843/0055596913</v>
      </c>
      <c r="E650" s="69" t="s">
        <v>1765</v>
      </c>
      <c r="F650" s="57" t="s">
        <v>381</v>
      </c>
      <c r="G650" s="88"/>
      <c r="H650" s="88"/>
      <c r="I650" s="72" t="s">
        <v>1612</v>
      </c>
      <c r="J650" s="88"/>
      <c r="K650" s="170"/>
      <c r="L650" s="168"/>
      <c r="M650" s="170"/>
      <c r="N650" s="170"/>
      <c r="O650" s="170"/>
      <c r="P650" s="88" t="s">
        <v>1602</v>
      </c>
    </row>
    <row r="651" spans="1:16" x14ac:dyDescent="0.25">
      <c r="A651" s="5">
        <v>78</v>
      </c>
      <c r="B651" s="60">
        <v>102017571</v>
      </c>
      <c r="C651" s="60" t="s">
        <v>1766</v>
      </c>
      <c r="D651" s="61" t="str">
        <f t="shared" si="15"/>
        <v>102017571/0058889553</v>
      </c>
      <c r="E651" s="75" t="s">
        <v>1767</v>
      </c>
      <c r="F651" s="57" t="s">
        <v>381</v>
      </c>
      <c r="G651" s="88"/>
      <c r="H651" s="88"/>
      <c r="I651" s="72" t="s">
        <v>1601</v>
      </c>
      <c r="J651" s="88"/>
      <c r="K651" s="170"/>
      <c r="L651" s="168"/>
      <c r="M651" s="170"/>
      <c r="N651" s="170"/>
      <c r="O651" s="170"/>
      <c r="P651" s="88" t="s">
        <v>1602</v>
      </c>
    </row>
    <row r="652" spans="1:16" x14ac:dyDescent="0.25">
      <c r="A652" s="5">
        <v>79</v>
      </c>
      <c r="B652" s="60">
        <v>102017770</v>
      </c>
      <c r="C652" s="60" t="s">
        <v>1768</v>
      </c>
      <c r="D652" s="61" t="str">
        <f t="shared" si="15"/>
        <v>102017770/0057872055</v>
      </c>
      <c r="E652" s="69" t="s">
        <v>1769</v>
      </c>
      <c r="F652" s="57" t="s">
        <v>379</v>
      </c>
      <c r="G652" s="88"/>
      <c r="H652" s="88"/>
      <c r="I652" s="72" t="s">
        <v>1644</v>
      </c>
      <c r="J652" s="88"/>
      <c r="K652" s="170"/>
      <c r="L652" s="168"/>
      <c r="M652" s="170"/>
      <c r="N652" s="170"/>
      <c r="O652" s="170"/>
      <c r="P652" s="88" t="s">
        <v>1602</v>
      </c>
    </row>
    <row r="653" spans="1:16" x14ac:dyDescent="0.25">
      <c r="A653" s="5">
        <v>80</v>
      </c>
      <c r="B653" s="60">
        <v>102017882</v>
      </c>
      <c r="C653" s="63" t="s">
        <v>1770</v>
      </c>
      <c r="D653" s="61" t="str">
        <f t="shared" si="15"/>
        <v>102017882/0042500104</v>
      </c>
      <c r="E653" s="69" t="s">
        <v>1771</v>
      </c>
      <c r="F653" s="57" t="s">
        <v>381</v>
      </c>
      <c r="G653" s="88"/>
      <c r="H653" s="88"/>
      <c r="I653" s="72" t="s">
        <v>1630</v>
      </c>
      <c r="J653" s="88"/>
      <c r="K653" s="170"/>
      <c r="L653" s="168"/>
      <c r="M653" s="170"/>
      <c r="N653" s="170"/>
      <c r="O653" s="170"/>
      <c r="P653" s="88" t="s">
        <v>1602</v>
      </c>
    </row>
    <row r="654" spans="1:16" x14ac:dyDescent="0.25">
      <c r="A654" s="5">
        <v>81</v>
      </c>
      <c r="B654" s="60">
        <v>102017663</v>
      </c>
      <c r="C654" s="60" t="s">
        <v>1772</v>
      </c>
      <c r="D654" s="61" t="str">
        <f t="shared" si="15"/>
        <v>102017663/0053652071</v>
      </c>
      <c r="E654" s="69" t="s">
        <v>1773</v>
      </c>
      <c r="F654" s="57" t="s">
        <v>381</v>
      </c>
      <c r="G654" s="88"/>
      <c r="H654" s="88"/>
      <c r="I654" s="72" t="s">
        <v>1647</v>
      </c>
      <c r="J654" s="88"/>
      <c r="K654" s="170"/>
      <c r="L654" s="168"/>
      <c r="M654" s="170"/>
      <c r="N654" s="170"/>
      <c r="O654" s="170"/>
      <c r="P654" s="88" t="s">
        <v>1602</v>
      </c>
    </row>
    <row r="655" spans="1:16" x14ac:dyDescent="0.25">
      <c r="A655" s="5">
        <v>82</v>
      </c>
      <c r="B655" s="60">
        <v>102017883</v>
      </c>
      <c r="C655" s="63" t="s">
        <v>1774</v>
      </c>
      <c r="D655" s="61" t="str">
        <f t="shared" si="15"/>
        <v>102017883/171807087</v>
      </c>
      <c r="E655" s="69" t="s">
        <v>1775</v>
      </c>
      <c r="F655" s="57" t="s">
        <v>379</v>
      </c>
      <c r="G655" s="88"/>
      <c r="H655" s="88"/>
      <c r="I655" s="72" t="s">
        <v>1630</v>
      </c>
      <c r="J655" s="88"/>
      <c r="K655" s="170"/>
      <c r="L655" s="168"/>
      <c r="M655" s="170"/>
      <c r="N655" s="170"/>
      <c r="O655" s="170"/>
      <c r="P655" s="88" t="s">
        <v>1602</v>
      </c>
    </row>
    <row r="656" spans="1:16" x14ac:dyDescent="0.25">
      <c r="A656" s="5">
        <v>83</v>
      </c>
      <c r="B656" s="60">
        <v>102017844</v>
      </c>
      <c r="C656" s="63" t="s">
        <v>1776</v>
      </c>
      <c r="D656" s="61" t="str">
        <f t="shared" si="15"/>
        <v>102017844/0043609923</v>
      </c>
      <c r="E656" s="69" t="s">
        <v>1777</v>
      </c>
      <c r="F656" s="57" t="s">
        <v>379</v>
      </c>
      <c r="G656" s="88"/>
      <c r="H656" s="88"/>
      <c r="I656" s="72" t="s">
        <v>1612</v>
      </c>
      <c r="J656" s="88"/>
      <c r="K656" s="170"/>
      <c r="L656" s="168"/>
      <c r="M656" s="170"/>
      <c r="N656" s="170"/>
      <c r="O656" s="170"/>
      <c r="P656" s="88" t="s">
        <v>1602</v>
      </c>
    </row>
    <row r="657" spans="1:16" x14ac:dyDescent="0.25">
      <c r="A657" s="5">
        <v>84</v>
      </c>
      <c r="B657" s="60">
        <v>102017806</v>
      </c>
      <c r="C657" s="60" t="s">
        <v>1778</v>
      </c>
      <c r="D657" s="61" t="str">
        <f t="shared" si="15"/>
        <v>102017806/0045192930</v>
      </c>
      <c r="E657" s="69" t="s">
        <v>1779</v>
      </c>
      <c r="F657" s="57" t="s">
        <v>379</v>
      </c>
      <c r="G657" s="88"/>
      <c r="H657" s="88"/>
      <c r="I657" s="72" t="s">
        <v>1618</v>
      </c>
      <c r="J657" s="88"/>
      <c r="K657" s="170"/>
      <c r="L657" s="168"/>
      <c r="M657" s="170"/>
      <c r="N657" s="170"/>
      <c r="O657" s="170"/>
      <c r="P657" s="88" t="s">
        <v>1602</v>
      </c>
    </row>
    <row r="658" spans="1:16" x14ac:dyDescent="0.25">
      <c r="A658" s="5">
        <v>85</v>
      </c>
      <c r="B658" s="60">
        <v>102017807</v>
      </c>
      <c r="C658" s="60" t="s">
        <v>1780</v>
      </c>
      <c r="D658" s="61" t="str">
        <f t="shared" si="15"/>
        <v>102017807/0051191262</v>
      </c>
      <c r="E658" s="69" t="s">
        <v>1781</v>
      </c>
      <c r="F658" s="57" t="s">
        <v>379</v>
      </c>
      <c r="G658" s="88"/>
      <c r="H658" s="88"/>
      <c r="I658" s="72" t="s">
        <v>1618</v>
      </c>
      <c r="J658" s="88"/>
      <c r="K658" s="170"/>
      <c r="L658" s="168"/>
      <c r="M658" s="170"/>
      <c r="N658" s="170"/>
      <c r="O658" s="170"/>
      <c r="P658" s="88" t="s">
        <v>1602</v>
      </c>
    </row>
    <row r="659" spans="1:16" x14ac:dyDescent="0.25">
      <c r="A659" s="5">
        <v>86</v>
      </c>
      <c r="B659" s="60">
        <v>102017572</v>
      </c>
      <c r="C659" s="60" t="s">
        <v>1782</v>
      </c>
      <c r="D659" s="61" t="str">
        <f t="shared" si="15"/>
        <v>102017572/0057343896</v>
      </c>
      <c r="E659" s="75" t="s">
        <v>1783</v>
      </c>
      <c r="F659" s="57" t="s">
        <v>379</v>
      </c>
      <c r="G659" s="88"/>
      <c r="H659" s="88"/>
      <c r="I659" s="72" t="s">
        <v>1601</v>
      </c>
      <c r="J659" s="88"/>
      <c r="K659" s="170"/>
      <c r="L659" s="168"/>
      <c r="M659" s="170"/>
      <c r="N659" s="170"/>
      <c r="O659" s="170"/>
      <c r="P659" s="88" t="s">
        <v>1602</v>
      </c>
    </row>
    <row r="660" spans="1:16" x14ac:dyDescent="0.25">
      <c r="A660" s="5">
        <v>87</v>
      </c>
      <c r="B660" s="60">
        <v>102017917</v>
      </c>
      <c r="C660" s="63" t="s">
        <v>1784</v>
      </c>
      <c r="D660" s="61" t="str">
        <f t="shared" si="15"/>
        <v>102017917/0045429034</v>
      </c>
      <c r="E660" s="69" t="s">
        <v>1785</v>
      </c>
      <c r="F660" s="57" t="s">
        <v>379</v>
      </c>
      <c r="G660" s="88"/>
      <c r="H660" s="88"/>
      <c r="I660" s="72" t="s">
        <v>1615</v>
      </c>
      <c r="J660" s="88"/>
      <c r="K660" s="170"/>
      <c r="L660" s="168"/>
      <c r="M660" s="170"/>
      <c r="N660" s="170"/>
      <c r="O660" s="170"/>
      <c r="P660" s="88" t="s">
        <v>1602</v>
      </c>
    </row>
    <row r="661" spans="1:16" x14ac:dyDescent="0.25">
      <c r="A661" s="5">
        <v>88</v>
      </c>
      <c r="B661" s="60">
        <v>102017845</v>
      </c>
      <c r="C661" s="63" t="s">
        <v>1786</v>
      </c>
      <c r="D661" s="61" t="str">
        <f t="shared" si="15"/>
        <v>102017845/0052822621</v>
      </c>
      <c r="E661" s="69" t="s">
        <v>1787</v>
      </c>
      <c r="F661" s="57" t="s">
        <v>379</v>
      </c>
      <c r="G661" s="88"/>
      <c r="H661" s="88"/>
      <c r="I661" s="72" t="s">
        <v>1612</v>
      </c>
      <c r="J661" s="88"/>
      <c r="K661" s="170"/>
      <c r="L661" s="168"/>
      <c r="M661" s="170"/>
      <c r="N661" s="170"/>
      <c r="O661" s="170"/>
      <c r="P661" s="88" t="s">
        <v>1602</v>
      </c>
    </row>
    <row r="662" spans="1:16" x14ac:dyDescent="0.25">
      <c r="A662" s="5">
        <v>89</v>
      </c>
      <c r="B662" s="60">
        <v>102017629</v>
      </c>
      <c r="C662" s="60" t="s">
        <v>1788</v>
      </c>
      <c r="D662" s="61" t="str">
        <f t="shared" si="15"/>
        <v>102017629/0056850206</v>
      </c>
      <c r="E662" s="69" t="s">
        <v>1789</v>
      </c>
      <c r="F662" s="57" t="s">
        <v>379</v>
      </c>
      <c r="G662" s="88"/>
      <c r="H662" s="88"/>
      <c r="I662" s="72" t="s">
        <v>1637</v>
      </c>
      <c r="J662" s="88"/>
      <c r="K662" s="170"/>
      <c r="L662" s="168"/>
      <c r="M662" s="170"/>
      <c r="N662" s="170"/>
      <c r="O662" s="170"/>
      <c r="P662" s="88" t="s">
        <v>1602</v>
      </c>
    </row>
    <row r="663" spans="1:16" x14ac:dyDescent="0.25">
      <c r="A663" s="5">
        <v>90</v>
      </c>
      <c r="B663" s="60">
        <v>102017846</v>
      </c>
      <c r="C663" s="64" t="s">
        <v>1790</v>
      </c>
      <c r="D663" s="61" t="str">
        <f t="shared" si="15"/>
        <v>102017846/0054366528</v>
      </c>
      <c r="E663" s="69" t="s">
        <v>1791</v>
      </c>
      <c r="F663" s="57" t="s">
        <v>379</v>
      </c>
      <c r="G663" s="88"/>
      <c r="H663" s="88"/>
      <c r="I663" s="72" t="s">
        <v>1612</v>
      </c>
      <c r="J663" s="88"/>
      <c r="K663" s="170"/>
      <c r="L663" s="168"/>
      <c r="M663" s="170"/>
      <c r="N663" s="170"/>
      <c r="O663" s="170"/>
      <c r="P663" s="88" t="s">
        <v>1602</v>
      </c>
    </row>
    <row r="664" spans="1:16" x14ac:dyDescent="0.25">
      <c r="A664" s="5">
        <v>91</v>
      </c>
      <c r="B664" s="60">
        <v>102017918</v>
      </c>
      <c r="C664" s="63" t="s">
        <v>1792</v>
      </c>
      <c r="D664" s="61" t="str">
        <f t="shared" si="15"/>
        <v>102017918/0061496303</v>
      </c>
      <c r="E664" s="69" t="s">
        <v>1793</v>
      </c>
      <c r="F664" s="57" t="s">
        <v>381</v>
      </c>
      <c r="G664" s="88"/>
      <c r="H664" s="88"/>
      <c r="I664" s="72" t="s">
        <v>1615</v>
      </c>
      <c r="J664" s="88"/>
      <c r="K664" s="170"/>
      <c r="L664" s="168"/>
      <c r="M664" s="170"/>
      <c r="N664" s="170"/>
      <c r="O664" s="170"/>
      <c r="P664" s="88" t="s">
        <v>1602</v>
      </c>
    </row>
    <row r="665" spans="1:16" x14ac:dyDescent="0.25">
      <c r="A665" s="5">
        <v>92</v>
      </c>
      <c r="B665" s="60">
        <v>102017573</v>
      </c>
      <c r="C665" s="60" t="s">
        <v>1794</v>
      </c>
      <c r="D665" s="61" t="str">
        <f t="shared" si="15"/>
        <v>102017573/0059410641</v>
      </c>
      <c r="E665" s="75" t="s">
        <v>1795</v>
      </c>
      <c r="F665" s="57" t="s">
        <v>379</v>
      </c>
      <c r="G665" s="88"/>
      <c r="H665" s="88"/>
      <c r="I665" s="72" t="s">
        <v>1601</v>
      </c>
      <c r="J665" s="88"/>
      <c r="K665" s="170"/>
      <c r="L665" s="168"/>
      <c r="M665" s="170"/>
      <c r="N665" s="170"/>
      <c r="O665" s="170"/>
      <c r="P665" s="88" t="s">
        <v>1602</v>
      </c>
    </row>
    <row r="666" spans="1:16" x14ac:dyDescent="0.25">
      <c r="A666" s="5">
        <v>93</v>
      </c>
      <c r="B666" s="60">
        <v>102017696</v>
      </c>
      <c r="C666" s="60" t="s">
        <v>1796</v>
      </c>
      <c r="D666" s="61" t="str">
        <f t="shared" si="15"/>
        <v>102017696/0059063073</v>
      </c>
      <c r="E666" s="69" t="s">
        <v>1797</v>
      </c>
      <c r="F666" s="57" t="s">
        <v>381</v>
      </c>
      <c r="G666" s="88"/>
      <c r="H666" s="88"/>
      <c r="I666" s="72" t="s">
        <v>1701</v>
      </c>
      <c r="J666" s="88"/>
      <c r="K666" s="170"/>
      <c r="L666" s="168"/>
      <c r="M666" s="170"/>
      <c r="N666" s="170"/>
      <c r="O666" s="170"/>
      <c r="P666" s="88" t="s">
        <v>1602</v>
      </c>
    </row>
    <row r="667" spans="1:16" x14ac:dyDescent="0.25">
      <c r="A667" s="5">
        <v>94</v>
      </c>
      <c r="B667" s="60">
        <v>102017808</v>
      </c>
      <c r="C667" s="60" t="s">
        <v>1798</v>
      </c>
      <c r="D667" s="61" t="str">
        <f t="shared" si="15"/>
        <v>102017808/0056788049</v>
      </c>
      <c r="E667" s="69" t="s">
        <v>1799</v>
      </c>
      <c r="F667" s="57" t="s">
        <v>379</v>
      </c>
      <c r="G667" s="88"/>
      <c r="H667" s="88"/>
      <c r="I667" s="72" t="s">
        <v>1618</v>
      </c>
      <c r="J667" s="88"/>
      <c r="K667" s="170"/>
      <c r="L667" s="168"/>
      <c r="M667" s="170"/>
      <c r="N667" s="170"/>
      <c r="O667" s="170"/>
      <c r="P667" s="88" t="s">
        <v>1602</v>
      </c>
    </row>
    <row r="668" spans="1:16" x14ac:dyDescent="0.25">
      <c r="A668" s="5">
        <v>95</v>
      </c>
      <c r="B668" s="60">
        <v>102017697</v>
      </c>
      <c r="C668" s="60" t="s">
        <v>1800</v>
      </c>
      <c r="D668" s="61" t="str">
        <f t="shared" si="15"/>
        <v>102017697/0046414015</v>
      </c>
      <c r="E668" s="69" t="s">
        <v>1801</v>
      </c>
      <c r="F668" s="57" t="s">
        <v>379</v>
      </c>
      <c r="G668" s="88"/>
      <c r="H668" s="88"/>
      <c r="I668" s="72" t="s">
        <v>1701</v>
      </c>
      <c r="J668" s="88"/>
      <c r="K668" s="170"/>
      <c r="L668" s="168"/>
      <c r="M668" s="170"/>
      <c r="N668" s="170"/>
      <c r="O668" s="170"/>
      <c r="P668" s="88" t="s">
        <v>1602</v>
      </c>
    </row>
    <row r="669" spans="1:16" x14ac:dyDescent="0.25">
      <c r="A669" s="5">
        <v>96</v>
      </c>
      <c r="B669" s="60">
        <v>102017809</v>
      </c>
      <c r="C669" s="62" t="s">
        <v>1802</v>
      </c>
      <c r="D669" s="61" t="str">
        <f t="shared" si="15"/>
        <v>102017809/0042461315</v>
      </c>
      <c r="E669" s="69" t="s">
        <v>1803</v>
      </c>
      <c r="F669" s="57" t="s">
        <v>379</v>
      </c>
      <c r="G669" s="88"/>
      <c r="H669" s="88"/>
      <c r="I669" s="72" t="s">
        <v>1618</v>
      </c>
      <c r="J669" s="88"/>
      <c r="K669" s="170"/>
      <c r="L669" s="168"/>
      <c r="M669" s="170"/>
      <c r="N669" s="170"/>
      <c r="O669" s="170"/>
      <c r="P669" s="88" t="s">
        <v>1602</v>
      </c>
    </row>
    <row r="670" spans="1:16" x14ac:dyDescent="0.25">
      <c r="A670" s="5">
        <v>97</v>
      </c>
      <c r="B670" s="60">
        <v>101917274</v>
      </c>
      <c r="C670" s="131" t="s">
        <v>1804</v>
      </c>
      <c r="D670" s="61" t="str">
        <f t="shared" si="15"/>
        <v>101917274/0036450028</v>
      </c>
      <c r="E670" s="69" t="s">
        <v>1805</v>
      </c>
      <c r="F670" s="57" t="s">
        <v>379</v>
      </c>
      <c r="G670" s="88"/>
      <c r="H670" s="88"/>
      <c r="I670" s="72" t="s">
        <v>1647</v>
      </c>
      <c r="J670" s="88"/>
      <c r="K670" s="170"/>
      <c r="L670" s="168"/>
      <c r="M670" s="170"/>
      <c r="N670" s="170"/>
      <c r="O670" s="170"/>
      <c r="P670" s="88" t="s">
        <v>1602</v>
      </c>
    </row>
    <row r="671" spans="1:16" x14ac:dyDescent="0.25">
      <c r="A671" s="5">
        <v>98</v>
      </c>
      <c r="B671" s="60">
        <v>102017737</v>
      </c>
      <c r="C671" s="60" t="s">
        <v>1806</v>
      </c>
      <c r="D671" s="61" t="str">
        <f t="shared" si="15"/>
        <v>102017737/0054181098</v>
      </c>
      <c r="E671" s="69" t="s">
        <v>1807</v>
      </c>
      <c r="F671" s="57" t="s">
        <v>381</v>
      </c>
      <c r="G671" s="88"/>
      <c r="H671" s="88"/>
      <c r="I671" s="72" t="s">
        <v>1607</v>
      </c>
      <c r="J671" s="88"/>
      <c r="K671" s="170"/>
      <c r="L671" s="168"/>
      <c r="M671" s="170"/>
      <c r="N671" s="170"/>
      <c r="O671" s="170"/>
      <c r="P671" s="88" t="s">
        <v>1602</v>
      </c>
    </row>
    <row r="672" spans="1:16" x14ac:dyDescent="0.25">
      <c r="A672" s="5">
        <v>99</v>
      </c>
      <c r="B672" s="60">
        <v>102017810</v>
      </c>
      <c r="C672" s="60" t="s">
        <v>1808</v>
      </c>
      <c r="D672" s="61" t="str">
        <f t="shared" si="15"/>
        <v>102017810/0061502810</v>
      </c>
      <c r="E672" s="69" t="s">
        <v>1809</v>
      </c>
      <c r="F672" s="57" t="s">
        <v>379</v>
      </c>
      <c r="G672" s="88"/>
      <c r="H672" s="88"/>
      <c r="I672" s="72" t="s">
        <v>1618</v>
      </c>
      <c r="J672" s="88"/>
      <c r="K672" s="170"/>
      <c r="L672" s="168"/>
      <c r="M672" s="170"/>
      <c r="N672" s="170"/>
      <c r="O672" s="170"/>
      <c r="P672" s="88" t="s">
        <v>1602</v>
      </c>
    </row>
    <row r="673" spans="1:16" x14ac:dyDescent="0.25">
      <c r="A673" s="5">
        <v>100</v>
      </c>
      <c r="B673" s="60">
        <v>102017597</v>
      </c>
      <c r="C673" s="60" t="s">
        <v>1810</v>
      </c>
      <c r="D673" s="61" t="str">
        <f t="shared" si="15"/>
        <v>102017597/0067619518</v>
      </c>
      <c r="E673" s="75" t="s">
        <v>1811</v>
      </c>
      <c r="F673" s="57" t="s">
        <v>379</v>
      </c>
      <c r="G673" s="88"/>
      <c r="H673" s="88"/>
      <c r="I673" s="72" t="s">
        <v>1623</v>
      </c>
      <c r="J673" s="88"/>
      <c r="K673" s="170"/>
      <c r="L673" s="168"/>
      <c r="M673" s="170"/>
      <c r="N673" s="170"/>
      <c r="O673" s="170"/>
      <c r="P673" s="88" t="s">
        <v>1602</v>
      </c>
    </row>
    <row r="674" spans="1:16" x14ac:dyDescent="0.25">
      <c r="A674" s="5">
        <v>101</v>
      </c>
      <c r="B674" s="60">
        <v>102017574</v>
      </c>
      <c r="C674" s="62" t="s">
        <v>1812</v>
      </c>
      <c r="D674" s="61" t="str">
        <f t="shared" si="15"/>
        <v>102017574/0045379287</v>
      </c>
      <c r="E674" s="73" t="s">
        <v>1813</v>
      </c>
      <c r="F674" s="57" t="s">
        <v>381</v>
      </c>
      <c r="G674" s="88"/>
      <c r="H674" s="88"/>
      <c r="I674" s="72" t="s">
        <v>1601</v>
      </c>
      <c r="J674" s="88"/>
      <c r="K674" s="170"/>
      <c r="L674" s="168"/>
      <c r="M674" s="170"/>
      <c r="N674" s="170"/>
      <c r="O674" s="170"/>
      <c r="P674" s="88" t="s">
        <v>1602</v>
      </c>
    </row>
    <row r="675" spans="1:16" x14ac:dyDescent="0.25">
      <c r="A675" s="5">
        <v>102</v>
      </c>
      <c r="B675" s="60">
        <v>102017919</v>
      </c>
      <c r="C675" s="64" t="s">
        <v>1814</v>
      </c>
      <c r="D675" s="61" t="str">
        <f t="shared" si="15"/>
        <v>102017919/0041408518</v>
      </c>
      <c r="E675" s="69" t="s">
        <v>1815</v>
      </c>
      <c r="F675" s="57" t="s">
        <v>379</v>
      </c>
      <c r="G675" s="88"/>
      <c r="H675" s="88"/>
      <c r="I675" s="72" t="s">
        <v>1615</v>
      </c>
      <c r="J675" s="88"/>
      <c r="K675" s="170"/>
      <c r="L675" s="168"/>
      <c r="M675" s="170"/>
      <c r="N675" s="170"/>
      <c r="O675" s="170"/>
      <c r="P675" s="88" t="s">
        <v>1602</v>
      </c>
    </row>
    <row r="676" spans="1:16" x14ac:dyDescent="0.25">
      <c r="A676" s="5">
        <v>103</v>
      </c>
      <c r="B676" s="60">
        <v>102017598</v>
      </c>
      <c r="C676" s="60" t="s">
        <v>1816</v>
      </c>
      <c r="D676" s="61" t="str">
        <f t="shared" si="15"/>
        <v>102017598/0042040171</v>
      </c>
      <c r="E676" s="75" t="s">
        <v>1817</v>
      </c>
      <c r="F676" s="57" t="s">
        <v>379</v>
      </c>
      <c r="G676" s="88"/>
      <c r="H676" s="88"/>
      <c r="I676" s="72" t="s">
        <v>1623</v>
      </c>
      <c r="J676" s="88"/>
      <c r="K676" s="170"/>
      <c r="L676" s="168"/>
      <c r="M676" s="170"/>
      <c r="N676" s="170"/>
      <c r="O676" s="170"/>
      <c r="P676" s="88" t="s">
        <v>1602</v>
      </c>
    </row>
    <row r="677" spans="1:16" x14ac:dyDescent="0.25">
      <c r="A677" s="5">
        <v>104</v>
      </c>
      <c r="B677" s="60">
        <v>102017698</v>
      </c>
      <c r="C677" s="60" t="s">
        <v>1818</v>
      </c>
      <c r="D677" s="61" t="str">
        <f t="shared" si="15"/>
        <v>102017698/0055991655</v>
      </c>
      <c r="E677" s="69" t="s">
        <v>1819</v>
      </c>
      <c r="F677" s="57" t="s">
        <v>381</v>
      </c>
      <c r="G677" s="88"/>
      <c r="H677" s="88"/>
      <c r="I677" s="72" t="s">
        <v>1701</v>
      </c>
      <c r="J677" s="88"/>
      <c r="K677" s="170"/>
      <c r="L677" s="168"/>
      <c r="M677" s="170"/>
      <c r="N677" s="170"/>
      <c r="O677" s="170"/>
      <c r="P677" s="88" t="s">
        <v>1602</v>
      </c>
    </row>
    <row r="678" spans="1:16" x14ac:dyDescent="0.25">
      <c r="A678" s="5">
        <v>105</v>
      </c>
      <c r="B678" s="60">
        <v>102017699</v>
      </c>
      <c r="C678" s="60" t="s">
        <v>1820</v>
      </c>
      <c r="D678" s="61" t="str">
        <f t="shared" si="15"/>
        <v>102017699/0048676160</v>
      </c>
      <c r="E678" s="69" t="s">
        <v>1821</v>
      </c>
      <c r="F678" s="57" t="s">
        <v>381</v>
      </c>
      <c r="G678" s="88"/>
      <c r="H678" s="88"/>
      <c r="I678" s="72" t="s">
        <v>1701</v>
      </c>
      <c r="J678" s="88"/>
      <c r="K678" s="170"/>
      <c r="L678" s="168"/>
      <c r="M678" s="170"/>
      <c r="N678" s="170"/>
      <c r="O678" s="170"/>
      <c r="P678" s="88" t="s">
        <v>1602</v>
      </c>
    </row>
    <row r="679" spans="1:16" x14ac:dyDescent="0.25">
      <c r="A679" s="5">
        <v>106</v>
      </c>
      <c r="B679" s="60">
        <v>102017771</v>
      </c>
      <c r="C679" s="60" t="s">
        <v>1822</v>
      </c>
      <c r="D679" s="61" t="str">
        <f t="shared" si="15"/>
        <v>102017771/0043669395</v>
      </c>
      <c r="E679" s="69" t="s">
        <v>1823</v>
      </c>
      <c r="F679" s="57" t="s">
        <v>379</v>
      </c>
      <c r="G679" s="88"/>
      <c r="H679" s="88"/>
      <c r="I679" s="72" t="s">
        <v>1644</v>
      </c>
      <c r="J679" s="88"/>
      <c r="K679" s="170"/>
      <c r="L679" s="168"/>
      <c r="M679" s="170"/>
      <c r="N679" s="170"/>
      <c r="O679" s="170"/>
      <c r="P679" s="88" t="s">
        <v>1602</v>
      </c>
    </row>
    <row r="680" spans="1:16" x14ac:dyDescent="0.25">
      <c r="A680" s="5">
        <v>107</v>
      </c>
      <c r="B680" s="60">
        <v>102017700</v>
      </c>
      <c r="C680" s="60" t="s">
        <v>1824</v>
      </c>
      <c r="D680" s="61" t="str">
        <f t="shared" si="15"/>
        <v>102017700/0054159116</v>
      </c>
      <c r="E680" s="69" t="s">
        <v>1825</v>
      </c>
      <c r="F680" s="57" t="s">
        <v>381</v>
      </c>
      <c r="G680" s="88"/>
      <c r="H680" s="88"/>
      <c r="I680" s="72" t="s">
        <v>1701</v>
      </c>
      <c r="J680" s="88"/>
      <c r="K680" s="170"/>
      <c r="L680" s="168"/>
      <c r="M680" s="170"/>
      <c r="N680" s="170"/>
      <c r="O680" s="170"/>
      <c r="P680" s="88" t="s">
        <v>1602</v>
      </c>
    </row>
    <row r="681" spans="1:16" x14ac:dyDescent="0.25">
      <c r="A681" s="5">
        <v>108</v>
      </c>
      <c r="B681" s="60">
        <v>102017666</v>
      </c>
      <c r="C681" s="60" t="s">
        <v>1826</v>
      </c>
      <c r="D681" s="61" t="str">
        <f t="shared" si="15"/>
        <v>102017666/0058049555</v>
      </c>
      <c r="E681" s="69" t="s">
        <v>1827</v>
      </c>
      <c r="F681" s="57" t="s">
        <v>381</v>
      </c>
      <c r="G681" s="88"/>
      <c r="H681" s="88"/>
      <c r="I681" s="72" t="s">
        <v>1647</v>
      </c>
      <c r="J681" s="88"/>
      <c r="K681" s="170"/>
      <c r="L681" s="168"/>
      <c r="M681" s="170"/>
      <c r="N681" s="170"/>
      <c r="O681" s="170"/>
      <c r="P681" s="88" t="s">
        <v>1602</v>
      </c>
    </row>
    <row r="682" spans="1:16" x14ac:dyDescent="0.25">
      <c r="A682" s="5">
        <v>109</v>
      </c>
      <c r="B682" s="60">
        <v>102017667</v>
      </c>
      <c r="C682" s="60" t="s">
        <v>1828</v>
      </c>
      <c r="D682" s="61" t="str">
        <f t="shared" si="15"/>
        <v>102017667/0048542485</v>
      </c>
      <c r="E682" s="69" t="s">
        <v>1829</v>
      </c>
      <c r="F682" s="57" t="s">
        <v>381</v>
      </c>
      <c r="G682" s="88"/>
      <c r="H682" s="88"/>
      <c r="I682" s="72" t="s">
        <v>1647</v>
      </c>
      <c r="J682" s="88"/>
      <c r="K682" s="170"/>
      <c r="L682" s="168"/>
      <c r="M682" s="170"/>
      <c r="N682" s="170"/>
      <c r="O682" s="170"/>
      <c r="P682" s="88" t="s">
        <v>1602</v>
      </c>
    </row>
    <row r="683" spans="1:16" x14ac:dyDescent="0.25">
      <c r="A683" s="5">
        <v>110</v>
      </c>
      <c r="B683" s="60">
        <v>102017599</v>
      </c>
      <c r="C683" s="60" t="s">
        <v>1830</v>
      </c>
      <c r="D683" s="61" t="str">
        <f t="shared" si="15"/>
        <v>102017599/0042708140</v>
      </c>
      <c r="E683" s="75" t="s">
        <v>1831</v>
      </c>
      <c r="F683" s="57" t="s">
        <v>379</v>
      </c>
      <c r="G683" s="88"/>
      <c r="H683" s="88"/>
      <c r="I683" s="72" t="s">
        <v>1623</v>
      </c>
      <c r="J683" s="88"/>
      <c r="K683" s="170"/>
      <c r="L683" s="168"/>
      <c r="M683" s="170"/>
      <c r="N683" s="170"/>
      <c r="O683" s="170"/>
      <c r="P683" s="88" t="s">
        <v>1602</v>
      </c>
    </row>
    <row r="684" spans="1:16" x14ac:dyDescent="0.25">
      <c r="A684" s="5">
        <v>111</v>
      </c>
      <c r="B684" s="60">
        <v>102017811</v>
      </c>
      <c r="C684" s="60" t="s">
        <v>1832</v>
      </c>
      <c r="D684" s="61" t="str">
        <f t="shared" si="15"/>
        <v>102017811/0058273860</v>
      </c>
      <c r="E684" s="69" t="s">
        <v>1833</v>
      </c>
      <c r="F684" s="57" t="s">
        <v>381</v>
      </c>
      <c r="G684" s="88"/>
      <c r="H684" s="88"/>
      <c r="I684" s="72" t="s">
        <v>1618</v>
      </c>
      <c r="J684" s="88"/>
      <c r="K684" s="170"/>
      <c r="L684" s="168"/>
      <c r="M684" s="170"/>
      <c r="N684" s="170"/>
      <c r="O684" s="170"/>
      <c r="P684" s="88" t="s">
        <v>1602</v>
      </c>
    </row>
    <row r="685" spans="1:16" x14ac:dyDescent="0.25">
      <c r="A685" s="5">
        <v>112</v>
      </c>
      <c r="B685" s="60">
        <v>102017738</v>
      </c>
      <c r="C685" s="60" t="s">
        <v>1834</v>
      </c>
      <c r="D685" s="61" t="str">
        <f t="shared" si="15"/>
        <v>102017738/0053781704</v>
      </c>
      <c r="E685" s="69" t="s">
        <v>1835</v>
      </c>
      <c r="F685" s="57" t="s">
        <v>381</v>
      </c>
      <c r="G685" s="88"/>
      <c r="H685" s="88"/>
      <c r="I685" s="72" t="s">
        <v>1607</v>
      </c>
      <c r="J685" s="88"/>
      <c r="K685" s="170"/>
      <c r="L685" s="168"/>
      <c r="M685" s="170"/>
      <c r="N685" s="170"/>
      <c r="O685" s="170"/>
      <c r="P685" s="88" t="s">
        <v>1602</v>
      </c>
    </row>
    <row r="686" spans="1:16" x14ac:dyDescent="0.25">
      <c r="A686" s="5">
        <v>113</v>
      </c>
      <c r="B686" s="60">
        <v>102017701</v>
      </c>
      <c r="C686" s="60" t="s">
        <v>1836</v>
      </c>
      <c r="D686" s="61" t="str">
        <f t="shared" si="15"/>
        <v>102017701/0042469355</v>
      </c>
      <c r="E686" s="69" t="s">
        <v>1837</v>
      </c>
      <c r="F686" s="57" t="s">
        <v>381</v>
      </c>
      <c r="G686" s="88"/>
      <c r="H686" s="88"/>
      <c r="I686" s="72" t="s">
        <v>1701</v>
      </c>
      <c r="J686" s="88"/>
      <c r="K686" s="170"/>
      <c r="L686" s="168"/>
      <c r="M686" s="170"/>
      <c r="N686" s="170"/>
      <c r="O686" s="170"/>
      <c r="P686" s="88" t="s">
        <v>1602</v>
      </c>
    </row>
    <row r="687" spans="1:16" x14ac:dyDescent="0.25">
      <c r="A687" s="5">
        <v>114</v>
      </c>
      <c r="B687" s="60">
        <v>102017668</v>
      </c>
      <c r="C687" s="60" t="s">
        <v>1838</v>
      </c>
      <c r="D687" s="61" t="str">
        <f t="shared" si="15"/>
        <v>102017668/0042100995</v>
      </c>
      <c r="E687" s="69" t="s">
        <v>1839</v>
      </c>
      <c r="F687" s="57" t="s">
        <v>381</v>
      </c>
      <c r="G687" s="88"/>
      <c r="H687" s="88"/>
      <c r="I687" s="72" t="s">
        <v>1647</v>
      </c>
      <c r="J687" s="88"/>
      <c r="K687" s="170"/>
      <c r="L687" s="168"/>
      <c r="M687" s="170"/>
      <c r="N687" s="170"/>
      <c r="O687" s="170"/>
      <c r="P687" s="88" t="s">
        <v>1602</v>
      </c>
    </row>
    <row r="688" spans="1:16" x14ac:dyDescent="0.25">
      <c r="A688" s="5">
        <v>115</v>
      </c>
      <c r="B688" s="60">
        <v>102017702</v>
      </c>
      <c r="C688" s="60" t="s">
        <v>1840</v>
      </c>
      <c r="D688" s="61" t="str">
        <f t="shared" si="15"/>
        <v>102017702/0055132290</v>
      </c>
      <c r="E688" s="69" t="s">
        <v>1841</v>
      </c>
      <c r="F688" s="57" t="s">
        <v>381</v>
      </c>
      <c r="G688" s="88"/>
      <c r="H688" s="88"/>
      <c r="I688" s="72" t="s">
        <v>1701</v>
      </c>
      <c r="J688" s="88"/>
      <c r="K688" s="170"/>
      <c r="L688" s="168"/>
      <c r="M688" s="170"/>
      <c r="N688" s="170"/>
      <c r="O688" s="170"/>
      <c r="P688" s="88" t="s">
        <v>1602</v>
      </c>
    </row>
    <row r="689" spans="1:16" x14ac:dyDescent="0.25">
      <c r="A689" s="5">
        <v>116</v>
      </c>
      <c r="B689" s="60">
        <v>102017600</v>
      </c>
      <c r="C689" s="60" t="s">
        <v>1842</v>
      </c>
      <c r="D689" s="61" t="str">
        <f t="shared" si="15"/>
        <v>102017600/0044092347</v>
      </c>
      <c r="E689" s="75" t="s">
        <v>1843</v>
      </c>
      <c r="F689" s="57" t="s">
        <v>379</v>
      </c>
      <c r="G689" s="88"/>
      <c r="H689" s="88"/>
      <c r="I689" s="72" t="s">
        <v>1623</v>
      </c>
      <c r="J689" s="88"/>
      <c r="K689" s="170"/>
      <c r="L689" s="168"/>
      <c r="M689" s="170"/>
      <c r="N689" s="170"/>
      <c r="O689" s="170"/>
      <c r="P689" s="88" t="s">
        <v>1602</v>
      </c>
    </row>
    <row r="690" spans="1:16" x14ac:dyDescent="0.25">
      <c r="A690" s="5">
        <v>117</v>
      </c>
      <c r="B690" s="60">
        <v>102017703</v>
      </c>
      <c r="C690" s="60" t="s">
        <v>1844</v>
      </c>
      <c r="D690" s="61" t="str">
        <f t="shared" si="15"/>
        <v>102017703/0054553806</v>
      </c>
      <c r="E690" s="69" t="s">
        <v>1845</v>
      </c>
      <c r="F690" s="57" t="s">
        <v>381</v>
      </c>
      <c r="G690" s="88"/>
      <c r="H690" s="88"/>
      <c r="I690" s="72" t="s">
        <v>1701</v>
      </c>
      <c r="J690" s="88"/>
      <c r="K690" s="170"/>
      <c r="L690" s="168"/>
      <c r="M690" s="170"/>
      <c r="N690" s="170"/>
      <c r="O690" s="170"/>
      <c r="P690" s="88" t="s">
        <v>1602</v>
      </c>
    </row>
    <row r="691" spans="1:16" x14ac:dyDescent="0.25">
      <c r="A691" s="5">
        <v>118</v>
      </c>
      <c r="B691" s="60">
        <v>102017630</v>
      </c>
      <c r="C691" s="60" t="s">
        <v>1846</v>
      </c>
      <c r="D691" s="61" t="str">
        <f t="shared" si="15"/>
        <v>102017630/0046855450</v>
      </c>
      <c r="E691" s="69" t="s">
        <v>1847</v>
      </c>
      <c r="F691" s="57" t="s">
        <v>381</v>
      </c>
      <c r="G691" s="88"/>
      <c r="H691" s="88"/>
      <c r="I691" s="72" t="s">
        <v>1637</v>
      </c>
      <c r="J691" s="88"/>
      <c r="K691" s="170"/>
      <c r="L691" s="168"/>
      <c r="M691" s="170"/>
      <c r="N691" s="170"/>
      <c r="O691" s="170"/>
      <c r="P691" s="88" t="s">
        <v>1602</v>
      </c>
    </row>
    <row r="692" spans="1:16" x14ac:dyDescent="0.25">
      <c r="A692" s="5">
        <v>119</v>
      </c>
      <c r="B692" s="60">
        <v>101917242</v>
      </c>
      <c r="C692" s="131" t="s">
        <v>1848</v>
      </c>
      <c r="D692" s="61" t="str">
        <f t="shared" si="15"/>
        <v>101917242/0039524354</v>
      </c>
      <c r="E692" s="69" t="s">
        <v>1849</v>
      </c>
      <c r="F692" s="57" t="s">
        <v>381</v>
      </c>
      <c r="G692" s="88"/>
      <c r="H692" s="88"/>
      <c r="I692" s="72" t="s">
        <v>1607</v>
      </c>
      <c r="J692" s="88"/>
      <c r="K692" s="170"/>
      <c r="L692" s="168"/>
      <c r="M692" s="170"/>
      <c r="N692" s="170"/>
      <c r="O692" s="170"/>
      <c r="P692" s="88" t="s">
        <v>1602</v>
      </c>
    </row>
    <row r="693" spans="1:16" x14ac:dyDescent="0.25">
      <c r="A693" s="5">
        <v>120</v>
      </c>
      <c r="B693" s="60">
        <v>102017669</v>
      </c>
      <c r="C693" s="60" t="s">
        <v>1850</v>
      </c>
      <c r="D693" s="61" t="str">
        <f t="shared" si="15"/>
        <v>102017669/0048129890</v>
      </c>
      <c r="E693" s="69" t="s">
        <v>1851</v>
      </c>
      <c r="F693" s="57" t="s">
        <v>381</v>
      </c>
      <c r="G693" s="88"/>
      <c r="H693" s="88"/>
      <c r="I693" s="72" t="s">
        <v>1647</v>
      </c>
      <c r="J693" s="88"/>
      <c r="K693" s="170"/>
      <c r="L693" s="168"/>
      <c r="M693" s="170"/>
      <c r="N693" s="170"/>
      <c r="O693" s="170"/>
      <c r="P693" s="88" t="s">
        <v>1602</v>
      </c>
    </row>
    <row r="694" spans="1:16" x14ac:dyDescent="0.25">
      <c r="A694" s="5">
        <v>121</v>
      </c>
      <c r="B694" s="60">
        <v>102017601</v>
      </c>
      <c r="C694" s="60" t="s">
        <v>1852</v>
      </c>
      <c r="D694" s="61" t="str">
        <f t="shared" si="15"/>
        <v>102017601/0053178352</v>
      </c>
      <c r="E694" s="75" t="s">
        <v>1853</v>
      </c>
      <c r="F694" s="57" t="s">
        <v>379</v>
      </c>
      <c r="G694" s="88"/>
      <c r="H694" s="88"/>
      <c r="I694" s="72" t="s">
        <v>1623</v>
      </c>
      <c r="J694" s="88"/>
      <c r="K694" s="170"/>
      <c r="L694" s="168"/>
      <c r="M694" s="170"/>
      <c r="N694" s="170"/>
      <c r="O694" s="170"/>
      <c r="P694" s="88" t="s">
        <v>1602</v>
      </c>
    </row>
    <row r="695" spans="1:16" x14ac:dyDescent="0.25">
      <c r="A695" s="5">
        <v>122</v>
      </c>
      <c r="B695" s="60">
        <v>102017739</v>
      </c>
      <c r="C695" s="60" t="s">
        <v>1854</v>
      </c>
      <c r="D695" s="61" t="str">
        <f t="shared" si="15"/>
        <v>102017739/0056701731</v>
      </c>
      <c r="E695" s="69" t="s">
        <v>1855</v>
      </c>
      <c r="F695" s="57" t="s">
        <v>381</v>
      </c>
      <c r="G695" s="88"/>
      <c r="H695" s="88"/>
      <c r="I695" s="72" t="s">
        <v>1607</v>
      </c>
      <c r="J695" s="88"/>
      <c r="K695" s="170"/>
      <c r="L695" s="168"/>
      <c r="M695" s="170"/>
      <c r="N695" s="170"/>
      <c r="O695" s="170"/>
      <c r="P695" s="88" t="s">
        <v>1602</v>
      </c>
    </row>
    <row r="696" spans="1:16" x14ac:dyDescent="0.25">
      <c r="A696" s="5">
        <v>123</v>
      </c>
      <c r="B696" s="60">
        <v>102017772</v>
      </c>
      <c r="C696" s="60" t="s">
        <v>1856</v>
      </c>
      <c r="D696" s="61" t="str">
        <f t="shared" si="15"/>
        <v>102017772/0041828565</v>
      </c>
      <c r="E696" s="69" t="s">
        <v>1857</v>
      </c>
      <c r="F696" s="57" t="s">
        <v>379</v>
      </c>
      <c r="G696" s="88"/>
      <c r="H696" s="88"/>
      <c r="I696" s="72" t="s">
        <v>1644</v>
      </c>
      <c r="J696" s="88"/>
      <c r="K696" s="170"/>
      <c r="L696" s="168"/>
      <c r="M696" s="170"/>
      <c r="N696" s="170"/>
      <c r="O696" s="170"/>
      <c r="P696" s="88" t="s">
        <v>1602</v>
      </c>
    </row>
    <row r="697" spans="1:16" x14ac:dyDescent="0.25">
      <c r="A697" s="5">
        <v>124</v>
      </c>
      <c r="B697" s="60">
        <v>102017774</v>
      </c>
      <c r="C697" s="60" t="s">
        <v>1858</v>
      </c>
      <c r="D697" s="61" t="str">
        <f t="shared" si="15"/>
        <v>102017774/0041080662</v>
      </c>
      <c r="E697" s="69" t="s">
        <v>1859</v>
      </c>
      <c r="F697" s="57" t="s">
        <v>381</v>
      </c>
      <c r="G697" s="88"/>
      <c r="H697" s="88"/>
      <c r="I697" s="72" t="s">
        <v>1644</v>
      </c>
      <c r="J697" s="88"/>
      <c r="K697" s="170"/>
      <c r="L697" s="168"/>
      <c r="M697" s="170"/>
      <c r="N697" s="170"/>
      <c r="O697" s="170"/>
      <c r="P697" s="88" t="s">
        <v>1602</v>
      </c>
    </row>
    <row r="698" spans="1:16" x14ac:dyDescent="0.25">
      <c r="A698" s="5">
        <v>125</v>
      </c>
      <c r="B698" s="60">
        <v>102017602</v>
      </c>
      <c r="C698" s="60" t="s">
        <v>1860</v>
      </c>
      <c r="D698" s="61" t="str">
        <f t="shared" si="15"/>
        <v>102017602/0054368657</v>
      </c>
      <c r="E698" s="75" t="s">
        <v>1861</v>
      </c>
      <c r="F698" s="57" t="s">
        <v>379</v>
      </c>
      <c r="G698" s="88"/>
      <c r="H698" s="88"/>
      <c r="I698" s="72" t="s">
        <v>1623</v>
      </c>
      <c r="J698" s="88"/>
      <c r="K698" s="170"/>
      <c r="L698" s="168"/>
      <c r="M698" s="170"/>
      <c r="N698" s="170"/>
      <c r="O698" s="170"/>
      <c r="P698" s="88" t="s">
        <v>1602</v>
      </c>
    </row>
    <row r="699" spans="1:16" x14ac:dyDescent="0.25">
      <c r="A699" s="5">
        <v>126</v>
      </c>
      <c r="B699" s="60">
        <v>102017603</v>
      </c>
      <c r="C699" s="62" t="s">
        <v>1862</v>
      </c>
      <c r="D699" s="61" t="str">
        <f t="shared" si="15"/>
        <v>102017603/0048164306</v>
      </c>
      <c r="E699" s="73" t="s">
        <v>1863</v>
      </c>
      <c r="F699" s="57" t="s">
        <v>381</v>
      </c>
      <c r="G699" s="88"/>
      <c r="H699" s="88"/>
      <c r="I699" s="72" t="s">
        <v>1623</v>
      </c>
      <c r="J699" s="88"/>
      <c r="K699" s="170"/>
      <c r="L699" s="168"/>
      <c r="M699" s="170"/>
      <c r="N699" s="170"/>
      <c r="O699" s="170"/>
      <c r="P699" s="88" t="s">
        <v>1602</v>
      </c>
    </row>
    <row r="700" spans="1:16" x14ac:dyDescent="0.25">
      <c r="A700" s="5">
        <v>127</v>
      </c>
      <c r="B700" s="60">
        <v>102017604</v>
      </c>
      <c r="C700" s="62" t="s">
        <v>1864</v>
      </c>
      <c r="D700" s="61" t="str">
        <f t="shared" si="15"/>
        <v>102017604/3040788393</v>
      </c>
      <c r="E700" s="73" t="s">
        <v>1865</v>
      </c>
      <c r="F700" s="57" t="s">
        <v>381</v>
      </c>
      <c r="G700" s="88"/>
      <c r="H700" s="88"/>
      <c r="I700" s="72" t="s">
        <v>1623</v>
      </c>
      <c r="J700" s="88"/>
      <c r="K700" s="170"/>
      <c r="L700" s="168"/>
      <c r="M700" s="170"/>
      <c r="N700" s="170"/>
      <c r="O700" s="170"/>
      <c r="P700" s="88" t="s">
        <v>1602</v>
      </c>
    </row>
    <row r="701" spans="1:16" x14ac:dyDescent="0.25">
      <c r="A701" s="5">
        <v>128</v>
      </c>
      <c r="B701" s="60">
        <v>102017921</v>
      </c>
      <c r="C701" s="64" t="s">
        <v>1866</v>
      </c>
      <c r="D701" s="61" t="str">
        <f t="shared" si="15"/>
        <v>102017921/0057474636</v>
      </c>
      <c r="E701" s="69" t="s">
        <v>1867</v>
      </c>
      <c r="F701" s="57" t="s">
        <v>379</v>
      </c>
      <c r="G701" s="88"/>
      <c r="H701" s="88"/>
      <c r="I701" s="72" t="s">
        <v>1615</v>
      </c>
      <c r="J701" s="88"/>
      <c r="K701" s="170"/>
      <c r="L701" s="168"/>
      <c r="M701" s="170"/>
      <c r="N701" s="170"/>
      <c r="O701" s="170"/>
      <c r="P701" s="88" t="s">
        <v>1602</v>
      </c>
    </row>
    <row r="702" spans="1:16" x14ac:dyDescent="0.25">
      <c r="A702" s="5">
        <v>129</v>
      </c>
      <c r="B702" s="60">
        <v>102017812</v>
      </c>
      <c r="C702" s="62" t="s">
        <v>1868</v>
      </c>
      <c r="D702" s="61" t="str">
        <f t="shared" ref="D702:D765" si="16">B702&amp;"/"&amp;C702</f>
        <v>102017812/0067118702</v>
      </c>
      <c r="E702" s="69" t="s">
        <v>1869</v>
      </c>
      <c r="F702" s="57" t="s">
        <v>379</v>
      </c>
      <c r="G702" s="88"/>
      <c r="H702" s="88"/>
      <c r="I702" s="72" t="s">
        <v>1618</v>
      </c>
      <c r="J702" s="88"/>
      <c r="K702" s="170"/>
      <c r="L702" s="168"/>
      <c r="M702" s="170"/>
      <c r="N702" s="170"/>
      <c r="O702" s="170"/>
      <c r="P702" s="88" t="s">
        <v>1602</v>
      </c>
    </row>
    <row r="703" spans="1:16" x14ac:dyDescent="0.25">
      <c r="A703" s="5">
        <v>130</v>
      </c>
      <c r="B703" s="60">
        <v>102017922</v>
      </c>
      <c r="C703" s="63" t="s">
        <v>1870</v>
      </c>
      <c r="D703" s="61" t="str">
        <f t="shared" si="16"/>
        <v>102017922/0058737815</v>
      </c>
      <c r="E703" s="69" t="s">
        <v>1871</v>
      </c>
      <c r="F703" s="57" t="s">
        <v>381</v>
      </c>
      <c r="G703" s="88"/>
      <c r="H703" s="88"/>
      <c r="I703" s="72" t="s">
        <v>1615</v>
      </c>
      <c r="J703" s="88"/>
      <c r="K703" s="170"/>
      <c r="L703" s="168"/>
      <c r="M703" s="170"/>
      <c r="N703" s="170"/>
      <c r="O703" s="170"/>
      <c r="P703" s="88" t="s">
        <v>1602</v>
      </c>
    </row>
    <row r="704" spans="1:16" x14ac:dyDescent="0.25">
      <c r="A704" s="5">
        <v>131</v>
      </c>
      <c r="B704" s="60">
        <v>102017631</v>
      </c>
      <c r="C704" s="60" t="s">
        <v>1872</v>
      </c>
      <c r="D704" s="61" t="str">
        <f t="shared" si="16"/>
        <v>102017631/0044878131</v>
      </c>
      <c r="E704" s="69" t="s">
        <v>1873</v>
      </c>
      <c r="F704" s="57" t="s">
        <v>381</v>
      </c>
      <c r="G704" s="88"/>
      <c r="H704" s="88"/>
      <c r="I704" s="72" t="s">
        <v>1637</v>
      </c>
      <c r="J704" s="88"/>
      <c r="K704" s="170"/>
      <c r="L704" s="168"/>
      <c r="M704" s="170"/>
      <c r="N704" s="170"/>
      <c r="O704" s="170"/>
      <c r="P704" s="88" t="s">
        <v>1602</v>
      </c>
    </row>
    <row r="705" spans="1:16" x14ac:dyDescent="0.25">
      <c r="A705" s="5">
        <v>132</v>
      </c>
      <c r="B705" s="60">
        <v>102017923</v>
      </c>
      <c r="C705" s="63" t="s">
        <v>1874</v>
      </c>
      <c r="D705" s="61" t="str">
        <f t="shared" si="16"/>
        <v>102017923/0019555949</v>
      </c>
      <c r="E705" s="69" t="s">
        <v>1875</v>
      </c>
      <c r="F705" s="57" t="s">
        <v>381</v>
      </c>
      <c r="G705" s="88"/>
      <c r="H705" s="88"/>
      <c r="I705" s="72" t="s">
        <v>1615</v>
      </c>
      <c r="J705" s="88"/>
      <c r="K705" s="170"/>
      <c r="L705" s="168"/>
      <c r="M705" s="170"/>
      <c r="N705" s="170"/>
      <c r="O705" s="170"/>
      <c r="P705" s="88" t="s">
        <v>1602</v>
      </c>
    </row>
    <row r="706" spans="1:16" x14ac:dyDescent="0.25">
      <c r="A706" s="5">
        <v>133</v>
      </c>
      <c r="B706" s="60">
        <v>102017605</v>
      </c>
      <c r="C706" s="62" t="s">
        <v>1876</v>
      </c>
      <c r="D706" s="61" t="str">
        <f t="shared" si="16"/>
        <v>102017605/0059838872</v>
      </c>
      <c r="E706" s="73" t="s">
        <v>1877</v>
      </c>
      <c r="F706" s="57" t="s">
        <v>381</v>
      </c>
      <c r="G706" s="88"/>
      <c r="H706" s="88"/>
      <c r="I706" s="72" t="s">
        <v>1623</v>
      </c>
      <c r="J706" s="88"/>
      <c r="K706" s="170"/>
      <c r="L706" s="168"/>
      <c r="M706" s="170"/>
      <c r="N706" s="170"/>
      <c r="O706" s="170"/>
      <c r="P706" s="88" t="s">
        <v>1602</v>
      </c>
    </row>
    <row r="707" spans="1:16" x14ac:dyDescent="0.25">
      <c r="A707" s="5">
        <v>134</v>
      </c>
      <c r="B707" s="60">
        <v>102017924</v>
      </c>
      <c r="C707" s="64" t="s">
        <v>1878</v>
      </c>
      <c r="D707" s="61" t="str">
        <f t="shared" si="16"/>
        <v>102017924/0046122975</v>
      </c>
      <c r="E707" s="69" t="s">
        <v>1879</v>
      </c>
      <c r="F707" s="57" t="s">
        <v>379</v>
      </c>
      <c r="G707" s="88"/>
      <c r="H707" s="88"/>
      <c r="I707" s="72" t="s">
        <v>1615</v>
      </c>
      <c r="J707" s="88"/>
      <c r="K707" s="170"/>
      <c r="L707" s="168"/>
      <c r="M707" s="170"/>
      <c r="N707" s="170"/>
      <c r="O707" s="170"/>
      <c r="P707" s="88" t="s">
        <v>1602</v>
      </c>
    </row>
    <row r="708" spans="1:16" x14ac:dyDescent="0.25">
      <c r="A708" s="5">
        <v>135</v>
      </c>
      <c r="B708" s="60">
        <v>102017925</v>
      </c>
      <c r="C708" s="63" t="s">
        <v>1880</v>
      </c>
      <c r="D708" s="61" t="str">
        <f t="shared" si="16"/>
        <v>102017925/0057135942</v>
      </c>
      <c r="E708" s="69" t="s">
        <v>1881</v>
      </c>
      <c r="F708" s="57" t="s">
        <v>379</v>
      </c>
      <c r="G708" s="88"/>
      <c r="H708" s="88"/>
      <c r="I708" s="72" t="s">
        <v>1615</v>
      </c>
      <c r="J708" s="88"/>
      <c r="K708" s="170"/>
      <c r="L708" s="168"/>
      <c r="M708" s="170"/>
      <c r="N708" s="170"/>
      <c r="O708" s="170"/>
      <c r="P708" s="88" t="s">
        <v>1602</v>
      </c>
    </row>
    <row r="709" spans="1:16" x14ac:dyDescent="0.25">
      <c r="A709" s="5">
        <v>136</v>
      </c>
      <c r="B709" s="60">
        <v>102017813</v>
      </c>
      <c r="C709" s="60" t="s">
        <v>1882</v>
      </c>
      <c r="D709" s="61" t="str">
        <f t="shared" si="16"/>
        <v>102017813/0043046984</v>
      </c>
      <c r="E709" s="69" t="s">
        <v>1883</v>
      </c>
      <c r="F709" s="57" t="s">
        <v>381</v>
      </c>
      <c r="G709" s="88"/>
      <c r="H709" s="88"/>
      <c r="I709" s="72" t="s">
        <v>1618</v>
      </c>
      <c r="J709" s="88"/>
      <c r="K709" s="170"/>
      <c r="L709" s="168"/>
      <c r="M709" s="170"/>
      <c r="N709" s="170"/>
      <c r="O709" s="170"/>
      <c r="P709" s="88" t="s">
        <v>1602</v>
      </c>
    </row>
    <row r="710" spans="1:16" x14ac:dyDescent="0.25">
      <c r="A710" s="5">
        <v>137</v>
      </c>
      <c r="B710" s="60">
        <v>102017814</v>
      </c>
      <c r="C710" s="60" t="s">
        <v>1884</v>
      </c>
      <c r="D710" s="61" t="str">
        <f t="shared" si="16"/>
        <v>102017814/0047078115</v>
      </c>
      <c r="E710" s="69" t="s">
        <v>1885</v>
      </c>
      <c r="F710" s="57" t="s">
        <v>379</v>
      </c>
      <c r="G710" s="88"/>
      <c r="H710" s="88"/>
      <c r="I710" s="72" t="s">
        <v>1618</v>
      </c>
      <c r="J710" s="88"/>
      <c r="K710" s="170"/>
      <c r="L710" s="168"/>
      <c r="M710" s="170"/>
      <c r="N710" s="170"/>
      <c r="O710" s="170"/>
      <c r="P710" s="88" t="s">
        <v>1602</v>
      </c>
    </row>
    <row r="711" spans="1:16" x14ac:dyDescent="0.25">
      <c r="A711" s="5">
        <v>138</v>
      </c>
      <c r="B711" s="60">
        <v>102017815</v>
      </c>
      <c r="C711" s="60">
        <v>3049741044</v>
      </c>
      <c r="D711" s="61" t="str">
        <f t="shared" si="16"/>
        <v>102017815/3049741044</v>
      </c>
      <c r="E711" s="69" t="s">
        <v>1886</v>
      </c>
      <c r="F711" s="76" t="s">
        <v>379</v>
      </c>
      <c r="G711" s="88"/>
      <c r="H711" s="88"/>
      <c r="I711" s="72" t="s">
        <v>1618</v>
      </c>
      <c r="J711" s="88"/>
      <c r="K711" s="170"/>
      <c r="L711" s="168"/>
      <c r="M711" s="170"/>
      <c r="N711" s="170"/>
      <c r="O711" s="170"/>
      <c r="P711" s="88" t="s">
        <v>1602</v>
      </c>
    </row>
    <row r="712" spans="1:16" x14ac:dyDescent="0.25">
      <c r="A712" s="5">
        <v>139</v>
      </c>
      <c r="B712" s="60">
        <v>102017704</v>
      </c>
      <c r="C712" s="60" t="s">
        <v>1887</v>
      </c>
      <c r="D712" s="61" t="str">
        <f t="shared" si="16"/>
        <v>102017704/0063199663</v>
      </c>
      <c r="E712" s="69" t="s">
        <v>1888</v>
      </c>
      <c r="F712" s="57" t="s">
        <v>381</v>
      </c>
      <c r="G712" s="88"/>
      <c r="H712" s="88"/>
      <c r="I712" s="72" t="s">
        <v>1701</v>
      </c>
      <c r="J712" s="88"/>
      <c r="K712" s="170"/>
      <c r="L712" s="168"/>
      <c r="M712" s="170"/>
      <c r="N712" s="170"/>
      <c r="O712" s="170"/>
      <c r="P712" s="88" t="s">
        <v>1602</v>
      </c>
    </row>
    <row r="713" spans="1:16" x14ac:dyDescent="0.25">
      <c r="A713" s="5">
        <v>140</v>
      </c>
      <c r="B713" s="60">
        <v>102017884</v>
      </c>
      <c r="C713" s="136" t="s">
        <v>1889</v>
      </c>
      <c r="D713" s="61" t="str">
        <f t="shared" si="16"/>
        <v>102017884/0052060826</v>
      </c>
      <c r="E713" s="69" t="s">
        <v>1890</v>
      </c>
      <c r="F713" s="57" t="s">
        <v>379</v>
      </c>
      <c r="G713" s="88"/>
      <c r="H713" s="88"/>
      <c r="I713" s="72" t="s">
        <v>1630</v>
      </c>
      <c r="J713" s="88"/>
      <c r="K713" s="170"/>
      <c r="L713" s="168"/>
      <c r="M713" s="170"/>
      <c r="N713" s="170"/>
      <c r="O713" s="170"/>
      <c r="P713" s="88" t="s">
        <v>1602</v>
      </c>
    </row>
    <row r="714" spans="1:16" x14ac:dyDescent="0.25">
      <c r="A714" s="5">
        <v>141</v>
      </c>
      <c r="B714" s="60">
        <v>102017705</v>
      </c>
      <c r="C714" s="60" t="s">
        <v>1891</v>
      </c>
      <c r="D714" s="61" t="str">
        <f t="shared" si="16"/>
        <v>102017705/0054731148</v>
      </c>
      <c r="E714" s="69" t="s">
        <v>1892</v>
      </c>
      <c r="F714" s="57" t="s">
        <v>379</v>
      </c>
      <c r="G714" s="88"/>
      <c r="H714" s="88"/>
      <c r="I714" s="72" t="s">
        <v>1701</v>
      </c>
      <c r="J714" s="88"/>
      <c r="K714" s="170"/>
      <c r="L714" s="168"/>
      <c r="M714" s="170"/>
      <c r="N714" s="170"/>
      <c r="O714" s="170"/>
      <c r="P714" s="88" t="s">
        <v>1602</v>
      </c>
    </row>
    <row r="715" spans="1:16" x14ac:dyDescent="0.25">
      <c r="A715" s="5">
        <v>142</v>
      </c>
      <c r="B715" s="60">
        <v>102017606</v>
      </c>
      <c r="C715" s="62" t="s">
        <v>1893</v>
      </c>
      <c r="D715" s="61" t="str">
        <f t="shared" si="16"/>
        <v>102017606/0056045368</v>
      </c>
      <c r="E715" s="73" t="s">
        <v>1894</v>
      </c>
      <c r="F715" s="57" t="s">
        <v>381</v>
      </c>
      <c r="G715" s="88"/>
      <c r="H715" s="88"/>
      <c r="I715" s="72" t="s">
        <v>1623</v>
      </c>
      <c r="J715" s="88"/>
      <c r="K715" s="170"/>
      <c r="L715" s="168"/>
      <c r="M715" s="170"/>
      <c r="N715" s="170"/>
      <c r="O715" s="170"/>
      <c r="P715" s="88" t="s">
        <v>1602</v>
      </c>
    </row>
    <row r="716" spans="1:16" x14ac:dyDescent="0.25">
      <c r="A716" s="5">
        <v>143</v>
      </c>
      <c r="B716" s="60">
        <v>102017670</v>
      </c>
      <c r="C716" s="60" t="s">
        <v>1895</v>
      </c>
      <c r="D716" s="61" t="str">
        <f t="shared" si="16"/>
        <v>102017670/0052478861</v>
      </c>
      <c r="E716" s="69" t="s">
        <v>1896</v>
      </c>
      <c r="F716" s="57" t="s">
        <v>381</v>
      </c>
      <c r="G716" s="88"/>
      <c r="H716" s="88"/>
      <c r="I716" s="72" t="s">
        <v>1647</v>
      </c>
      <c r="J716" s="88"/>
      <c r="K716" s="170"/>
      <c r="L716" s="168"/>
      <c r="M716" s="170"/>
      <c r="N716" s="170"/>
      <c r="O716" s="170"/>
      <c r="P716" s="88" t="s">
        <v>1602</v>
      </c>
    </row>
    <row r="717" spans="1:16" x14ac:dyDescent="0.25">
      <c r="A717" s="5">
        <v>144</v>
      </c>
      <c r="B717" s="60">
        <v>102017632</v>
      </c>
      <c r="C717" s="62" t="s">
        <v>1897</v>
      </c>
      <c r="D717" s="61" t="str">
        <f t="shared" si="16"/>
        <v>102017632/0042885452</v>
      </c>
      <c r="E717" s="69" t="s">
        <v>1898</v>
      </c>
      <c r="F717" s="57" t="s">
        <v>379</v>
      </c>
      <c r="G717" s="88"/>
      <c r="H717" s="88"/>
      <c r="I717" s="72" t="s">
        <v>1637</v>
      </c>
      <c r="J717" s="88"/>
      <c r="K717" s="170"/>
      <c r="L717" s="168"/>
      <c r="M717" s="170"/>
      <c r="N717" s="170"/>
      <c r="O717" s="170"/>
      <c r="P717" s="88" t="s">
        <v>1602</v>
      </c>
    </row>
    <row r="718" spans="1:16" x14ac:dyDescent="0.25">
      <c r="A718" s="5">
        <v>145</v>
      </c>
      <c r="B718" s="60">
        <v>102017671</v>
      </c>
      <c r="C718" s="60" t="s">
        <v>1899</v>
      </c>
      <c r="D718" s="61" t="str">
        <f t="shared" si="16"/>
        <v>102017671/0057130543</v>
      </c>
      <c r="E718" s="69" t="s">
        <v>1900</v>
      </c>
      <c r="F718" s="57" t="s">
        <v>381</v>
      </c>
      <c r="G718" s="88"/>
      <c r="H718" s="88"/>
      <c r="I718" s="72" t="s">
        <v>1647</v>
      </c>
      <c r="J718" s="88"/>
      <c r="K718" s="170"/>
      <c r="L718" s="168"/>
      <c r="M718" s="170"/>
      <c r="N718" s="170"/>
      <c r="O718" s="170"/>
      <c r="P718" s="88" t="s">
        <v>1602</v>
      </c>
    </row>
    <row r="719" spans="1:16" x14ac:dyDescent="0.25">
      <c r="A719" s="5">
        <v>146</v>
      </c>
      <c r="B719" s="60">
        <v>102017740</v>
      </c>
      <c r="C719" s="60" t="s">
        <v>1901</v>
      </c>
      <c r="D719" s="61" t="str">
        <f t="shared" si="16"/>
        <v>102017740/0053562330</v>
      </c>
      <c r="E719" s="69" t="s">
        <v>1902</v>
      </c>
      <c r="F719" s="57" t="s">
        <v>381</v>
      </c>
      <c r="G719" s="88"/>
      <c r="H719" s="88"/>
      <c r="I719" s="72" t="s">
        <v>1607</v>
      </c>
      <c r="J719" s="88"/>
      <c r="K719" s="170"/>
      <c r="L719" s="168"/>
      <c r="M719" s="170"/>
      <c r="N719" s="170"/>
      <c r="O719" s="170"/>
      <c r="P719" s="88" t="s">
        <v>1602</v>
      </c>
    </row>
    <row r="720" spans="1:16" x14ac:dyDescent="0.25">
      <c r="A720" s="5">
        <v>147</v>
      </c>
      <c r="B720" s="60">
        <v>102017847</v>
      </c>
      <c r="C720" s="63" t="s">
        <v>1903</v>
      </c>
      <c r="D720" s="61" t="str">
        <f t="shared" si="16"/>
        <v>102017847/0045739863</v>
      </c>
      <c r="E720" s="69" t="s">
        <v>1904</v>
      </c>
      <c r="F720" s="57" t="s">
        <v>379</v>
      </c>
      <c r="G720" s="88"/>
      <c r="H720" s="88"/>
      <c r="I720" s="72" t="s">
        <v>1612</v>
      </c>
      <c r="J720" s="88"/>
      <c r="K720" s="170"/>
      <c r="L720" s="168"/>
      <c r="M720" s="170"/>
      <c r="N720" s="170"/>
      <c r="O720" s="170"/>
      <c r="P720" s="88" t="s">
        <v>1602</v>
      </c>
    </row>
    <row r="721" spans="1:16" x14ac:dyDescent="0.25">
      <c r="A721" s="5">
        <v>148</v>
      </c>
      <c r="B721" s="60">
        <v>102017816</v>
      </c>
      <c r="C721" s="60" t="s">
        <v>1905</v>
      </c>
      <c r="D721" s="61" t="str">
        <f t="shared" si="16"/>
        <v>102017816/0058032931</v>
      </c>
      <c r="E721" s="69" t="s">
        <v>1906</v>
      </c>
      <c r="F721" s="57" t="s">
        <v>381</v>
      </c>
      <c r="G721" s="88"/>
      <c r="H721" s="88"/>
      <c r="I721" s="72" t="s">
        <v>1618</v>
      </c>
      <c r="J721" s="88"/>
      <c r="K721" s="170"/>
      <c r="L721" s="168"/>
      <c r="M721" s="170"/>
      <c r="N721" s="170"/>
      <c r="O721" s="170"/>
      <c r="P721" s="88" t="s">
        <v>1602</v>
      </c>
    </row>
    <row r="722" spans="1:16" x14ac:dyDescent="0.25">
      <c r="A722" s="5">
        <v>149</v>
      </c>
      <c r="B722" s="60">
        <v>102017926</v>
      </c>
      <c r="C722" s="63" t="s">
        <v>1907</v>
      </c>
      <c r="D722" s="61" t="str">
        <f t="shared" si="16"/>
        <v>102017926/0051012284</v>
      </c>
      <c r="E722" s="69" t="s">
        <v>1908</v>
      </c>
      <c r="F722" s="57" t="s">
        <v>381</v>
      </c>
      <c r="G722" s="88"/>
      <c r="H722" s="88"/>
      <c r="I722" s="72" t="s">
        <v>1615</v>
      </c>
      <c r="J722" s="88"/>
      <c r="K722" s="170"/>
      <c r="L722" s="168"/>
      <c r="M722" s="170"/>
      <c r="N722" s="170"/>
      <c r="O722" s="170"/>
      <c r="P722" s="88" t="s">
        <v>1602</v>
      </c>
    </row>
    <row r="723" spans="1:16" x14ac:dyDescent="0.25">
      <c r="A723" s="5">
        <v>150</v>
      </c>
      <c r="B723" s="60">
        <v>102017848</v>
      </c>
      <c r="C723" s="63" t="s">
        <v>1909</v>
      </c>
      <c r="D723" s="61" t="str">
        <f t="shared" si="16"/>
        <v>102017848/0046709580</v>
      </c>
      <c r="E723" s="69" t="s">
        <v>1910</v>
      </c>
      <c r="F723" s="57" t="s">
        <v>379</v>
      </c>
      <c r="G723" s="88"/>
      <c r="H723" s="88"/>
      <c r="I723" s="72" t="s">
        <v>1612</v>
      </c>
      <c r="J723" s="88"/>
      <c r="K723" s="170"/>
      <c r="L723" s="168"/>
      <c r="M723" s="170"/>
      <c r="N723" s="170"/>
      <c r="O723" s="170"/>
      <c r="P723" s="88" t="s">
        <v>1602</v>
      </c>
    </row>
    <row r="724" spans="1:16" x14ac:dyDescent="0.25">
      <c r="A724" s="5">
        <v>151</v>
      </c>
      <c r="B724" s="60">
        <v>102017607</v>
      </c>
      <c r="C724" s="62" t="s">
        <v>1911</v>
      </c>
      <c r="D724" s="61" t="str">
        <f t="shared" si="16"/>
        <v>102017607/0048777370</v>
      </c>
      <c r="E724" s="73" t="s">
        <v>1912</v>
      </c>
      <c r="F724" s="57" t="s">
        <v>381</v>
      </c>
      <c r="G724" s="88"/>
      <c r="H724" s="88"/>
      <c r="I724" s="72" t="s">
        <v>1623</v>
      </c>
      <c r="J724" s="88"/>
      <c r="K724" s="170"/>
      <c r="L724" s="168"/>
      <c r="M724" s="170"/>
      <c r="N724" s="170"/>
      <c r="O724" s="170"/>
      <c r="P724" s="88" t="s">
        <v>1602</v>
      </c>
    </row>
    <row r="725" spans="1:16" x14ac:dyDescent="0.25">
      <c r="A725" s="5">
        <v>152</v>
      </c>
      <c r="B725" s="60">
        <v>102017927</v>
      </c>
      <c r="C725" s="63" t="s">
        <v>1913</v>
      </c>
      <c r="D725" s="61" t="str">
        <f t="shared" si="16"/>
        <v>102017927/0055164557</v>
      </c>
      <c r="E725" s="69" t="s">
        <v>1914</v>
      </c>
      <c r="F725" s="57" t="s">
        <v>379</v>
      </c>
      <c r="G725" s="88"/>
      <c r="H725" s="88"/>
      <c r="I725" s="72" t="s">
        <v>1615</v>
      </c>
      <c r="J725" s="88"/>
      <c r="K725" s="170"/>
      <c r="L725" s="168"/>
      <c r="M725" s="170"/>
      <c r="N725" s="170"/>
      <c r="O725" s="170"/>
      <c r="P725" s="88" t="s">
        <v>1602</v>
      </c>
    </row>
    <row r="726" spans="1:16" x14ac:dyDescent="0.25">
      <c r="A726" s="5">
        <v>153</v>
      </c>
      <c r="B726" s="60">
        <v>102017706</v>
      </c>
      <c r="C726" s="60" t="s">
        <v>1915</v>
      </c>
      <c r="D726" s="61" t="str">
        <f t="shared" si="16"/>
        <v>102017706/0053193342</v>
      </c>
      <c r="E726" s="69" t="s">
        <v>1916</v>
      </c>
      <c r="F726" s="57" t="s">
        <v>381</v>
      </c>
      <c r="G726" s="88"/>
      <c r="H726" s="88"/>
      <c r="I726" s="72" t="s">
        <v>1701</v>
      </c>
      <c r="J726" s="88"/>
      <c r="K726" s="170"/>
      <c r="L726" s="168"/>
      <c r="M726" s="170"/>
      <c r="N726" s="170"/>
      <c r="O726" s="170"/>
      <c r="P726" s="88" t="s">
        <v>1602</v>
      </c>
    </row>
    <row r="727" spans="1:16" x14ac:dyDescent="0.25">
      <c r="A727" s="5">
        <v>154</v>
      </c>
      <c r="B727" s="60">
        <v>102017608</v>
      </c>
      <c r="C727" s="60" t="s">
        <v>1917</v>
      </c>
      <c r="D727" s="61" t="str">
        <f t="shared" si="16"/>
        <v>102017608/0042248510</v>
      </c>
      <c r="E727" s="75" t="s">
        <v>1918</v>
      </c>
      <c r="F727" s="57" t="s">
        <v>381</v>
      </c>
      <c r="G727" s="88"/>
      <c r="H727" s="88"/>
      <c r="I727" s="72" t="s">
        <v>1623</v>
      </c>
      <c r="J727" s="88"/>
      <c r="K727" s="170"/>
      <c r="L727" s="168"/>
      <c r="M727" s="170"/>
      <c r="N727" s="170"/>
      <c r="O727" s="170"/>
      <c r="P727" s="88" t="s">
        <v>1602</v>
      </c>
    </row>
    <row r="728" spans="1:16" x14ac:dyDescent="0.25">
      <c r="A728" s="5">
        <v>155</v>
      </c>
      <c r="B728" s="60">
        <v>102017928</v>
      </c>
      <c r="C728" s="63" t="s">
        <v>1919</v>
      </c>
      <c r="D728" s="61" t="str">
        <f t="shared" si="16"/>
        <v>102017928/0052652185</v>
      </c>
      <c r="E728" s="69" t="s">
        <v>1920</v>
      </c>
      <c r="F728" s="57" t="s">
        <v>379</v>
      </c>
      <c r="G728" s="88"/>
      <c r="H728" s="88"/>
      <c r="I728" s="72" t="s">
        <v>1615</v>
      </c>
      <c r="J728" s="88"/>
      <c r="K728" s="170"/>
      <c r="L728" s="168"/>
      <c r="M728" s="170"/>
      <c r="N728" s="170"/>
      <c r="O728" s="170"/>
      <c r="P728" s="88" t="s">
        <v>1602</v>
      </c>
    </row>
    <row r="729" spans="1:16" x14ac:dyDescent="0.25">
      <c r="A729" s="5">
        <v>156</v>
      </c>
      <c r="B729" s="60">
        <v>102017885</v>
      </c>
      <c r="C729" s="63" t="s">
        <v>1921</v>
      </c>
      <c r="D729" s="61" t="str">
        <f t="shared" si="16"/>
        <v>102017885/0046491692</v>
      </c>
      <c r="E729" s="69" t="s">
        <v>1922</v>
      </c>
      <c r="F729" s="57" t="s">
        <v>379</v>
      </c>
      <c r="G729" s="88"/>
      <c r="H729" s="88"/>
      <c r="I729" s="72" t="s">
        <v>1630</v>
      </c>
      <c r="J729" s="88"/>
      <c r="K729" s="170"/>
      <c r="L729" s="168"/>
      <c r="M729" s="170"/>
      <c r="N729" s="170"/>
      <c r="O729" s="170"/>
      <c r="P729" s="88" t="s">
        <v>1602</v>
      </c>
    </row>
    <row r="730" spans="1:16" x14ac:dyDescent="0.25">
      <c r="A730" s="5">
        <v>157</v>
      </c>
      <c r="B730" s="60">
        <v>102017609</v>
      </c>
      <c r="C730" s="60" t="s">
        <v>1923</v>
      </c>
      <c r="D730" s="61" t="str">
        <f t="shared" si="16"/>
        <v>102017609/0051467739</v>
      </c>
      <c r="E730" s="75" t="s">
        <v>1924</v>
      </c>
      <c r="F730" s="57" t="s">
        <v>379</v>
      </c>
      <c r="G730" s="88"/>
      <c r="H730" s="88"/>
      <c r="I730" s="72" t="s">
        <v>1623</v>
      </c>
      <c r="J730" s="88"/>
      <c r="K730" s="170"/>
      <c r="L730" s="168"/>
      <c r="M730" s="170"/>
      <c r="N730" s="170"/>
      <c r="O730" s="170"/>
      <c r="P730" s="88" t="s">
        <v>1602</v>
      </c>
    </row>
    <row r="731" spans="1:16" x14ac:dyDescent="0.25">
      <c r="A731" s="5">
        <v>158</v>
      </c>
      <c r="B731" s="60">
        <v>102017929</v>
      </c>
      <c r="C731" s="63" t="s">
        <v>1925</v>
      </c>
      <c r="D731" s="61" t="str">
        <f t="shared" si="16"/>
        <v>102017929/0052635603</v>
      </c>
      <c r="E731" s="69" t="s">
        <v>1926</v>
      </c>
      <c r="F731" s="57" t="s">
        <v>379</v>
      </c>
      <c r="G731" s="88"/>
      <c r="H731" s="88"/>
      <c r="I731" s="72" t="s">
        <v>1615</v>
      </c>
      <c r="J731" s="88"/>
      <c r="K731" s="170"/>
      <c r="L731" s="168"/>
      <c r="M731" s="170"/>
      <c r="N731" s="170"/>
      <c r="O731" s="170"/>
      <c r="P731" s="88" t="s">
        <v>1602</v>
      </c>
    </row>
    <row r="732" spans="1:16" x14ac:dyDescent="0.25">
      <c r="A732" s="5">
        <v>159</v>
      </c>
      <c r="B732" s="60">
        <v>102017633</v>
      </c>
      <c r="C732" s="62" t="s">
        <v>1927</v>
      </c>
      <c r="D732" s="61" t="str">
        <f t="shared" si="16"/>
        <v>102017633/0053399118</v>
      </c>
      <c r="E732" s="69" t="s">
        <v>1928</v>
      </c>
      <c r="F732" s="57" t="s">
        <v>381</v>
      </c>
      <c r="G732" s="88"/>
      <c r="H732" s="88"/>
      <c r="I732" s="72" t="s">
        <v>1637</v>
      </c>
      <c r="J732" s="88"/>
      <c r="K732" s="170"/>
      <c r="L732" s="168"/>
      <c r="M732" s="170"/>
      <c r="N732" s="170"/>
      <c r="O732" s="170"/>
      <c r="P732" s="88" t="s">
        <v>1602</v>
      </c>
    </row>
    <row r="733" spans="1:16" x14ac:dyDescent="0.25">
      <c r="A733" s="5">
        <v>160</v>
      </c>
      <c r="B733" s="60">
        <v>102017672</v>
      </c>
      <c r="C733" s="60" t="s">
        <v>1929</v>
      </c>
      <c r="D733" s="61" t="str">
        <f t="shared" si="16"/>
        <v>102017672/0058639420</v>
      </c>
      <c r="E733" s="69" t="s">
        <v>1930</v>
      </c>
      <c r="F733" s="57" t="s">
        <v>379</v>
      </c>
      <c r="G733" s="88"/>
      <c r="H733" s="88"/>
      <c r="I733" s="72" t="s">
        <v>1647</v>
      </c>
      <c r="J733" s="88"/>
      <c r="K733" s="170"/>
      <c r="L733" s="168"/>
      <c r="M733" s="170"/>
      <c r="N733" s="170"/>
      <c r="O733" s="170"/>
      <c r="P733" s="88" t="s">
        <v>1602</v>
      </c>
    </row>
    <row r="734" spans="1:16" x14ac:dyDescent="0.25">
      <c r="A734" s="5">
        <v>161</v>
      </c>
      <c r="B734" s="60">
        <v>102017817</v>
      </c>
      <c r="C734" s="60" t="s">
        <v>1931</v>
      </c>
      <c r="D734" s="61" t="str">
        <f t="shared" si="16"/>
        <v>102017817/0065111321</v>
      </c>
      <c r="E734" s="69" t="s">
        <v>1932</v>
      </c>
      <c r="F734" s="57" t="s">
        <v>379</v>
      </c>
      <c r="G734" s="88"/>
      <c r="H734" s="88"/>
      <c r="I734" s="72" t="s">
        <v>1618</v>
      </c>
      <c r="J734" s="88"/>
      <c r="K734" s="170"/>
      <c r="L734" s="168"/>
      <c r="M734" s="170"/>
      <c r="N734" s="170"/>
      <c r="O734" s="170"/>
      <c r="P734" s="88" t="s">
        <v>1602</v>
      </c>
    </row>
    <row r="735" spans="1:16" x14ac:dyDescent="0.25">
      <c r="A735" s="5">
        <v>162</v>
      </c>
      <c r="B735" s="60">
        <v>102017849</v>
      </c>
      <c r="C735" s="63" t="s">
        <v>1933</v>
      </c>
      <c r="D735" s="61" t="str">
        <f t="shared" si="16"/>
        <v>102017849/0049987760</v>
      </c>
      <c r="E735" s="69" t="s">
        <v>1934</v>
      </c>
      <c r="F735" s="57" t="s">
        <v>379</v>
      </c>
      <c r="G735" s="88"/>
      <c r="H735" s="88"/>
      <c r="I735" s="72" t="s">
        <v>1612</v>
      </c>
      <c r="J735" s="88"/>
      <c r="K735" s="170"/>
      <c r="L735" s="168"/>
      <c r="M735" s="170"/>
      <c r="N735" s="170"/>
      <c r="O735" s="170"/>
      <c r="P735" s="88" t="s">
        <v>1602</v>
      </c>
    </row>
    <row r="736" spans="1:16" x14ac:dyDescent="0.25">
      <c r="A736" s="5">
        <v>163</v>
      </c>
      <c r="B736" s="60">
        <v>102017818</v>
      </c>
      <c r="C736" s="60" t="s">
        <v>1935</v>
      </c>
      <c r="D736" s="61" t="str">
        <f t="shared" si="16"/>
        <v>102017818/0055279859</v>
      </c>
      <c r="E736" s="69" t="s">
        <v>1936</v>
      </c>
      <c r="F736" s="57" t="s">
        <v>379</v>
      </c>
      <c r="G736" s="88"/>
      <c r="H736" s="88"/>
      <c r="I736" s="72" t="s">
        <v>1618</v>
      </c>
      <c r="J736" s="88"/>
      <c r="K736" s="170"/>
      <c r="L736" s="168"/>
      <c r="M736" s="170"/>
      <c r="N736" s="170"/>
      <c r="O736" s="170"/>
      <c r="P736" s="88" t="s">
        <v>1602</v>
      </c>
    </row>
    <row r="737" spans="1:16" x14ac:dyDescent="0.25">
      <c r="A737" s="5">
        <v>164</v>
      </c>
      <c r="B737" s="60">
        <v>102017819</v>
      </c>
      <c r="C737" s="60" t="s">
        <v>1937</v>
      </c>
      <c r="D737" s="61" t="str">
        <f t="shared" si="16"/>
        <v>102017819/0053167492</v>
      </c>
      <c r="E737" s="69" t="s">
        <v>1938</v>
      </c>
      <c r="F737" s="57" t="s">
        <v>379</v>
      </c>
      <c r="G737" s="88"/>
      <c r="H737" s="88"/>
      <c r="I737" s="72" t="s">
        <v>1618</v>
      </c>
      <c r="J737" s="88"/>
      <c r="K737" s="170"/>
      <c r="L737" s="168"/>
      <c r="M737" s="170"/>
      <c r="N737" s="170"/>
      <c r="O737" s="170"/>
      <c r="P737" s="88" t="s">
        <v>1602</v>
      </c>
    </row>
    <row r="738" spans="1:16" x14ac:dyDescent="0.25">
      <c r="A738" s="5">
        <v>165</v>
      </c>
      <c r="B738" s="60">
        <v>102017850</v>
      </c>
      <c r="C738" s="136" t="s">
        <v>1939</v>
      </c>
      <c r="D738" s="61" t="str">
        <f t="shared" si="16"/>
        <v>102017850/0046898813</v>
      </c>
      <c r="E738" s="69" t="s">
        <v>1940</v>
      </c>
      <c r="F738" s="57" t="s">
        <v>379</v>
      </c>
      <c r="G738" s="88"/>
      <c r="H738" s="88"/>
      <c r="I738" s="72" t="s">
        <v>1612</v>
      </c>
      <c r="J738" s="88"/>
      <c r="K738" s="170"/>
      <c r="L738" s="168"/>
      <c r="M738" s="170"/>
      <c r="N738" s="170"/>
      <c r="O738" s="170"/>
      <c r="P738" s="88" t="s">
        <v>1602</v>
      </c>
    </row>
    <row r="739" spans="1:16" x14ac:dyDescent="0.25">
      <c r="A739" s="5">
        <v>166</v>
      </c>
      <c r="B739" s="60">
        <v>102017635</v>
      </c>
      <c r="C739" s="62" t="s">
        <v>1941</v>
      </c>
      <c r="D739" s="61" t="str">
        <f t="shared" si="16"/>
        <v>102017635/0038999740</v>
      </c>
      <c r="E739" s="69" t="s">
        <v>1942</v>
      </c>
      <c r="F739" s="57" t="s">
        <v>381</v>
      </c>
      <c r="G739" s="88"/>
      <c r="H739" s="88"/>
      <c r="I739" s="72" t="s">
        <v>1637</v>
      </c>
      <c r="J739" s="88"/>
      <c r="K739" s="170"/>
      <c r="L739" s="168"/>
      <c r="M739" s="170"/>
      <c r="N739" s="170"/>
      <c r="O739" s="170"/>
      <c r="P739" s="88" t="s">
        <v>1602</v>
      </c>
    </row>
    <row r="740" spans="1:16" x14ac:dyDescent="0.25">
      <c r="A740" s="5">
        <v>167</v>
      </c>
      <c r="B740" s="60">
        <v>102017820</v>
      </c>
      <c r="C740" s="60" t="s">
        <v>1943</v>
      </c>
      <c r="D740" s="61" t="str">
        <f t="shared" si="16"/>
        <v>102017820/0043985852</v>
      </c>
      <c r="E740" s="69" t="s">
        <v>1944</v>
      </c>
      <c r="F740" s="57" t="s">
        <v>379</v>
      </c>
      <c r="G740" s="88"/>
      <c r="H740" s="88"/>
      <c r="I740" s="72" t="s">
        <v>1618</v>
      </c>
      <c r="J740" s="88"/>
      <c r="K740" s="170"/>
      <c r="L740" s="168"/>
      <c r="M740" s="170"/>
      <c r="N740" s="170"/>
      <c r="O740" s="170"/>
      <c r="P740" s="88" t="s">
        <v>1602</v>
      </c>
    </row>
    <row r="741" spans="1:16" x14ac:dyDescent="0.25">
      <c r="A741" s="5">
        <v>168</v>
      </c>
      <c r="B741" s="60">
        <v>102017851</v>
      </c>
      <c r="C741" s="63" t="s">
        <v>1945</v>
      </c>
      <c r="D741" s="61" t="str">
        <f t="shared" si="16"/>
        <v>102017851/0053652079</v>
      </c>
      <c r="E741" s="69" t="s">
        <v>1946</v>
      </c>
      <c r="F741" s="57" t="s">
        <v>381</v>
      </c>
      <c r="G741" s="88"/>
      <c r="H741" s="88"/>
      <c r="I741" s="72" t="s">
        <v>1612</v>
      </c>
      <c r="J741" s="88"/>
      <c r="K741" s="170"/>
      <c r="L741" s="168"/>
      <c r="M741" s="170"/>
      <c r="N741" s="170"/>
      <c r="O741" s="170"/>
      <c r="P741" s="88" t="s">
        <v>1602</v>
      </c>
    </row>
    <row r="742" spans="1:16" x14ac:dyDescent="0.25">
      <c r="A742" s="5">
        <v>169</v>
      </c>
      <c r="B742" s="60">
        <v>102017636</v>
      </c>
      <c r="C742" s="62" t="s">
        <v>1947</v>
      </c>
      <c r="D742" s="61" t="str">
        <f t="shared" si="16"/>
        <v>102017636/0056708685</v>
      </c>
      <c r="E742" s="69" t="s">
        <v>1948</v>
      </c>
      <c r="F742" s="57" t="s">
        <v>381</v>
      </c>
      <c r="G742" s="88"/>
      <c r="H742" s="88"/>
      <c r="I742" s="72" t="s">
        <v>1637</v>
      </c>
      <c r="J742" s="88"/>
      <c r="K742" s="170"/>
      <c r="L742" s="168"/>
      <c r="M742" s="170"/>
      <c r="N742" s="170"/>
      <c r="O742" s="170"/>
      <c r="P742" s="88" t="s">
        <v>1602</v>
      </c>
    </row>
    <row r="743" spans="1:16" x14ac:dyDescent="0.25">
      <c r="A743" s="5">
        <v>170</v>
      </c>
      <c r="B743" s="60">
        <v>102017741</v>
      </c>
      <c r="C743" s="60" t="s">
        <v>1949</v>
      </c>
      <c r="D743" s="61" t="str">
        <f t="shared" si="16"/>
        <v>102017741/0047784407</v>
      </c>
      <c r="E743" s="69" t="s">
        <v>1950</v>
      </c>
      <c r="F743" s="57" t="s">
        <v>381</v>
      </c>
      <c r="G743" s="88"/>
      <c r="H743" s="88"/>
      <c r="I743" s="72" t="s">
        <v>1607</v>
      </c>
      <c r="J743" s="88"/>
      <c r="K743" s="170"/>
      <c r="L743" s="168"/>
      <c r="M743" s="170"/>
      <c r="N743" s="170"/>
      <c r="O743" s="170"/>
      <c r="P743" s="88" t="s">
        <v>1602</v>
      </c>
    </row>
    <row r="744" spans="1:16" x14ac:dyDescent="0.25">
      <c r="A744" s="5">
        <v>171</v>
      </c>
      <c r="B744" s="60">
        <v>102017742</v>
      </c>
      <c r="C744" s="60" t="s">
        <v>1951</v>
      </c>
      <c r="D744" s="61" t="str">
        <f t="shared" si="16"/>
        <v>102017742/0059127729</v>
      </c>
      <c r="E744" s="69" t="s">
        <v>1952</v>
      </c>
      <c r="F744" s="57" t="s">
        <v>381</v>
      </c>
      <c r="G744" s="88"/>
      <c r="H744" s="88"/>
      <c r="I744" s="72" t="s">
        <v>1607</v>
      </c>
      <c r="J744" s="88"/>
      <c r="K744" s="170"/>
      <c r="L744" s="168"/>
      <c r="M744" s="170"/>
      <c r="N744" s="170"/>
      <c r="O744" s="170"/>
      <c r="P744" s="88" t="s">
        <v>1602</v>
      </c>
    </row>
    <row r="745" spans="1:16" x14ac:dyDescent="0.25">
      <c r="A745" s="5">
        <v>172</v>
      </c>
      <c r="B745" s="60">
        <v>102017743</v>
      </c>
      <c r="C745" s="60" t="s">
        <v>1953</v>
      </c>
      <c r="D745" s="61" t="str">
        <f t="shared" si="16"/>
        <v>102017743/0059593709</v>
      </c>
      <c r="E745" s="69" t="s">
        <v>1954</v>
      </c>
      <c r="F745" s="57" t="s">
        <v>381</v>
      </c>
      <c r="G745" s="88"/>
      <c r="H745" s="88"/>
      <c r="I745" s="72" t="s">
        <v>1607</v>
      </c>
      <c r="J745" s="88"/>
      <c r="K745" s="170"/>
      <c r="L745" s="168"/>
      <c r="M745" s="170"/>
      <c r="N745" s="170"/>
      <c r="O745" s="170"/>
      <c r="P745" s="88" t="s">
        <v>1602</v>
      </c>
    </row>
    <row r="746" spans="1:16" x14ac:dyDescent="0.25">
      <c r="A746" s="5">
        <v>173</v>
      </c>
      <c r="B746" s="60">
        <v>102017852</v>
      </c>
      <c r="C746" s="64" t="s">
        <v>1955</v>
      </c>
      <c r="D746" s="61" t="str">
        <f t="shared" si="16"/>
        <v>102017852/0028485166</v>
      </c>
      <c r="E746" s="69" t="s">
        <v>1956</v>
      </c>
      <c r="F746" s="57" t="s">
        <v>381</v>
      </c>
      <c r="G746" s="88"/>
      <c r="H746" s="88"/>
      <c r="I746" s="72" t="s">
        <v>1612</v>
      </c>
      <c r="J746" s="88"/>
      <c r="K746" s="170"/>
      <c r="L746" s="168"/>
      <c r="M746" s="170"/>
      <c r="N746" s="170"/>
      <c r="O746" s="170"/>
      <c r="P746" s="88" t="s">
        <v>1602</v>
      </c>
    </row>
    <row r="747" spans="1:16" x14ac:dyDescent="0.25">
      <c r="A747" s="5">
        <v>174</v>
      </c>
      <c r="B747" s="60">
        <v>102017638</v>
      </c>
      <c r="C747" s="62" t="s">
        <v>1957</v>
      </c>
      <c r="D747" s="61" t="str">
        <f t="shared" si="16"/>
        <v>102017638/0056040403</v>
      </c>
      <c r="E747" s="69" t="s">
        <v>1958</v>
      </c>
      <c r="F747" s="57" t="s">
        <v>381</v>
      </c>
      <c r="G747" s="88"/>
      <c r="H747" s="88"/>
      <c r="I747" s="72" t="s">
        <v>1637</v>
      </c>
      <c r="J747" s="88"/>
      <c r="K747" s="170"/>
      <c r="L747" s="168"/>
      <c r="M747" s="170"/>
      <c r="N747" s="170"/>
      <c r="O747" s="170"/>
      <c r="P747" s="88" t="s">
        <v>1602</v>
      </c>
    </row>
    <row r="748" spans="1:16" x14ac:dyDescent="0.25">
      <c r="A748" s="5">
        <v>175</v>
      </c>
      <c r="B748" s="60">
        <v>102017777</v>
      </c>
      <c r="C748" s="60" t="s">
        <v>1959</v>
      </c>
      <c r="D748" s="61" t="str">
        <f t="shared" si="16"/>
        <v>102017777/0015407666</v>
      </c>
      <c r="E748" s="69" t="s">
        <v>1960</v>
      </c>
      <c r="F748" s="57" t="s">
        <v>379</v>
      </c>
      <c r="G748" s="88"/>
      <c r="H748" s="88"/>
      <c r="I748" s="72" t="s">
        <v>1644</v>
      </c>
      <c r="J748" s="88"/>
      <c r="K748" s="170"/>
      <c r="L748" s="168"/>
      <c r="M748" s="170"/>
      <c r="N748" s="170"/>
      <c r="O748" s="170"/>
      <c r="P748" s="88" t="s">
        <v>1602</v>
      </c>
    </row>
    <row r="749" spans="1:16" x14ac:dyDescent="0.25">
      <c r="A749" s="5">
        <v>176</v>
      </c>
      <c r="B749" s="60">
        <v>102017887</v>
      </c>
      <c r="C749" s="63" t="s">
        <v>1961</v>
      </c>
      <c r="D749" s="61" t="str">
        <f t="shared" si="16"/>
        <v>102017887/0042105774</v>
      </c>
      <c r="E749" s="69" t="s">
        <v>1962</v>
      </c>
      <c r="F749" s="57" t="s">
        <v>379</v>
      </c>
      <c r="G749" s="88"/>
      <c r="H749" s="88"/>
      <c r="I749" s="72" t="s">
        <v>1630</v>
      </c>
      <c r="J749" s="88"/>
      <c r="K749" s="170"/>
      <c r="L749" s="168"/>
      <c r="M749" s="170"/>
      <c r="N749" s="170"/>
      <c r="O749" s="170"/>
      <c r="P749" s="88" t="s">
        <v>1602</v>
      </c>
    </row>
    <row r="750" spans="1:16" x14ac:dyDescent="0.25">
      <c r="A750" s="5">
        <v>177</v>
      </c>
      <c r="B750" s="60">
        <v>102017821</v>
      </c>
      <c r="C750" s="60" t="s">
        <v>1963</v>
      </c>
      <c r="D750" s="61" t="str">
        <f t="shared" si="16"/>
        <v>102017821/0042589248</v>
      </c>
      <c r="E750" s="69" t="s">
        <v>1964</v>
      </c>
      <c r="F750" s="57" t="s">
        <v>379</v>
      </c>
      <c r="G750" s="88"/>
      <c r="H750" s="88"/>
      <c r="I750" s="72" t="s">
        <v>1618</v>
      </c>
      <c r="J750" s="88"/>
      <c r="K750" s="170"/>
      <c r="L750" s="168"/>
      <c r="M750" s="170"/>
      <c r="N750" s="170"/>
      <c r="O750" s="170"/>
      <c r="P750" s="88" t="s">
        <v>1602</v>
      </c>
    </row>
    <row r="751" spans="1:16" x14ac:dyDescent="0.25">
      <c r="A751" s="5">
        <v>178</v>
      </c>
      <c r="B751" s="60">
        <v>102017640</v>
      </c>
      <c r="C751" s="60" t="s">
        <v>1965</v>
      </c>
      <c r="D751" s="61" t="str">
        <f t="shared" si="16"/>
        <v>102017640/0049158508</v>
      </c>
      <c r="E751" s="69" t="s">
        <v>1966</v>
      </c>
      <c r="F751" s="57" t="s">
        <v>379</v>
      </c>
      <c r="G751" s="88"/>
      <c r="H751" s="88"/>
      <c r="I751" s="72" t="s">
        <v>1637</v>
      </c>
      <c r="J751" s="88"/>
      <c r="K751" s="170"/>
      <c r="L751" s="168"/>
      <c r="M751" s="170"/>
      <c r="N751" s="170"/>
      <c r="O751" s="170"/>
      <c r="P751" s="88" t="s">
        <v>1602</v>
      </c>
    </row>
    <row r="752" spans="1:16" x14ac:dyDescent="0.25">
      <c r="A752" s="5">
        <v>179</v>
      </c>
      <c r="B752" s="60">
        <v>102017822</v>
      </c>
      <c r="C752" s="137" t="s">
        <v>1967</v>
      </c>
      <c r="D752" s="61" t="str">
        <f t="shared" si="16"/>
        <v>102017822/0046281546</v>
      </c>
      <c r="E752" s="69" t="s">
        <v>1968</v>
      </c>
      <c r="F752" s="57" t="s">
        <v>381</v>
      </c>
      <c r="G752" s="88"/>
      <c r="H752" s="88"/>
      <c r="I752" s="72" t="s">
        <v>1618</v>
      </c>
      <c r="J752" s="88"/>
      <c r="K752" s="170"/>
      <c r="L752" s="168"/>
      <c r="M752" s="170"/>
      <c r="N752" s="170"/>
      <c r="O752" s="170"/>
      <c r="P752" s="88" t="s">
        <v>1602</v>
      </c>
    </row>
    <row r="753" spans="1:16" x14ac:dyDescent="0.25">
      <c r="A753" s="5">
        <v>180</v>
      </c>
      <c r="B753" s="60">
        <v>102017575</v>
      </c>
      <c r="C753" s="60" t="s">
        <v>1969</v>
      </c>
      <c r="D753" s="61" t="str">
        <f t="shared" si="16"/>
        <v>102017575/0052242649</v>
      </c>
      <c r="E753" s="75" t="s">
        <v>1970</v>
      </c>
      <c r="F753" s="57" t="s">
        <v>381</v>
      </c>
      <c r="G753" s="88"/>
      <c r="H753" s="88"/>
      <c r="I753" s="72" t="s">
        <v>1601</v>
      </c>
      <c r="J753" s="88"/>
      <c r="K753" s="170"/>
      <c r="L753" s="168"/>
      <c r="M753" s="170"/>
      <c r="N753" s="170"/>
      <c r="O753" s="170"/>
      <c r="P753" s="88" t="s">
        <v>1602</v>
      </c>
    </row>
    <row r="754" spans="1:16" x14ac:dyDescent="0.25">
      <c r="A754" s="5">
        <v>181</v>
      </c>
      <c r="B754" s="60">
        <v>102017778</v>
      </c>
      <c r="C754" s="60" t="s">
        <v>1971</v>
      </c>
      <c r="D754" s="61" t="str">
        <f t="shared" si="16"/>
        <v>102017778/0052913753</v>
      </c>
      <c r="E754" s="69" t="s">
        <v>1972</v>
      </c>
      <c r="F754" s="57" t="s">
        <v>379</v>
      </c>
      <c r="G754" s="88"/>
      <c r="H754" s="88"/>
      <c r="I754" s="72" t="s">
        <v>1644</v>
      </c>
      <c r="J754" s="88"/>
      <c r="K754" s="170"/>
      <c r="L754" s="168"/>
      <c r="M754" s="170"/>
      <c r="N754" s="170"/>
      <c r="O754" s="170"/>
      <c r="P754" s="88" t="s">
        <v>1602</v>
      </c>
    </row>
    <row r="755" spans="1:16" x14ac:dyDescent="0.25">
      <c r="A755" s="5">
        <v>182</v>
      </c>
      <c r="B755" s="60">
        <v>102017853</v>
      </c>
      <c r="C755" s="63" t="s">
        <v>1973</v>
      </c>
      <c r="D755" s="61" t="str">
        <f t="shared" si="16"/>
        <v>102017853/0045473181</v>
      </c>
      <c r="E755" s="69" t="s">
        <v>1974</v>
      </c>
      <c r="F755" s="57" t="s">
        <v>379</v>
      </c>
      <c r="G755" s="88"/>
      <c r="H755" s="88"/>
      <c r="I755" s="72" t="s">
        <v>1612</v>
      </c>
      <c r="J755" s="88"/>
      <c r="K755" s="170"/>
      <c r="L755" s="168"/>
      <c r="M755" s="170"/>
      <c r="N755" s="170"/>
      <c r="O755" s="170"/>
      <c r="P755" s="88" t="s">
        <v>1602</v>
      </c>
    </row>
    <row r="756" spans="1:16" x14ac:dyDescent="0.25">
      <c r="A756" s="5">
        <v>183</v>
      </c>
      <c r="B756" s="60">
        <v>102017888</v>
      </c>
      <c r="C756" s="63" t="s">
        <v>1975</v>
      </c>
      <c r="D756" s="61" t="str">
        <f t="shared" si="16"/>
        <v>102017888/0058408410</v>
      </c>
      <c r="E756" s="69" t="s">
        <v>1976</v>
      </c>
      <c r="F756" s="57" t="s">
        <v>379</v>
      </c>
      <c r="G756" s="88"/>
      <c r="H756" s="88"/>
      <c r="I756" s="72" t="s">
        <v>1630</v>
      </c>
      <c r="J756" s="88"/>
      <c r="K756" s="170"/>
      <c r="L756" s="168"/>
      <c r="M756" s="170"/>
      <c r="N756" s="170"/>
      <c r="O756" s="170"/>
      <c r="P756" s="88" t="s">
        <v>1602</v>
      </c>
    </row>
    <row r="757" spans="1:16" x14ac:dyDescent="0.25">
      <c r="A757" s="5">
        <v>184</v>
      </c>
      <c r="B757" s="60">
        <v>102017779</v>
      </c>
      <c r="C757" s="62" t="s">
        <v>1977</v>
      </c>
      <c r="D757" s="61" t="str">
        <f t="shared" si="16"/>
        <v>102017779/0046028053</v>
      </c>
      <c r="E757" s="69" t="s">
        <v>168</v>
      </c>
      <c r="F757" s="57" t="s">
        <v>379</v>
      </c>
      <c r="G757" s="88"/>
      <c r="H757" s="88"/>
      <c r="I757" s="72" t="s">
        <v>1644</v>
      </c>
      <c r="J757" s="88"/>
      <c r="K757" s="170"/>
      <c r="L757" s="168"/>
      <c r="M757" s="170"/>
      <c r="N757" s="170"/>
      <c r="O757" s="170"/>
      <c r="P757" s="88" t="s">
        <v>1602</v>
      </c>
    </row>
    <row r="758" spans="1:16" x14ac:dyDescent="0.25">
      <c r="A758" s="5">
        <v>185</v>
      </c>
      <c r="B758" s="60">
        <v>102017673</v>
      </c>
      <c r="C758" s="62" t="s">
        <v>1978</v>
      </c>
      <c r="D758" s="61" t="str">
        <f t="shared" si="16"/>
        <v>102017673/0044670864</v>
      </c>
      <c r="E758" s="69" t="s">
        <v>1979</v>
      </c>
      <c r="F758" s="57" t="s">
        <v>379</v>
      </c>
      <c r="G758" s="88"/>
      <c r="H758" s="88"/>
      <c r="I758" s="72" t="s">
        <v>1647</v>
      </c>
      <c r="J758" s="88"/>
      <c r="K758" s="170"/>
      <c r="L758" s="168"/>
      <c r="M758" s="170"/>
      <c r="N758" s="170"/>
      <c r="O758" s="170"/>
      <c r="P758" s="88" t="s">
        <v>1602</v>
      </c>
    </row>
    <row r="759" spans="1:16" x14ac:dyDescent="0.25">
      <c r="A759" s="5">
        <v>186</v>
      </c>
      <c r="B759" s="60">
        <v>102017780</v>
      </c>
      <c r="C759" s="60" t="s">
        <v>1980</v>
      </c>
      <c r="D759" s="61" t="str">
        <f t="shared" si="16"/>
        <v>102017780/0066976002</v>
      </c>
      <c r="E759" s="69" t="s">
        <v>1981</v>
      </c>
      <c r="F759" s="57" t="s">
        <v>379</v>
      </c>
      <c r="G759" s="88"/>
      <c r="H759" s="88"/>
      <c r="I759" s="72" t="s">
        <v>1644</v>
      </c>
      <c r="J759" s="88"/>
      <c r="K759" s="170"/>
      <c r="L759" s="168"/>
      <c r="M759" s="170"/>
      <c r="N759" s="170"/>
      <c r="O759" s="170"/>
      <c r="P759" s="88" t="s">
        <v>1602</v>
      </c>
    </row>
    <row r="760" spans="1:16" x14ac:dyDescent="0.25">
      <c r="A760" s="5">
        <v>187</v>
      </c>
      <c r="B760" s="60">
        <v>102017781</v>
      </c>
      <c r="C760" s="60" t="s">
        <v>1982</v>
      </c>
      <c r="D760" s="61" t="str">
        <f t="shared" si="16"/>
        <v>102017781/0059809558</v>
      </c>
      <c r="E760" s="69" t="s">
        <v>1983</v>
      </c>
      <c r="F760" s="57" t="s">
        <v>379</v>
      </c>
      <c r="G760" s="88"/>
      <c r="H760" s="88"/>
      <c r="I760" s="72" t="s">
        <v>1644</v>
      </c>
      <c r="J760" s="88"/>
      <c r="K760" s="170"/>
      <c r="L760" s="168"/>
      <c r="M760" s="170"/>
      <c r="N760" s="170"/>
      <c r="O760" s="170"/>
      <c r="P760" s="88" t="s">
        <v>1602</v>
      </c>
    </row>
    <row r="761" spans="1:16" x14ac:dyDescent="0.25">
      <c r="A761" s="5">
        <v>188</v>
      </c>
      <c r="B761" s="60">
        <v>102017930</v>
      </c>
      <c r="C761" s="64" t="s">
        <v>1984</v>
      </c>
      <c r="D761" s="61" t="str">
        <f t="shared" si="16"/>
        <v>102017930/0051796983</v>
      </c>
      <c r="E761" s="69" t="s">
        <v>1985</v>
      </c>
      <c r="F761" s="57" t="s">
        <v>379</v>
      </c>
      <c r="G761" s="88"/>
      <c r="H761" s="88"/>
      <c r="I761" s="72" t="s">
        <v>1615</v>
      </c>
      <c r="J761" s="88"/>
      <c r="K761" s="170"/>
      <c r="L761" s="168"/>
      <c r="M761" s="170"/>
      <c r="N761" s="170"/>
      <c r="O761" s="170"/>
      <c r="P761" s="88" t="s">
        <v>1602</v>
      </c>
    </row>
    <row r="762" spans="1:16" x14ac:dyDescent="0.25">
      <c r="A762" s="5">
        <v>189</v>
      </c>
      <c r="B762" s="60">
        <v>102017889</v>
      </c>
      <c r="C762" s="64" t="s">
        <v>1986</v>
      </c>
      <c r="D762" s="61" t="str">
        <f t="shared" si="16"/>
        <v>102017889/0049943631</v>
      </c>
      <c r="E762" s="69" t="s">
        <v>1987</v>
      </c>
      <c r="F762" s="57" t="s">
        <v>379</v>
      </c>
      <c r="G762" s="88"/>
      <c r="H762" s="88"/>
      <c r="I762" s="72" t="s">
        <v>1630</v>
      </c>
      <c r="J762" s="88"/>
      <c r="K762" s="170"/>
      <c r="L762" s="168"/>
      <c r="M762" s="170"/>
      <c r="N762" s="170"/>
      <c r="O762" s="170"/>
      <c r="P762" s="88" t="s">
        <v>1602</v>
      </c>
    </row>
    <row r="763" spans="1:16" x14ac:dyDescent="0.25">
      <c r="A763" s="5">
        <v>190</v>
      </c>
      <c r="B763" s="60">
        <v>102017641</v>
      </c>
      <c r="C763" s="130" t="s">
        <v>1988</v>
      </c>
      <c r="D763" s="61" t="str">
        <f t="shared" si="16"/>
        <v>102017641/0042067139</v>
      </c>
      <c r="E763" s="69" t="s">
        <v>1989</v>
      </c>
      <c r="F763" s="57" t="s">
        <v>379</v>
      </c>
      <c r="G763" s="88"/>
      <c r="H763" s="88"/>
      <c r="I763" s="72" t="s">
        <v>1637</v>
      </c>
      <c r="J763" s="88"/>
      <c r="K763" s="170"/>
      <c r="L763" s="168"/>
      <c r="M763" s="170"/>
      <c r="N763" s="170"/>
      <c r="O763" s="170"/>
      <c r="P763" s="88" t="s">
        <v>1602</v>
      </c>
    </row>
    <row r="764" spans="1:16" x14ac:dyDescent="0.25">
      <c r="A764" s="5">
        <v>191</v>
      </c>
      <c r="B764" s="60">
        <v>102017642</v>
      </c>
      <c r="C764" s="60" t="s">
        <v>1990</v>
      </c>
      <c r="D764" s="61" t="str">
        <f t="shared" si="16"/>
        <v>102017642/0057671725</v>
      </c>
      <c r="E764" s="69" t="s">
        <v>1991</v>
      </c>
      <c r="F764" s="57" t="s">
        <v>379</v>
      </c>
      <c r="G764" s="88"/>
      <c r="H764" s="88"/>
      <c r="I764" s="72" t="s">
        <v>1637</v>
      </c>
      <c r="J764" s="88"/>
      <c r="K764" s="170"/>
      <c r="L764" s="168"/>
      <c r="M764" s="170"/>
      <c r="N764" s="170"/>
      <c r="O764" s="170"/>
      <c r="P764" s="88" t="s">
        <v>1602</v>
      </c>
    </row>
    <row r="765" spans="1:16" x14ac:dyDescent="0.25">
      <c r="A765" s="5">
        <v>192</v>
      </c>
      <c r="B765" s="60">
        <v>102017855</v>
      </c>
      <c r="C765" s="63" t="s">
        <v>1992</v>
      </c>
      <c r="D765" s="61" t="str">
        <f t="shared" si="16"/>
        <v>102017855/0055935958</v>
      </c>
      <c r="E765" s="69" t="s">
        <v>1993</v>
      </c>
      <c r="F765" s="57" t="s">
        <v>379</v>
      </c>
      <c r="G765" s="88"/>
      <c r="H765" s="88"/>
      <c r="I765" s="72" t="s">
        <v>1612</v>
      </c>
      <c r="J765" s="88"/>
      <c r="K765" s="170"/>
      <c r="L765" s="168"/>
      <c r="M765" s="170"/>
      <c r="N765" s="170"/>
      <c r="O765" s="170"/>
      <c r="P765" s="88" t="s">
        <v>1602</v>
      </c>
    </row>
    <row r="766" spans="1:16" x14ac:dyDescent="0.25">
      <c r="A766" s="5">
        <v>193</v>
      </c>
      <c r="B766" s="60">
        <v>102017823</v>
      </c>
      <c r="C766" s="62" t="s">
        <v>1994</v>
      </c>
      <c r="D766" s="61" t="str">
        <f t="shared" ref="D766:D829" si="17">B766&amp;"/"&amp;C766</f>
        <v>102017823/0056503955</v>
      </c>
      <c r="E766" s="69" t="s">
        <v>1995</v>
      </c>
      <c r="F766" s="57" t="s">
        <v>379</v>
      </c>
      <c r="G766" s="88"/>
      <c r="H766" s="88"/>
      <c r="I766" s="72" t="s">
        <v>1618</v>
      </c>
      <c r="J766" s="88"/>
      <c r="K766" s="170"/>
      <c r="L766" s="168"/>
      <c r="M766" s="170"/>
      <c r="N766" s="170"/>
      <c r="O766" s="170"/>
      <c r="P766" s="88" t="s">
        <v>1602</v>
      </c>
    </row>
    <row r="767" spans="1:16" x14ac:dyDescent="0.25">
      <c r="A767" s="5">
        <v>194</v>
      </c>
      <c r="B767" s="60">
        <v>102017931</v>
      </c>
      <c r="C767" s="63" t="s">
        <v>1996</v>
      </c>
      <c r="D767" s="61" t="str">
        <f t="shared" si="17"/>
        <v>102017931/0068098077</v>
      </c>
      <c r="E767" s="69" t="s">
        <v>1997</v>
      </c>
      <c r="F767" s="57" t="s">
        <v>379</v>
      </c>
      <c r="G767" s="88"/>
      <c r="H767" s="88"/>
      <c r="I767" s="72" t="s">
        <v>1615</v>
      </c>
      <c r="J767" s="88"/>
      <c r="K767" s="170"/>
      <c r="L767" s="168"/>
      <c r="M767" s="170"/>
      <c r="N767" s="170"/>
      <c r="O767" s="170"/>
      <c r="P767" s="88" t="s">
        <v>1602</v>
      </c>
    </row>
    <row r="768" spans="1:16" x14ac:dyDescent="0.25">
      <c r="A768" s="5">
        <v>195</v>
      </c>
      <c r="B768" s="60">
        <v>102017782</v>
      </c>
      <c r="C768" s="60" t="s">
        <v>1998</v>
      </c>
      <c r="D768" s="61" t="str">
        <f t="shared" si="17"/>
        <v>102017782/0041029324</v>
      </c>
      <c r="E768" s="69" t="s">
        <v>1999</v>
      </c>
      <c r="F768" s="57" t="s">
        <v>379</v>
      </c>
      <c r="G768" s="88"/>
      <c r="H768" s="88"/>
      <c r="I768" s="72" t="s">
        <v>1644</v>
      </c>
      <c r="J768" s="88"/>
      <c r="K768" s="170"/>
      <c r="L768" s="168"/>
      <c r="M768" s="170"/>
      <c r="N768" s="170"/>
      <c r="O768" s="170"/>
      <c r="P768" s="88" t="s">
        <v>1602</v>
      </c>
    </row>
    <row r="769" spans="1:16" x14ac:dyDescent="0.25">
      <c r="A769" s="5">
        <v>196</v>
      </c>
      <c r="B769" s="60">
        <v>102017643</v>
      </c>
      <c r="C769" s="60" t="s">
        <v>2000</v>
      </c>
      <c r="D769" s="61" t="str">
        <f t="shared" si="17"/>
        <v>102017643/0047312606</v>
      </c>
      <c r="E769" s="69" t="s">
        <v>2001</v>
      </c>
      <c r="F769" s="57" t="s">
        <v>379</v>
      </c>
      <c r="G769" s="88"/>
      <c r="H769" s="88"/>
      <c r="I769" s="72" t="s">
        <v>1637</v>
      </c>
      <c r="J769" s="88"/>
      <c r="K769" s="170"/>
      <c r="L769" s="168"/>
      <c r="M769" s="170"/>
      <c r="N769" s="170"/>
      <c r="O769" s="170"/>
      <c r="P769" s="88" t="s">
        <v>1602</v>
      </c>
    </row>
    <row r="770" spans="1:16" x14ac:dyDescent="0.25">
      <c r="A770" s="5">
        <v>197</v>
      </c>
      <c r="B770" s="60">
        <v>102017708</v>
      </c>
      <c r="C770" s="130" t="s">
        <v>2002</v>
      </c>
      <c r="D770" s="61" t="str">
        <f t="shared" si="17"/>
        <v>102017708/0045013102</v>
      </c>
      <c r="E770" s="69" t="s">
        <v>2003</v>
      </c>
      <c r="F770" s="57" t="s">
        <v>379</v>
      </c>
      <c r="G770" s="88"/>
      <c r="H770" s="88"/>
      <c r="I770" s="72" t="s">
        <v>1701</v>
      </c>
      <c r="J770" s="88"/>
      <c r="K770" s="170"/>
      <c r="L770" s="168"/>
      <c r="M770" s="170"/>
      <c r="N770" s="170"/>
      <c r="O770" s="170"/>
      <c r="P770" s="88" t="s">
        <v>1602</v>
      </c>
    </row>
    <row r="771" spans="1:16" x14ac:dyDescent="0.25">
      <c r="A771" s="5">
        <v>198</v>
      </c>
      <c r="B771" s="60">
        <v>102017576</v>
      </c>
      <c r="C771" s="60" t="s">
        <v>2004</v>
      </c>
      <c r="D771" s="61" t="str">
        <f t="shared" si="17"/>
        <v>102017576/0056369172</v>
      </c>
      <c r="E771" s="75" t="s">
        <v>2005</v>
      </c>
      <c r="F771" s="57" t="s">
        <v>379</v>
      </c>
      <c r="G771" s="88"/>
      <c r="H771" s="88"/>
      <c r="I771" s="72" t="s">
        <v>1601</v>
      </c>
      <c r="J771" s="88"/>
      <c r="K771" s="170"/>
      <c r="L771" s="168"/>
      <c r="M771" s="170"/>
      <c r="N771" s="170"/>
      <c r="O771" s="170"/>
      <c r="P771" s="88" t="s">
        <v>1602</v>
      </c>
    </row>
    <row r="772" spans="1:16" x14ac:dyDescent="0.25">
      <c r="A772" s="5">
        <v>199</v>
      </c>
      <c r="B772" s="60">
        <v>102017577</v>
      </c>
      <c r="C772" s="60" t="s">
        <v>2006</v>
      </c>
      <c r="D772" s="61" t="str">
        <f t="shared" si="17"/>
        <v>102017577/0052133058</v>
      </c>
      <c r="E772" s="75" t="s">
        <v>2007</v>
      </c>
      <c r="F772" s="57" t="s">
        <v>379</v>
      </c>
      <c r="G772" s="88"/>
      <c r="H772" s="88"/>
      <c r="I772" s="72" t="s">
        <v>1601</v>
      </c>
      <c r="J772" s="88"/>
      <c r="K772" s="170"/>
      <c r="L772" s="168"/>
      <c r="M772" s="170"/>
      <c r="N772" s="170"/>
      <c r="O772" s="170"/>
      <c r="P772" s="88" t="s">
        <v>1602</v>
      </c>
    </row>
    <row r="773" spans="1:16" x14ac:dyDescent="0.25">
      <c r="A773" s="5">
        <v>200</v>
      </c>
      <c r="B773" s="60">
        <v>102017674</v>
      </c>
      <c r="C773" s="60" t="s">
        <v>2008</v>
      </c>
      <c r="D773" s="61" t="str">
        <f t="shared" si="17"/>
        <v>102017674/0048429547</v>
      </c>
      <c r="E773" s="69" t="s">
        <v>2009</v>
      </c>
      <c r="F773" s="57" t="s">
        <v>379</v>
      </c>
      <c r="G773" s="88"/>
      <c r="H773" s="88"/>
      <c r="I773" s="72" t="s">
        <v>1647</v>
      </c>
      <c r="J773" s="88"/>
      <c r="K773" s="170"/>
      <c r="L773" s="168"/>
      <c r="M773" s="170"/>
      <c r="N773" s="170"/>
      <c r="O773" s="170"/>
      <c r="P773" s="88" t="s">
        <v>1602</v>
      </c>
    </row>
    <row r="774" spans="1:16" x14ac:dyDescent="0.25">
      <c r="A774" s="5">
        <v>201</v>
      </c>
      <c r="B774" s="60">
        <v>102017610</v>
      </c>
      <c r="C774" s="60" t="s">
        <v>2010</v>
      </c>
      <c r="D774" s="61" t="str">
        <f t="shared" si="17"/>
        <v>102017610/0047939247</v>
      </c>
      <c r="E774" s="75" t="s">
        <v>2011</v>
      </c>
      <c r="F774" s="57" t="s">
        <v>379</v>
      </c>
      <c r="G774" s="88"/>
      <c r="H774" s="88"/>
      <c r="I774" s="72" t="s">
        <v>1623</v>
      </c>
      <c r="J774" s="88"/>
      <c r="K774" s="170"/>
      <c r="L774" s="168"/>
      <c r="M774" s="170"/>
      <c r="N774" s="170"/>
      <c r="O774" s="170"/>
      <c r="P774" s="88" t="s">
        <v>1602</v>
      </c>
    </row>
    <row r="775" spans="1:16" x14ac:dyDescent="0.25">
      <c r="A775" s="5">
        <v>202</v>
      </c>
      <c r="B775" s="60">
        <v>102017854</v>
      </c>
      <c r="C775" s="63" t="s">
        <v>2012</v>
      </c>
      <c r="D775" s="61" t="str">
        <f t="shared" si="17"/>
        <v>102017854/0048453466</v>
      </c>
      <c r="E775" s="69" t="s">
        <v>2013</v>
      </c>
      <c r="F775" s="57" t="s">
        <v>379</v>
      </c>
      <c r="G775" s="88"/>
      <c r="H775" s="88"/>
      <c r="I775" s="72" t="s">
        <v>1612</v>
      </c>
      <c r="J775" s="88"/>
      <c r="K775" s="170"/>
      <c r="L775" s="168"/>
      <c r="M775" s="170"/>
      <c r="N775" s="170"/>
      <c r="O775" s="170"/>
      <c r="P775" s="88" t="s">
        <v>1602</v>
      </c>
    </row>
    <row r="776" spans="1:16" x14ac:dyDescent="0.25">
      <c r="A776" s="5">
        <v>203</v>
      </c>
      <c r="B776" s="60">
        <v>102017644</v>
      </c>
      <c r="C776" s="130" t="s">
        <v>2014</v>
      </c>
      <c r="D776" s="61" t="str">
        <f t="shared" si="17"/>
        <v>102017644/0057715355</v>
      </c>
      <c r="E776" s="69" t="s">
        <v>2015</v>
      </c>
      <c r="F776" s="57" t="s">
        <v>379</v>
      </c>
      <c r="G776" s="88"/>
      <c r="H776" s="88"/>
      <c r="I776" s="72" t="s">
        <v>1637</v>
      </c>
      <c r="J776" s="88"/>
      <c r="K776" s="170"/>
      <c r="L776" s="168"/>
      <c r="M776" s="170"/>
      <c r="N776" s="170"/>
      <c r="O776" s="170"/>
      <c r="P776" s="88" t="s">
        <v>1602</v>
      </c>
    </row>
    <row r="777" spans="1:16" x14ac:dyDescent="0.25">
      <c r="A777" s="5">
        <v>204</v>
      </c>
      <c r="B777" s="60">
        <v>102017783</v>
      </c>
      <c r="C777" s="60" t="s">
        <v>2016</v>
      </c>
      <c r="D777" s="61" t="str">
        <f t="shared" si="17"/>
        <v>102017783/0052480840</v>
      </c>
      <c r="E777" s="69" t="s">
        <v>2017</v>
      </c>
      <c r="F777" s="57" t="s">
        <v>379</v>
      </c>
      <c r="G777" s="88"/>
      <c r="H777" s="88"/>
      <c r="I777" s="72" t="s">
        <v>1644</v>
      </c>
      <c r="J777" s="88"/>
      <c r="K777" s="170"/>
      <c r="L777" s="168"/>
      <c r="M777" s="170"/>
      <c r="N777" s="170"/>
      <c r="O777" s="170"/>
      <c r="P777" s="88" t="s">
        <v>1602</v>
      </c>
    </row>
    <row r="778" spans="1:16" x14ac:dyDescent="0.25">
      <c r="A778" s="5">
        <v>205</v>
      </c>
      <c r="B778" s="60">
        <v>102017675</v>
      </c>
      <c r="C778" s="60" t="s">
        <v>2018</v>
      </c>
      <c r="D778" s="61" t="str">
        <f t="shared" si="17"/>
        <v>102017675/0053147846</v>
      </c>
      <c r="E778" s="69" t="s">
        <v>2019</v>
      </c>
      <c r="F778" s="57" t="s">
        <v>379</v>
      </c>
      <c r="G778" s="88"/>
      <c r="H778" s="88"/>
      <c r="I778" s="72" t="s">
        <v>1647</v>
      </c>
      <c r="J778" s="88"/>
      <c r="K778" s="170"/>
      <c r="L778" s="168"/>
      <c r="M778" s="170"/>
      <c r="N778" s="170"/>
      <c r="O778" s="170"/>
      <c r="P778" s="88" t="s">
        <v>1602</v>
      </c>
    </row>
    <row r="779" spans="1:16" x14ac:dyDescent="0.25">
      <c r="A779" s="5">
        <v>206</v>
      </c>
      <c r="B779" s="60">
        <v>102017890</v>
      </c>
      <c r="C779" s="64" t="s">
        <v>2020</v>
      </c>
      <c r="D779" s="61" t="str">
        <f t="shared" si="17"/>
        <v>102017890/0052259585</v>
      </c>
      <c r="E779" s="69" t="s">
        <v>2021</v>
      </c>
      <c r="F779" s="57" t="s">
        <v>379</v>
      </c>
      <c r="G779" s="88"/>
      <c r="H779" s="88"/>
      <c r="I779" s="72" t="s">
        <v>1630</v>
      </c>
      <c r="J779" s="88"/>
      <c r="K779" s="170"/>
      <c r="L779" s="168"/>
      <c r="M779" s="170"/>
      <c r="N779" s="170"/>
      <c r="O779" s="170"/>
      <c r="P779" s="88" t="s">
        <v>1602</v>
      </c>
    </row>
    <row r="780" spans="1:16" x14ac:dyDescent="0.25">
      <c r="A780" s="5">
        <v>207</v>
      </c>
      <c r="B780" s="60">
        <v>102017676</v>
      </c>
      <c r="C780" s="60" t="s">
        <v>2022</v>
      </c>
      <c r="D780" s="61" t="str">
        <f t="shared" si="17"/>
        <v>102017676/0052821553</v>
      </c>
      <c r="E780" s="69" t="s">
        <v>2023</v>
      </c>
      <c r="F780" s="57" t="s">
        <v>379</v>
      </c>
      <c r="G780" s="88"/>
      <c r="H780" s="88"/>
      <c r="I780" s="72" t="s">
        <v>1647</v>
      </c>
      <c r="J780" s="88"/>
      <c r="K780" s="170"/>
      <c r="L780" s="168"/>
      <c r="M780" s="170"/>
      <c r="N780" s="170"/>
      <c r="O780" s="170"/>
      <c r="P780" s="88" t="s">
        <v>1602</v>
      </c>
    </row>
    <row r="781" spans="1:16" x14ac:dyDescent="0.25">
      <c r="A781" s="5">
        <v>208</v>
      </c>
      <c r="B781" s="60">
        <v>102017824</v>
      </c>
      <c r="C781" s="60" t="s">
        <v>2024</v>
      </c>
      <c r="D781" s="61" t="str">
        <f t="shared" si="17"/>
        <v>102017824/0043316894</v>
      </c>
      <c r="E781" s="69" t="s">
        <v>2025</v>
      </c>
      <c r="F781" s="57" t="s">
        <v>379</v>
      </c>
      <c r="G781" s="88"/>
      <c r="H781" s="88"/>
      <c r="I781" s="72" t="s">
        <v>1618</v>
      </c>
      <c r="J781" s="88"/>
      <c r="K781" s="170"/>
      <c r="L781" s="168"/>
      <c r="M781" s="170"/>
      <c r="N781" s="170"/>
      <c r="O781" s="170"/>
      <c r="P781" s="88" t="s">
        <v>1602</v>
      </c>
    </row>
    <row r="782" spans="1:16" x14ac:dyDescent="0.25">
      <c r="A782" s="5">
        <v>209</v>
      </c>
      <c r="B782" s="60">
        <v>102017825</v>
      </c>
      <c r="C782" s="60" t="s">
        <v>2026</v>
      </c>
      <c r="D782" s="61" t="str">
        <f t="shared" si="17"/>
        <v>102017825/0059356809</v>
      </c>
      <c r="E782" s="69" t="s">
        <v>2027</v>
      </c>
      <c r="F782" s="57" t="s">
        <v>379</v>
      </c>
      <c r="G782" s="88"/>
      <c r="H782" s="88"/>
      <c r="I782" s="72" t="s">
        <v>1618</v>
      </c>
      <c r="J782" s="88"/>
      <c r="K782" s="170"/>
      <c r="L782" s="168"/>
      <c r="M782" s="170"/>
      <c r="N782" s="170"/>
      <c r="O782" s="170"/>
      <c r="P782" s="88" t="s">
        <v>1602</v>
      </c>
    </row>
    <row r="783" spans="1:16" x14ac:dyDescent="0.25">
      <c r="A783" s="5">
        <v>210</v>
      </c>
      <c r="B783" s="60">
        <v>101917211</v>
      </c>
      <c r="C783" s="131" t="s">
        <v>2028</v>
      </c>
      <c r="D783" s="61" t="str">
        <f t="shared" si="17"/>
        <v>101917211/0045415578</v>
      </c>
      <c r="E783" s="69" t="s">
        <v>2029</v>
      </c>
      <c r="F783" s="57" t="s">
        <v>379</v>
      </c>
      <c r="G783" s="88"/>
      <c r="H783" s="88"/>
      <c r="I783" s="72" t="s">
        <v>1607</v>
      </c>
      <c r="J783" s="88"/>
      <c r="K783" s="170"/>
      <c r="L783" s="168"/>
      <c r="M783" s="170"/>
      <c r="N783" s="170"/>
      <c r="O783" s="170"/>
      <c r="P783" s="88" t="s">
        <v>1602</v>
      </c>
    </row>
    <row r="784" spans="1:16" x14ac:dyDescent="0.25">
      <c r="A784" s="5">
        <v>211</v>
      </c>
      <c r="B784" s="60">
        <v>102017776</v>
      </c>
      <c r="C784" s="60" t="s">
        <v>2030</v>
      </c>
      <c r="D784" s="61" t="str">
        <f t="shared" si="17"/>
        <v>102017776/0044750502</v>
      </c>
      <c r="E784" s="69" t="s">
        <v>2031</v>
      </c>
      <c r="F784" s="57" t="s">
        <v>379</v>
      </c>
      <c r="G784" s="88"/>
      <c r="H784" s="88"/>
      <c r="I784" s="72" t="s">
        <v>1644</v>
      </c>
      <c r="J784" s="88"/>
      <c r="K784" s="170"/>
      <c r="L784" s="168"/>
      <c r="M784" s="170"/>
      <c r="N784" s="170"/>
      <c r="O784" s="170"/>
      <c r="P784" s="88" t="s">
        <v>1602</v>
      </c>
    </row>
    <row r="785" spans="1:16" x14ac:dyDescent="0.25">
      <c r="A785" s="5">
        <v>212</v>
      </c>
      <c r="B785" s="60">
        <v>102017932</v>
      </c>
      <c r="C785" s="63" t="s">
        <v>2032</v>
      </c>
      <c r="D785" s="61" t="str">
        <f t="shared" si="17"/>
        <v>102017932/0051356272</v>
      </c>
      <c r="E785" s="69" t="s">
        <v>2033</v>
      </c>
      <c r="F785" s="57" t="s">
        <v>379</v>
      </c>
      <c r="G785" s="88"/>
      <c r="H785" s="88"/>
      <c r="I785" s="72" t="s">
        <v>1615</v>
      </c>
      <c r="J785" s="88"/>
      <c r="K785" s="170"/>
      <c r="L785" s="168"/>
      <c r="M785" s="170"/>
      <c r="N785" s="170"/>
      <c r="O785" s="170"/>
      <c r="P785" s="88" t="s">
        <v>1602</v>
      </c>
    </row>
    <row r="786" spans="1:16" x14ac:dyDescent="0.25">
      <c r="A786" s="5">
        <v>213</v>
      </c>
      <c r="B786" s="60">
        <v>102017678</v>
      </c>
      <c r="C786" s="60" t="s">
        <v>2034</v>
      </c>
      <c r="D786" s="61" t="str">
        <f t="shared" si="17"/>
        <v>102017678/0044450350</v>
      </c>
      <c r="E786" s="69" t="s">
        <v>2035</v>
      </c>
      <c r="F786" s="57" t="s">
        <v>379</v>
      </c>
      <c r="G786" s="88"/>
      <c r="H786" s="88"/>
      <c r="I786" s="72" t="s">
        <v>1647</v>
      </c>
      <c r="J786" s="88"/>
      <c r="K786" s="170"/>
      <c r="L786" s="168"/>
      <c r="M786" s="170"/>
      <c r="N786" s="170"/>
      <c r="O786" s="170"/>
      <c r="P786" s="88" t="s">
        <v>1602</v>
      </c>
    </row>
    <row r="787" spans="1:16" x14ac:dyDescent="0.25">
      <c r="A787" s="5">
        <v>214</v>
      </c>
      <c r="B787" s="60">
        <v>102017826</v>
      </c>
      <c r="C787" s="60" t="s">
        <v>2036</v>
      </c>
      <c r="D787" s="61" t="str">
        <f t="shared" si="17"/>
        <v>102017826/0047718393</v>
      </c>
      <c r="E787" s="69" t="s">
        <v>2037</v>
      </c>
      <c r="F787" s="57" t="s">
        <v>379</v>
      </c>
      <c r="G787" s="88"/>
      <c r="H787" s="88"/>
      <c r="I787" s="72" t="s">
        <v>1618</v>
      </c>
      <c r="J787" s="88"/>
      <c r="K787" s="170"/>
      <c r="L787" s="168"/>
      <c r="M787" s="170"/>
      <c r="N787" s="170"/>
      <c r="O787" s="170"/>
      <c r="P787" s="88" t="s">
        <v>1602</v>
      </c>
    </row>
    <row r="788" spans="1:16" x14ac:dyDescent="0.25">
      <c r="A788" s="5">
        <v>215</v>
      </c>
      <c r="B788" s="60">
        <v>102017892</v>
      </c>
      <c r="C788" s="63" t="s">
        <v>2038</v>
      </c>
      <c r="D788" s="61" t="str">
        <f t="shared" si="17"/>
        <v>102017892/0045151315</v>
      </c>
      <c r="E788" s="69" t="s">
        <v>2039</v>
      </c>
      <c r="F788" s="57" t="s">
        <v>379</v>
      </c>
      <c r="G788" s="88"/>
      <c r="H788" s="88"/>
      <c r="I788" s="72" t="s">
        <v>1630</v>
      </c>
      <c r="J788" s="88"/>
      <c r="K788" s="170"/>
      <c r="L788" s="168"/>
      <c r="M788" s="170"/>
      <c r="N788" s="170"/>
      <c r="O788" s="170"/>
      <c r="P788" s="88" t="s">
        <v>1602</v>
      </c>
    </row>
    <row r="789" spans="1:16" x14ac:dyDescent="0.25">
      <c r="A789" s="5">
        <v>216</v>
      </c>
      <c r="B789" s="60">
        <v>102017709</v>
      </c>
      <c r="C789" s="60" t="s">
        <v>2040</v>
      </c>
      <c r="D789" s="61" t="str">
        <f t="shared" si="17"/>
        <v>102017709/0046050090</v>
      </c>
      <c r="E789" s="69" t="s">
        <v>2041</v>
      </c>
      <c r="F789" s="57" t="s">
        <v>379</v>
      </c>
      <c r="G789" s="88"/>
      <c r="H789" s="88"/>
      <c r="I789" s="72" t="s">
        <v>1701</v>
      </c>
      <c r="J789" s="88"/>
      <c r="K789" s="170"/>
      <c r="L789" s="168"/>
      <c r="M789" s="170"/>
      <c r="N789" s="170"/>
      <c r="O789" s="170"/>
      <c r="P789" s="88" t="s">
        <v>1602</v>
      </c>
    </row>
    <row r="790" spans="1:16" x14ac:dyDescent="0.25">
      <c r="A790" s="5">
        <v>217</v>
      </c>
      <c r="B790" s="60">
        <v>102017710</v>
      </c>
      <c r="C790" s="60" t="s">
        <v>2042</v>
      </c>
      <c r="D790" s="61" t="str">
        <f t="shared" si="17"/>
        <v>102017710/0036481631</v>
      </c>
      <c r="E790" s="69" t="s">
        <v>2043</v>
      </c>
      <c r="F790" s="57" t="s">
        <v>381</v>
      </c>
      <c r="G790" s="88"/>
      <c r="H790" s="88"/>
      <c r="I790" s="72" t="s">
        <v>1701</v>
      </c>
      <c r="J790" s="88"/>
      <c r="K790" s="170"/>
      <c r="L790" s="168"/>
      <c r="M790" s="170"/>
      <c r="N790" s="170"/>
      <c r="O790" s="170"/>
      <c r="P790" s="88" t="s">
        <v>1602</v>
      </c>
    </row>
    <row r="791" spans="1:16" x14ac:dyDescent="0.25">
      <c r="A791" s="5">
        <v>218</v>
      </c>
      <c r="B791" s="60">
        <v>102017893</v>
      </c>
      <c r="C791" s="63" t="s">
        <v>2044</v>
      </c>
      <c r="D791" s="61" t="str">
        <f t="shared" si="17"/>
        <v>102017893/0056311177</v>
      </c>
      <c r="E791" s="69" t="s">
        <v>2045</v>
      </c>
      <c r="F791" s="57" t="s">
        <v>381</v>
      </c>
      <c r="G791" s="88"/>
      <c r="H791" s="88"/>
      <c r="I791" s="72" t="s">
        <v>1630</v>
      </c>
      <c r="J791" s="88"/>
      <c r="K791" s="170"/>
      <c r="L791" s="168"/>
      <c r="M791" s="170"/>
      <c r="N791" s="170"/>
      <c r="O791" s="170"/>
      <c r="P791" s="88" t="s">
        <v>1602</v>
      </c>
    </row>
    <row r="792" spans="1:16" x14ac:dyDescent="0.25">
      <c r="A792" s="5">
        <v>219</v>
      </c>
      <c r="B792" s="60">
        <v>102017611</v>
      </c>
      <c r="C792" s="60" t="s">
        <v>2046</v>
      </c>
      <c r="D792" s="61" t="str">
        <f t="shared" si="17"/>
        <v>102017611/0053262035</v>
      </c>
      <c r="E792" s="75" t="s">
        <v>2047</v>
      </c>
      <c r="F792" s="57" t="s">
        <v>381</v>
      </c>
      <c r="G792" s="88"/>
      <c r="H792" s="88"/>
      <c r="I792" s="72" t="s">
        <v>1623</v>
      </c>
      <c r="J792" s="88"/>
      <c r="K792" s="170"/>
      <c r="L792" s="168"/>
      <c r="M792" s="170"/>
      <c r="N792" s="170"/>
      <c r="O792" s="170"/>
      <c r="P792" s="88" t="s">
        <v>1602</v>
      </c>
    </row>
    <row r="793" spans="1:16" x14ac:dyDescent="0.25">
      <c r="A793" s="5">
        <v>220</v>
      </c>
      <c r="B793" s="60">
        <v>102017679</v>
      </c>
      <c r="C793" s="60" t="s">
        <v>2048</v>
      </c>
      <c r="D793" s="61" t="str">
        <f t="shared" si="17"/>
        <v>102017679/0059150869</v>
      </c>
      <c r="E793" s="69" t="s">
        <v>2049</v>
      </c>
      <c r="F793" s="57" t="s">
        <v>381</v>
      </c>
      <c r="G793" s="88"/>
      <c r="H793" s="88"/>
      <c r="I793" s="72" t="s">
        <v>1647</v>
      </c>
      <c r="J793" s="88"/>
      <c r="K793" s="170"/>
      <c r="L793" s="168"/>
      <c r="M793" s="170"/>
      <c r="N793" s="170"/>
      <c r="O793" s="170"/>
      <c r="P793" s="88" t="s">
        <v>1602</v>
      </c>
    </row>
    <row r="794" spans="1:16" x14ac:dyDescent="0.25">
      <c r="A794" s="5">
        <v>221</v>
      </c>
      <c r="B794" s="60">
        <v>102017856</v>
      </c>
      <c r="C794" s="138" t="s">
        <v>2050</v>
      </c>
      <c r="D794" s="61" t="str">
        <f t="shared" si="17"/>
        <v>102017856/0055440316</v>
      </c>
      <c r="E794" s="69" t="s">
        <v>2051</v>
      </c>
      <c r="F794" s="57" t="s">
        <v>381</v>
      </c>
      <c r="G794" s="88"/>
      <c r="H794" s="88"/>
      <c r="I794" s="72" t="s">
        <v>1612</v>
      </c>
      <c r="J794" s="88"/>
      <c r="K794" s="170"/>
      <c r="L794" s="168"/>
      <c r="M794" s="170"/>
      <c r="N794" s="170"/>
      <c r="O794" s="170"/>
      <c r="P794" s="88" t="s">
        <v>2052</v>
      </c>
    </row>
    <row r="795" spans="1:16" x14ac:dyDescent="0.25">
      <c r="A795" s="5">
        <v>222</v>
      </c>
      <c r="B795" s="60">
        <v>102017711</v>
      </c>
      <c r="C795" s="60" t="s">
        <v>2053</v>
      </c>
      <c r="D795" s="61" t="str">
        <f t="shared" si="17"/>
        <v>102017711/0058353523</v>
      </c>
      <c r="E795" s="69" t="s">
        <v>2054</v>
      </c>
      <c r="F795" s="57" t="s">
        <v>379</v>
      </c>
      <c r="G795" s="88"/>
      <c r="H795" s="88"/>
      <c r="I795" s="72" t="s">
        <v>1701</v>
      </c>
      <c r="J795" s="88"/>
      <c r="K795" s="170"/>
      <c r="L795" s="168"/>
      <c r="M795" s="170"/>
      <c r="N795" s="170"/>
      <c r="O795" s="170"/>
      <c r="P795" s="88" t="s">
        <v>1602</v>
      </c>
    </row>
    <row r="796" spans="1:16" x14ac:dyDescent="0.25">
      <c r="A796" s="5">
        <v>223</v>
      </c>
      <c r="B796" s="60">
        <v>102017578</v>
      </c>
      <c r="C796" s="130" t="s">
        <v>2055</v>
      </c>
      <c r="D796" s="61" t="str">
        <f t="shared" si="17"/>
        <v>102017578/0054822962</v>
      </c>
      <c r="E796" s="75" t="s">
        <v>2056</v>
      </c>
      <c r="F796" s="57" t="s">
        <v>381</v>
      </c>
      <c r="G796" s="88"/>
      <c r="H796" s="88"/>
      <c r="I796" s="72" t="s">
        <v>1601</v>
      </c>
      <c r="J796" s="88"/>
      <c r="K796" s="170"/>
      <c r="L796" s="168"/>
      <c r="M796" s="170"/>
      <c r="N796" s="170"/>
      <c r="O796" s="170"/>
      <c r="P796" s="88" t="s">
        <v>1602</v>
      </c>
    </row>
    <row r="797" spans="1:16" x14ac:dyDescent="0.25">
      <c r="A797" s="5">
        <v>224</v>
      </c>
      <c r="B797" s="60">
        <v>102017645</v>
      </c>
      <c r="C797" s="60" t="s">
        <v>2057</v>
      </c>
      <c r="D797" s="61" t="str">
        <f t="shared" si="17"/>
        <v>102017645/0059911689</v>
      </c>
      <c r="E797" s="69" t="s">
        <v>2058</v>
      </c>
      <c r="F797" s="57" t="s">
        <v>381</v>
      </c>
      <c r="G797" s="88"/>
      <c r="H797" s="88"/>
      <c r="I797" s="72" t="s">
        <v>1637</v>
      </c>
      <c r="J797" s="88"/>
      <c r="K797" s="170"/>
      <c r="L797" s="168"/>
      <c r="M797" s="170"/>
      <c r="N797" s="170"/>
      <c r="O797" s="170"/>
      <c r="P797" s="88" t="s">
        <v>1602</v>
      </c>
    </row>
    <row r="798" spans="1:16" x14ac:dyDescent="0.25">
      <c r="A798" s="5">
        <v>225</v>
      </c>
      <c r="B798" s="60">
        <v>102017646</v>
      </c>
      <c r="C798" s="60" t="s">
        <v>2059</v>
      </c>
      <c r="D798" s="61" t="str">
        <f t="shared" si="17"/>
        <v>102017646/0053032082</v>
      </c>
      <c r="E798" s="69" t="s">
        <v>2060</v>
      </c>
      <c r="F798" s="57" t="s">
        <v>381</v>
      </c>
      <c r="G798" s="88"/>
      <c r="H798" s="88"/>
      <c r="I798" s="72" t="s">
        <v>1637</v>
      </c>
      <c r="J798" s="88"/>
      <c r="K798" s="170"/>
      <c r="L798" s="168"/>
      <c r="M798" s="170"/>
      <c r="N798" s="170"/>
      <c r="O798" s="170"/>
      <c r="P798" s="88" t="s">
        <v>1602</v>
      </c>
    </row>
    <row r="799" spans="1:16" x14ac:dyDescent="0.25">
      <c r="A799" s="5">
        <v>226</v>
      </c>
      <c r="B799" s="60">
        <v>102017894</v>
      </c>
      <c r="C799" s="63" t="s">
        <v>2061</v>
      </c>
      <c r="D799" s="61" t="str">
        <f t="shared" si="17"/>
        <v>102017894/0054506360</v>
      </c>
      <c r="E799" s="69" t="s">
        <v>2062</v>
      </c>
      <c r="F799" s="57" t="s">
        <v>379</v>
      </c>
      <c r="G799" s="88"/>
      <c r="H799" s="88"/>
      <c r="I799" s="72" t="s">
        <v>1630</v>
      </c>
      <c r="J799" s="88"/>
      <c r="K799" s="170"/>
      <c r="L799" s="168"/>
      <c r="M799" s="170"/>
      <c r="N799" s="170"/>
      <c r="O799" s="170"/>
      <c r="P799" s="88" t="s">
        <v>1602</v>
      </c>
    </row>
    <row r="800" spans="1:16" x14ac:dyDescent="0.25">
      <c r="A800" s="5">
        <v>227</v>
      </c>
      <c r="B800" s="60">
        <v>102017895</v>
      </c>
      <c r="C800" s="63" t="s">
        <v>2063</v>
      </c>
      <c r="D800" s="61" t="str">
        <f t="shared" si="17"/>
        <v>102017895/0048043466</v>
      </c>
      <c r="E800" s="69" t="s">
        <v>2064</v>
      </c>
      <c r="F800" s="57" t="s">
        <v>379</v>
      </c>
      <c r="G800" s="88"/>
      <c r="H800" s="88"/>
      <c r="I800" s="72" t="s">
        <v>1630</v>
      </c>
      <c r="J800" s="88"/>
      <c r="K800" s="170"/>
      <c r="L800" s="168"/>
      <c r="M800" s="170"/>
      <c r="N800" s="170"/>
      <c r="O800" s="170"/>
      <c r="P800" s="88" t="s">
        <v>1602</v>
      </c>
    </row>
    <row r="801" spans="1:16" x14ac:dyDescent="0.25">
      <c r="A801" s="5">
        <v>228</v>
      </c>
      <c r="B801" s="60">
        <v>102017933</v>
      </c>
      <c r="C801" s="136" t="s">
        <v>2065</v>
      </c>
      <c r="D801" s="61" t="str">
        <f t="shared" si="17"/>
        <v>102017933/0046509447</v>
      </c>
      <c r="E801" s="69" t="s">
        <v>2066</v>
      </c>
      <c r="F801" s="57" t="s">
        <v>379</v>
      </c>
      <c r="G801" s="88"/>
      <c r="H801" s="88"/>
      <c r="I801" s="72" t="s">
        <v>1615</v>
      </c>
      <c r="J801" s="88"/>
      <c r="K801" s="170"/>
      <c r="L801" s="168"/>
      <c r="M801" s="170"/>
      <c r="N801" s="170"/>
      <c r="O801" s="170"/>
      <c r="P801" s="88" t="s">
        <v>1602</v>
      </c>
    </row>
    <row r="802" spans="1:16" x14ac:dyDescent="0.25">
      <c r="A802" s="5">
        <v>229</v>
      </c>
      <c r="B802" s="60">
        <v>102017784</v>
      </c>
      <c r="C802" s="60" t="s">
        <v>2067</v>
      </c>
      <c r="D802" s="61" t="str">
        <f t="shared" si="17"/>
        <v>102017784/0045715515</v>
      </c>
      <c r="E802" s="69" t="s">
        <v>2068</v>
      </c>
      <c r="F802" s="57" t="s">
        <v>379</v>
      </c>
      <c r="G802" s="88"/>
      <c r="H802" s="88"/>
      <c r="I802" s="72" t="s">
        <v>1644</v>
      </c>
      <c r="J802" s="88"/>
      <c r="K802" s="170"/>
      <c r="L802" s="168"/>
      <c r="M802" s="170"/>
      <c r="N802" s="170"/>
      <c r="O802" s="170"/>
      <c r="P802" s="88" t="s">
        <v>1602</v>
      </c>
    </row>
    <row r="803" spans="1:16" x14ac:dyDescent="0.25">
      <c r="A803" s="5">
        <v>230</v>
      </c>
      <c r="B803" s="60">
        <v>102017857</v>
      </c>
      <c r="C803" s="64" t="s">
        <v>2069</v>
      </c>
      <c r="D803" s="61" t="str">
        <f t="shared" si="17"/>
        <v>102017857/0045794558</v>
      </c>
      <c r="E803" s="69" t="s">
        <v>2070</v>
      </c>
      <c r="F803" s="57" t="s">
        <v>379</v>
      </c>
      <c r="G803" s="88"/>
      <c r="H803" s="88"/>
      <c r="I803" s="72" t="s">
        <v>1612</v>
      </c>
      <c r="J803" s="88"/>
      <c r="K803" s="170"/>
      <c r="L803" s="168"/>
      <c r="M803" s="170"/>
      <c r="N803" s="170"/>
      <c r="O803" s="170"/>
      <c r="P803" s="88" t="s">
        <v>1602</v>
      </c>
    </row>
    <row r="804" spans="1:16" x14ac:dyDescent="0.25">
      <c r="A804" s="5">
        <v>231</v>
      </c>
      <c r="B804" s="60">
        <v>102017896</v>
      </c>
      <c r="C804" s="63" t="s">
        <v>2071</v>
      </c>
      <c r="D804" s="61" t="str">
        <f t="shared" si="17"/>
        <v>102017896/0051294546</v>
      </c>
      <c r="E804" s="69" t="s">
        <v>2072</v>
      </c>
      <c r="F804" s="57" t="s">
        <v>381</v>
      </c>
      <c r="G804" s="88"/>
      <c r="H804" s="88"/>
      <c r="I804" s="72" t="s">
        <v>1630</v>
      </c>
      <c r="J804" s="88"/>
      <c r="K804" s="170"/>
      <c r="L804" s="168"/>
      <c r="M804" s="170"/>
      <c r="N804" s="170"/>
      <c r="O804" s="170"/>
      <c r="P804" s="88" t="s">
        <v>1602</v>
      </c>
    </row>
    <row r="805" spans="1:16" x14ac:dyDescent="0.25">
      <c r="A805" s="5">
        <v>232</v>
      </c>
      <c r="B805" s="60">
        <v>102017579</v>
      </c>
      <c r="C805" s="60" t="s">
        <v>2073</v>
      </c>
      <c r="D805" s="61" t="str">
        <f t="shared" si="17"/>
        <v>102017579/0044669091</v>
      </c>
      <c r="E805" s="75" t="s">
        <v>2074</v>
      </c>
      <c r="F805" s="57" t="s">
        <v>381</v>
      </c>
      <c r="G805" s="88"/>
      <c r="H805" s="88"/>
      <c r="I805" s="72" t="s">
        <v>1601</v>
      </c>
      <c r="J805" s="88"/>
      <c r="K805" s="170"/>
      <c r="L805" s="168"/>
      <c r="M805" s="170"/>
      <c r="N805" s="170"/>
      <c r="O805" s="170"/>
      <c r="P805" s="88" t="s">
        <v>1602</v>
      </c>
    </row>
    <row r="806" spans="1:16" x14ac:dyDescent="0.25">
      <c r="A806" s="5">
        <v>233</v>
      </c>
      <c r="B806" s="60">
        <v>102017580</v>
      </c>
      <c r="C806" s="60" t="s">
        <v>2075</v>
      </c>
      <c r="D806" s="61" t="str">
        <f t="shared" si="17"/>
        <v>102017580/0052519110</v>
      </c>
      <c r="E806" s="75" t="s">
        <v>2076</v>
      </c>
      <c r="F806" s="57" t="s">
        <v>381</v>
      </c>
      <c r="G806" s="88"/>
      <c r="H806" s="88"/>
      <c r="I806" s="72" t="s">
        <v>1601</v>
      </c>
      <c r="J806" s="88"/>
      <c r="K806" s="170"/>
      <c r="L806" s="168"/>
      <c r="M806" s="170"/>
      <c r="N806" s="170"/>
      <c r="O806" s="170"/>
      <c r="P806" s="88" t="s">
        <v>1602</v>
      </c>
    </row>
    <row r="807" spans="1:16" x14ac:dyDescent="0.25">
      <c r="A807" s="5">
        <v>234</v>
      </c>
      <c r="B807" s="60">
        <v>102017647</v>
      </c>
      <c r="C807" s="62" t="s">
        <v>2077</v>
      </c>
      <c r="D807" s="61" t="str">
        <f t="shared" si="17"/>
        <v>102017647/0057493244</v>
      </c>
      <c r="E807" s="69" t="s">
        <v>2078</v>
      </c>
      <c r="F807" s="57" t="s">
        <v>381</v>
      </c>
      <c r="G807" s="88"/>
      <c r="H807" s="88"/>
      <c r="I807" s="72" t="s">
        <v>1637</v>
      </c>
      <c r="J807" s="88"/>
      <c r="K807" s="170"/>
      <c r="L807" s="168"/>
      <c r="M807" s="170"/>
      <c r="N807" s="170"/>
      <c r="O807" s="170"/>
      <c r="P807" s="88" t="s">
        <v>1602</v>
      </c>
    </row>
    <row r="808" spans="1:16" x14ac:dyDescent="0.25">
      <c r="A808" s="5">
        <v>235</v>
      </c>
      <c r="B808" s="60">
        <v>102017680</v>
      </c>
      <c r="C808" s="62" t="s">
        <v>2079</v>
      </c>
      <c r="D808" s="61" t="str">
        <f t="shared" si="17"/>
        <v>102017680/0052616231</v>
      </c>
      <c r="E808" s="69" t="s">
        <v>2080</v>
      </c>
      <c r="F808" s="57" t="s">
        <v>381</v>
      </c>
      <c r="G808" s="88"/>
      <c r="H808" s="88"/>
      <c r="I808" s="72" t="s">
        <v>1647</v>
      </c>
      <c r="J808" s="88"/>
      <c r="K808" s="170"/>
      <c r="L808" s="168"/>
      <c r="M808" s="170"/>
      <c r="N808" s="170"/>
      <c r="O808" s="170"/>
      <c r="P808" s="88" t="s">
        <v>1602</v>
      </c>
    </row>
    <row r="809" spans="1:16" x14ac:dyDescent="0.25">
      <c r="A809" s="5">
        <v>236</v>
      </c>
      <c r="B809" s="60">
        <v>102017934</v>
      </c>
      <c r="C809" s="63" t="s">
        <v>2081</v>
      </c>
      <c r="D809" s="61" t="str">
        <f t="shared" si="17"/>
        <v>102017934/3053112964</v>
      </c>
      <c r="E809" s="69" t="s">
        <v>2082</v>
      </c>
      <c r="F809" s="57" t="s">
        <v>381</v>
      </c>
      <c r="G809" s="88"/>
      <c r="H809" s="88"/>
      <c r="I809" s="72" t="s">
        <v>1615</v>
      </c>
      <c r="J809" s="88"/>
      <c r="K809" s="170"/>
      <c r="L809" s="168"/>
      <c r="M809" s="170"/>
      <c r="N809" s="170"/>
      <c r="O809" s="170"/>
      <c r="P809" s="88" t="s">
        <v>1602</v>
      </c>
    </row>
    <row r="810" spans="1:16" x14ac:dyDescent="0.25">
      <c r="A810" s="5">
        <v>237</v>
      </c>
      <c r="B810" s="60">
        <v>102017581</v>
      </c>
      <c r="C810" s="60" t="s">
        <v>2083</v>
      </c>
      <c r="D810" s="61" t="str">
        <f t="shared" si="17"/>
        <v>102017581/0049766048</v>
      </c>
      <c r="E810" s="75" t="s">
        <v>2084</v>
      </c>
      <c r="F810" s="57" t="s">
        <v>381</v>
      </c>
      <c r="G810" s="88"/>
      <c r="H810" s="88"/>
      <c r="I810" s="72" t="s">
        <v>1601</v>
      </c>
      <c r="J810" s="88"/>
      <c r="K810" s="170"/>
      <c r="L810" s="168"/>
      <c r="M810" s="170"/>
      <c r="N810" s="170"/>
      <c r="O810" s="170"/>
      <c r="P810" s="88" t="s">
        <v>1602</v>
      </c>
    </row>
    <row r="811" spans="1:16" x14ac:dyDescent="0.25">
      <c r="A811" s="5">
        <v>238</v>
      </c>
      <c r="B811" s="60">
        <v>102017858</v>
      </c>
      <c r="C811" s="63" t="s">
        <v>2085</v>
      </c>
      <c r="D811" s="61" t="str">
        <f t="shared" si="17"/>
        <v>102017858/0050690285</v>
      </c>
      <c r="E811" s="69" t="s">
        <v>2086</v>
      </c>
      <c r="F811" s="57" t="s">
        <v>381</v>
      </c>
      <c r="G811" s="88"/>
      <c r="H811" s="88"/>
      <c r="I811" s="72" t="s">
        <v>1612</v>
      </c>
      <c r="J811" s="88"/>
      <c r="K811" s="170"/>
      <c r="L811" s="168"/>
      <c r="M811" s="170"/>
      <c r="N811" s="170"/>
      <c r="O811" s="170"/>
      <c r="P811" s="88" t="s">
        <v>1602</v>
      </c>
    </row>
    <row r="812" spans="1:16" x14ac:dyDescent="0.25">
      <c r="A812" s="5">
        <v>239</v>
      </c>
      <c r="B812" s="60">
        <v>102017897</v>
      </c>
      <c r="C812" s="63" t="s">
        <v>2087</v>
      </c>
      <c r="D812" s="61" t="str">
        <f t="shared" si="17"/>
        <v>102017897/0047939928</v>
      </c>
      <c r="E812" s="69" t="s">
        <v>2088</v>
      </c>
      <c r="F812" s="57" t="s">
        <v>381</v>
      </c>
      <c r="G812" s="88"/>
      <c r="H812" s="88"/>
      <c r="I812" s="72" t="s">
        <v>1630</v>
      </c>
      <c r="J812" s="88"/>
      <c r="K812" s="170"/>
      <c r="L812" s="168"/>
      <c r="M812" s="170"/>
      <c r="N812" s="170"/>
      <c r="O812" s="170"/>
      <c r="P812" s="88" t="s">
        <v>1602</v>
      </c>
    </row>
    <row r="813" spans="1:16" x14ac:dyDescent="0.25">
      <c r="A813" s="5">
        <v>240</v>
      </c>
      <c r="B813" s="60">
        <v>102017681</v>
      </c>
      <c r="C813" s="60" t="s">
        <v>2089</v>
      </c>
      <c r="D813" s="61" t="str">
        <f t="shared" si="17"/>
        <v>102017681/3045812077</v>
      </c>
      <c r="E813" s="69" t="s">
        <v>2090</v>
      </c>
      <c r="F813" s="57" t="s">
        <v>381</v>
      </c>
      <c r="G813" s="88"/>
      <c r="H813" s="88"/>
      <c r="I813" s="72" t="s">
        <v>1647</v>
      </c>
      <c r="J813" s="88"/>
      <c r="K813" s="170"/>
      <c r="L813" s="168"/>
      <c r="M813" s="170"/>
      <c r="N813" s="170"/>
      <c r="O813" s="170"/>
      <c r="P813" s="88" t="s">
        <v>1602</v>
      </c>
    </row>
    <row r="814" spans="1:16" x14ac:dyDescent="0.25">
      <c r="A814" s="5">
        <v>241</v>
      </c>
      <c r="B814" s="60">
        <v>102017935</v>
      </c>
      <c r="C814" s="63" t="s">
        <v>2091</v>
      </c>
      <c r="D814" s="61" t="str">
        <f t="shared" si="17"/>
        <v>102017935/0044554939</v>
      </c>
      <c r="E814" s="69" t="s">
        <v>2092</v>
      </c>
      <c r="F814" s="57" t="s">
        <v>381</v>
      </c>
      <c r="G814" s="88"/>
      <c r="H814" s="88"/>
      <c r="I814" s="72" t="s">
        <v>1615</v>
      </c>
      <c r="J814" s="88"/>
      <c r="K814" s="170"/>
      <c r="L814" s="168"/>
      <c r="M814" s="170"/>
      <c r="N814" s="170"/>
      <c r="O814" s="170"/>
      <c r="P814" s="88" t="s">
        <v>1602</v>
      </c>
    </row>
    <row r="815" spans="1:16" x14ac:dyDescent="0.25">
      <c r="A815" s="5">
        <v>242</v>
      </c>
      <c r="B815" s="60">
        <v>102017898</v>
      </c>
      <c r="C815" s="63" t="s">
        <v>2093</v>
      </c>
      <c r="D815" s="61" t="str">
        <f t="shared" si="17"/>
        <v>102017898/0046359227</v>
      </c>
      <c r="E815" s="69" t="s">
        <v>2094</v>
      </c>
      <c r="F815" s="57" t="s">
        <v>381</v>
      </c>
      <c r="G815" s="88"/>
      <c r="H815" s="88"/>
      <c r="I815" s="72" t="s">
        <v>1630</v>
      </c>
      <c r="J815" s="88"/>
      <c r="K815" s="170"/>
      <c r="L815" s="168"/>
      <c r="M815" s="170"/>
      <c r="N815" s="170"/>
      <c r="O815" s="170"/>
      <c r="P815" s="88" t="s">
        <v>1602</v>
      </c>
    </row>
    <row r="816" spans="1:16" x14ac:dyDescent="0.25">
      <c r="A816" s="5">
        <v>243</v>
      </c>
      <c r="B816" s="60">
        <v>102017936</v>
      </c>
      <c r="C816" s="63" t="s">
        <v>2095</v>
      </c>
      <c r="D816" s="61" t="str">
        <f t="shared" si="17"/>
        <v>102017936/0045644566</v>
      </c>
      <c r="E816" s="94" t="s">
        <v>2096</v>
      </c>
      <c r="F816" s="57" t="s">
        <v>379</v>
      </c>
      <c r="G816" s="88"/>
      <c r="H816" s="88"/>
      <c r="I816" s="72" t="s">
        <v>1615</v>
      </c>
      <c r="J816" s="88"/>
      <c r="K816" s="170"/>
      <c r="L816" s="168"/>
      <c r="M816" s="170"/>
      <c r="N816" s="170"/>
      <c r="O816" s="170"/>
      <c r="P816" s="88" t="s">
        <v>1602</v>
      </c>
    </row>
    <row r="817" spans="1:16" x14ac:dyDescent="0.25">
      <c r="A817" s="5">
        <v>244</v>
      </c>
      <c r="B817" s="60">
        <v>102017785</v>
      </c>
      <c r="C817" s="60" t="s">
        <v>2097</v>
      </c>
      <c r="D817" s="61" t="str">
        <f t="shared" si="17"/>
        <v>102017785/0051463158</v>
      </c>
      <c r="E817" s="69" t="s">
        <v>2098</v>
      </c>
      <c r="F817" s="57" t="s">
        <v>381</v>
      </c>
      <c r="G817" s="88"/>
      <c r="H817" s="88"/>
      <c r="I817" s="72" t="s">
        <v>1644</v>
      </c>
      <c r="J817" s="88"/>
      <c r="K817" s="170"/>
      <c r="L817" s="168"/>
      <c r="M817" s="170"/>
      <c r="N817" s="170"/>
      <c r="O817" s="170"/>
      <c r="P817" s="88" t="s">
        <v>1602</v>
      </c>
    </row>
    <row r="818" spans="1:16" x14ac:dyDescent="0.25">
      <c r="A818" s="5">
        <v>245</v>
      </c>
      <c r="B818" s="60">
        <v>102017682</v>
      </c>
      <c r="C818" s="62" t="s">
        <v>2099</v>
      </c>
      <c r="D818" s="61" t="str">
        <f t="shared" si="17"/>
        <v>102017682/0048310895</v>
      </c>
      <c r="E818" s="69" t="s">
        <v>2100</v>
      </c>
      <c r="F818" s="57" t="s">
        <v>381</v>
      </c>
      <c r="G818" s="88"/>
      <c r="H818" s="88"/>
      <c r="I818" s="72" t="s">
        <v>1647</v>
      </c>
      <c r="J818" s="88"/>
      <c r="K818" s="170"/>
      <c r="L818" s="168"/>
      <c r="M818" s="170"/>
      <c r="N818" s="170"/>
      <c r="O818" s="170"/>
      <c r="P818" s="88" t="s">
        <v>1602</v>
      </c>
    </row>
    <row r="819" spans="1:16" x14ac:dyDescent="0.25">
      <c r="A819" s="5">
        <v>246</v>
      </c>
      <c r="B819" s="60">
        <v>102017859</v>
      </c>
      <c r="C819" s="63" t="s">
        <v>2101</v>
      </c>
      <c r="D819" s="61" t="str">
        <f t="shared" si="17"/>
        <v>102017859/0046194015</v>
      </c>
      <c r="E819" s="69" t="s">
        <v>2102</v>
      </c>
      <c r="F819" s="57" t="s">
        <v>379</v>
      </c>
      <c r="G819" s="88"/>
      <c r="H819" s="88"/>
      <c r="I819" s="72" t="s">
        <v>1612</v>
      </c>
      <c r="J819" s="88"/>
      <c r="K819" s="170"/>
      <c r="L819" s="168"/>
      <c r="M819" s="170"/>
      <c r="N819" s="170"/>
      <c r="O819" s="170"/>
      <c r="P819" s="88" t="s">
        <v>1602</v>
      </c>
    </row>
    <row r="820" spans="1:16" x14ac:dyDescent="0.25">
      <c r="A820" s="5">
        <v>247</v>
      </c>
      <c r="B820" s="60">
        <v>102017827</v>
      </c>
      <c r="C820" s="60" t="s">
        <v>2103</v>
      </c>
      <c r="D820" s="61" t="str">
        <f t="shared" si="17"/>
        <v>102017827/0054022445</v>
      </c>
      <c r="E820" s="69" t="s">
        <v>2104</v>
      </c>
      <c r="F820" s="57" t="s">
        <v>379</v>
      </c>
      <c r="G820" s="88"/>
      <c r="H820" s="88"/>
      <c r="I820" s="72" t="s">
        <v>1618</v>
      </c>
      <c r="J820" s="88"/>
      <c r="K820" s="170"/>
      <c r="L820" s="168"/>
      <c r="M820" s="170"/>
      <c r="N820" s="170"/>
      <c r="O820" s="170"/>
      <c r="P820" s="88" t="s">
        <v>1602</v>
      </c>
    </row>
    <row r="821" spans="1:16" x14ac:dyDescent="0.25">
      <c r="A821" s="5">
        <v>248</v>
      </c>
      <c r="B821" s="60">
        <v>102017937</v>
      </c>
      <c r="C821" s="63" t="s">
        <v>2105</v>
      </c>
      <c r="D821" s="61" t="str">
        <f t="shared" si="17"/>
        <v>102017937/0006348471</v>
      </c>
      <c r="E821" s="69" t="s">
        <v>2106</v>
      </c>
      <c r="F821" s="57" t="s">
        <v>379</v>
      </c>
      <c r="G821" s="88"/>
      <c r="H821" s="88"/>
      <c r="I821" s="72" t="s">
        <v>1615</v>
      </c>
      <c r="J821" s="88"/>
      <c r="K821" s="170"/>
      <c r="L821" s="168"/>
      <c r="M821" s="170"/>
      <c r="N821" s="170"/>
      <c r="O821" s="170"/>
      <c r="P821" s="88" t="s">
        <v>1602</v>
      </c>
    </row>
    <row r="822" spans="1:16" x14ac:dyDescent="0.25">
      <c r="A822" s="5">
        <v>249</v>
      </c>
      <c r="B822" s="60">
        <v>102017786</v>
      </c>
      <c r="C822" s="60" t="s">
        <v>2107</v>
      </c>
      <c r="D822" s="61" t="str">
        <f t="shared" si="17"/>
        <v>102017786/0051212467</v>
      </c>
      <c r="E822" s="69" t="s">
        <v>2108</v>
      </c>
      <c r="F822" s="57" t="s">
        <v>379</v>
      </c>
      <c r="G822" s="88"/>
      <c r="H822" s="88"/>
      <c r="I822" s="72" t="s">
        <v>1644</v>
      </c>
      <c r="J822" s="88"/>
      <c r="K822" s="170"/>
      <c r="L822" s="168"/>
      <c r="M822" s="170"/>
      <c r="N822" s="170"/>
      <c r="O822" s="170"/>
      <c r="P822" s="88" t="s">
        <v>1602</v>
      </c>
    </row>
    <row r="823" spans="1:16" x14ac:dyDescent="0.25">
      <c r="A823" s="5">
        <v>250</v>
      </c>
      <c r="B823" s="60">
        <v>102017712</v>
      </c>
      <c r="C823" s="60" t="s">
        <v>2109</v>
      </c>
      <c r="D823" s="61" t="str">
        <f t="shared" si="17"/>
        <v>102017712/0057128515</v>
      </c>
      <c r="E823" s="69" t="s">
        <v>2110</v>
      </c>
      <c r="F823" s="57" t="s">
        <v>381</v>
      </c>
      <c r="G823" s="88"/>
      <c r="H823" s="88"/>
      <c r="I823" s="72" t="s">
        <v>1701</v>
      </c>
      <c r="J823" s="88"/>
      <c r="K823" s="170"/>
      <c r="L823" s="168"/>
      <c r="M823" s="170"/>
      <c r="N823" s="170"/>
      <c r="O823" s="170"/>
      <c r="P823" s="88" t="s">
        <v>1602</v>
      </c>
    </row>
    <row r="824" spans="1:16" x14ac:dyDescent="0.25">
      <c r="A824" s="5">
        <v>251</v>
      </c>
      <c r="B824" s="60">
        <v>102017899</v>
      </c>
      <c r="C824" s="63" t="s">
        <v>2111</v>
      </c>
      <c r="D824" s="61" t="str">
        <f t="shared" si="17"/>
        <v>102017899/0043876256</v>
      </c>
      <c r="E824" s="69" t="s">
        <v>2112</v>
      </c>
      <c r="F824" s="57" t="s">
        <v>379</v>
      </c>
      <c r="G824" s="88"/>
      <c r="H824" s="88"/>
      <c r="I824" s="72" t="s">
        <v>1630</v>
      </c>
      <c r="J824" s="88"/>
      <c r="K824" s="170"/>
      <c r="L824" s="168"/>
      <c r="M824" s="170"/>
      <c r="N824" s="170"/>
      <c r="O824" s="170"/>
      <c r="P824" s="88" t="s">
        <v>1602</v>
      </c>
    </row>
    <row r="825" spans="1:16" x14ac:dyDescent="0.25">
      <c r="A825" s="5">
        <v>252</v>
      </c>
      <c r="B825" s="60">
        <v>102017713</v>
      </c>
      <c r="C825" s="60" t="s">
        <v>2113</v>
      </c>
      <c r="D825" s="61" t="str">
        <f t="shared" si="17"/>
        <v>102017713/0059508916</v>
      </c>
      <c r="E825" s="69" t="s">
        <v>2114</v>
      </c>
      <c r="F825" s="57" t="s">
        <v>379</v>
      </c>
      <c r="G825" s="88"/>
      <c r="H825" s="88"/>
      <c r="I825" s="72" t="s">
        <v>1701</v>
      </c>
      <c r="J825" s="88"/>
      <c r="K825" s="170"/>
      <c r="L825" s="168"/>
      <c r="M825" s="170"/>
      <c r="N825" s="170"/>
      <c r="O825" s="170"/>
      <c r="P825" s="88" t="s">
        <v>1602</v>
      </c>
    </row>
    <row r="826" spans="1:16" x14ac:dyDescent="0.25">
      <c r="A826" s="5">
        <v>253</v>
      </c>
      <c r="B826" s="60">
        <v>102017860</v>
      </c>
      <c r="C826" s="63" t="s">
        <v>2115</v>
      </c>
      <c r="D826" s="61" t="str">
        <f t="shared" si="17"/>
        <v>102017860/0057970540</v>
      </c>
      <c r="E826" s="69" t="s">
        <v>2116</v>
      </c>
      <c r="F826" s="57" t="s">
        <v>379</v>
      </c>
      <c r="G826" s="88"/>
      <c r="H826" s="88"/>
      <c r="I826" s="72" t="s">
        <v>1612</v>
      </c>
      <c r="J826" s="88"/>
      <c r="K826" s="170"/>
      <c r="L826" s="168"/>
      <c r="M826" s="170"/>
      <c r="N826" s="170"/>
      <c r="O826" s="170"/>
      <c r="P826" s="88" t="s">
        <v>1602</v>
      </c>
    </row>
    <row r="827" spans="1:16" x14ac:dyDescent="0.25">
      <c r="A827" s="5">
        <v>254</v>
      </c>
      <c r="B827" s="60">
        <v>102017938</v>
      </c>
      <c r="C827" s="63" t="s">
        <v>2117</v>
      </c>
      <c r="D827" s="61" t="str">
        <f t="shared" si="17"/>
        <v>102017938/0045577490</v>
      </c>
      <c r="E827" s="69" t="s">
        <v>2118</v>
      </c>
      <c r="F827" s="57" t="s">
        <v>379</v>
      </c>
      <c r="G827" s="88"/>
      <c r="H827" s="88"/>
      <c r="I827" s="72" t="s">
        <v>1615</v>
      </c>
      <c r="J827" s="88"/>
      <c r="K827" s="170"/>
      <c r="L827" s="168"/>
      <c r="M827" s="170"/>
      <c r="N827" s="170"/>
      <c r="O827" s="170"/>
      <c r="P827" s="88" t="s">
        <v>1602</v>
      </c>
    </row>
    <row r="828" spans="1:16" x14ac:dyDescent="0.25">
      <c r="A828" s="5">
        <v>255</v>
      </c>
      <c r="B828" s="60">
        <v>102017939</v>
      </c>
      <c r="C828" s="63" t="s">
        <v>2119</v>
      </c>
      <c r="D828" s="61" t="str">
        <f t="shared" si="17"/>
        <v>102017939/0046468997</v>
      </c>
      <c r="E828" s="69" t="s">
        <v>2120</v>
      </c>
      <c r="F828" s="57" t="s">
        <v>379</v>
      </c>
      <c r="G828" s="88"/>
      <c r="H828" s="88"/>
      <c r="I828" s="72" t="s">
        <v>1615</v>
      </c>
      <c r="J828" s="88"/>
      <c r="K828" s="170"/>
      <c r="L828" s="168"/>
      <c r="M828" s="170"/>
      <c r="N828" s="170"/>
      <c r="O828" s="170"/>
      <c r="P828" s="88" t="s">
        <v>1602</v>
      </c>
    </row>
    <row r="829" spans="1:16" x14ac:dyDescent="0.25">
      <c r="A829" s="5">
        <v>256</v>
      </c>
      <c r="B829" s="60">
        <v>102017648</v>
      </c>
      <c r="C829" s="60" t="s">
        <v>2121</v>
      </c>
      <c r="D829" s="61" t="str">
        <f t="shared" si="17"/>
        <v>102017648/0059669051</v>
      </c>
      <c r="E829" s="69" t="s">
        <v>2122</v>
      </c>
      <c r="F829" s="57" t="s">
        <v>381</v>
      </c>
      <c r="G829" s="88"/>
      <c r="H829" s="88"/>
      <c r="I829" s="72" t="s">
        <v>1637</v>
      </c>
      <c r="J829" s="88"/>
      <c r="K829" s="170"/>
      <c r="L829" s="168"/>
      <c r="M829" s="170"/>
      <c r="N829" s="170"/>
      <c r="O829" s="170"/>
      <c r="P829" s="88" t="s">
        <v>1602</v>
      </c>
    </row>
    <row r="830" spans="1:16" x14ac:dyDescent="0.25">
      <c r="A830" s="5">
        <v>257</v>
      </c>
      <c r="B830" s="60">
        <v>102017745</v>
      </c>
      <c r="C830" s="60" t="s">
        <v>2123</v>
      </c>
      <c r="D830" s="61" t="str">
        <f t="shared" ref="D830:D893" si="18">B830&amp;"/"&amp;C830</f>
        <v>102017745/0046418824</v>
      </c>
      <c r="E830" s="69" t="s">
        <v>2124</v>
      </c>
      <c r="F830" s="57" t="s">
        <v>381</v>
      </c>
      <c r="G830" s="88"/>
      <c r="H830" s="88"/>
      <c r="I830" s="72" t="s">
        <v>1607</v>
      </c>
      <c r="J830" s="88"/>
      <c r="K830" s="170"/>
      <c r="L830" s="168"/>
      <c r="M830" s="170"/>
      <c r="N830" s="170"/>
      <c r="O830" s="170"/>
      <c r="P830" s="88" t="s">
        <v>1602</v>
      </c>
    </row>
    <row r="831" spans="1:16" x14ac:dyDescent="0.25">
      <c r="A831" s="5">
        <v>258</v>
      </c>
      <c r="B831" s="60">
        <v>102017582</v>
      </c>
      <c r="C831" s="60" t="s">
        <v>2125</v>
      </c>
      <c r="D831" s="61" t="str">
        <f t="shared" si="18"/>
        <v>102017582/0042262917</v>
      </c>
      <c r="E831" s="75" t="s">
        <v>2126</v>
      </c>
      <c r="F831" s="57" t="s">
        <v>381</v>
      </c>
      <c r="G831" s="88"/>
      <c r="H831" s="88"/>
      <c r="I831" s="72" t="s">
        <v>1601</v>
      </c>
      <c r="J831" s="88"/>
      <c r="K831" s="170"/>
      <c r="L831" s="168"/>
      <c r="M831" s="170"/>
      <c r="N831" s="170"/>
      <c r="O831" s="170"/>
      <c r="P831" s="88" t="s">
        <v>1602</v>
      </c>
    </row>
    <row r="832" spans="1:16" x14ac:dyDescent="0.25">
      <c r="A832" s="5">
        <v>259</v>
      </c>
      <c r="B832" s="60">
        <v>102017683</v>
      </c>
      <c r="C832" s="62" t="s">
        <v>2127</v>
      </c>
      <c r="D832" s="61" t="str">
        <f t="shared" si="18"/>
        <v>102017683/0048603849</v>
      </c>
      <c r="E832" s="69" t="s">
        <v>2128</v>
      </c>
      <c r="F832" s="57" t="s">
        <v>381</v>
      </c>
      <c r="G832" s="88"/>
      <c r="H832" s="88"/>
      <c r="I832" s="72" t="s">
        <v>1647</v>
      </c>
      <c r="J832" s="88"/>
      <c r="K832" s="170"/>
      <c r="L832" s="168"/>
      <c r="M832" s="170"/>
      <c r="N832" s="170"/>
      <c r="O832" s="170"/>
      <c r="P832" s="88" t="s">
        <v>1602</v>
      </c>
    </row>
    <row r="833" spans="1:16" x14ac:dyDescent="0.25">
      <c r="A833" s="5">
        <v>260</v>
      </c>
      <c r="B833" s="60">
        <v>102017787</v>
      </c>
      <c r="C833" s="60" t="s">
        <v>2129</v>
      </c>
      <c r="D833" s="61" t="str">
        <f t="shared" si="18"/>
        <v>102017787/0059055411</v>
      </c>
      <c r="E833" s="69" t="s">
        <v>2130</v>
      </c>
      <c r="F833" s="57" t="s">
        <v>379</v>
      </c>
      <c r="G833" s="88"/>
      <c r="H833" s="88"/>
      <c r="I833" s="72" t="s">
        <v>1644</v>
      </c>
      <c r="J833" s="88"/>
      <c r="K833" s="170"/>
      <c r="L833" s="168"/>
      <c r="M833" s="170"/>
      <c r="N833" s="170"/>
      <c r="O833" s="170"/>
      <c r="P833" s="88" t="s">
        <v>1602</v>
      </c>
    </row>
    <row r="834" spans="1:16" x14ac:dyDescent="0.25">
      <c r="A834" s="5">
        <v>261</v>
      </c>
      <c r="B834" s="60">
        <v>102017861</v>
      </c>
      <c r="C834" s="63" t="s">
        <v>2131</v>
      </c>
      <c r="D834" s="61" t="str">
        <f t="shared" si="18"/>
        <v>102017861/0053222610</v>
      </c>
      <c r="E834" s="69" t="s">
        <v>2132</v>
      </c>
      <c r="F834" s="57" t="s">
        <v>379</v>
      </c>
      <c r="G834" s="88"/>
      <c r="H834" s="88"/>
      <c r="I834" s="72" t="s">
        <v>1612</v>
      </c>
      <c r="J834" s="88"/>
      <c r="K834" s="170"/>
      <c r="L834" s="168"/>
      <c r="M834" s="170"/>
      <c r="N834" s="170"/>
      <c r="O834" s="170"/>
      <c r="P834" s="88" t="s">
        <v>1602</v>
      </c>
    </row>
    <row r="835" spans="1:16" x14ac:dyDescent="0.25">
      <c r="A835" s="5">
        <v>262</v>
      </c>
      <c r="B835" s="60">
        <v>102017940</v>
      </c>
      <c r="C835" s="63" t="s">
        <v>2133</v>
      </c>
      <c r="D835" s="61" t="str">
        <f t="shared" si="18"/>
        <v>102017940/0011847709</v>
      </c>
      <c r="E835" s="69" t="s">
        <v>2134</v>
      </c>
      <c r="F835" s="57" t="s">
        <v>379</v>
      </c>
      <c r="G835" s="88"/>
      <c r="H835" s="88"/>
      <c r="I835" s="72" t="s">
        <v>1615</v>
      </c>
      <c r="J835" s="88"/>
      <c r="K835" s="170"/>
      <c r="L835" s="168"/>
      <c r="M835" s="170"/>
      <c r="N835" s="170"/>
      <c r="O835" s="170"/>
      <c r="P835" s="88" t="s">
        <v>1602</v>
      </c>
    </row>
    <row r="836" spans="1:16" x14ac:dyDescent="0.25">
      <c r="A836" s="5">
        <v>263</v>
      </c>
      <c r="B836" s="60">
        <v>102017746</v>
      </c>
      <c r="C836" s="60" t="s">
        <v>2135</v>
      </c>
      <c r="D836" s="61" t="str">
        <f t="shared" si="18"/>
        <v>102017746/0059014633</v>
      </c>
      <c r="E836" s="69" t="s">
        <v>2136</v>
      </c>
      <c r="F836" s="57" t="s">
        <v>381</v>
      </c>
      <c r="G836" s="88"/>
      <c r="H836" s="88"/>
      <c r="I836" s="72" t="s">
        <v>1607</v>
      </c>
      <c r="J836" s="88"/>
      <c r="K836" s="170"/>
      <c r="L836" s="168"/>
      <c r="M836" s="170"/>
      <c r="N836" s="170"/>
      <c r="O836" s="170"/>
      <c r="P836" s="88" t="s">
        <v>1602</v>
      </c>
    </row>
    <row r="837" spans="1:16" x14ac:dyDescent="0.25">
      <c r="A837" s="5">
        <v>264</v>
      </c>
      <c r="B837" s="60">
        <v>102017788</v>
      </c>
      <c r="C837" s="60" t="s">
        <v>2137</v>
      </c>
      <c r="D837" s="61" t="str">
        <f t="shared" si="18"/>
        <v>102017788/0059129303</v>
      </c>
      <c r="E837" s="69" t="s">
        <v>2138</v>
      </c>
      <c r="F837" s="57" t="s">
        <v>381</v>
      </c>
      <c r="G837" s="88"/>
      <c r="H837" s="88"/>
      <c r="I837" s="72" t="s">
        <v>1644</v>
      </c>
      <c r="J837" s="88"/>
      <c r="K837" s="170"/>
      <c r="L837" s="168"/>
      <c r="M837" s="170"/>
      <c r="N837" s="170"/>
      <c r="O837" s="170"/>
      <c r="P837" s="88" t="s">
        <v>1602</v>
      </c>
    </row>
    <row r="838" spans="1:16" x14ac:dyDescent="0.25">
      <c r="A838" s="5">
        <v>265</v>
      </c>
      <c r="B838" s="60">
        <v>102017612</v>
      </c>
      <c r="C838" s="60" t="s">
        <v>2139</v>
      </c>
      <c r="D838" s="61" t="str">
        <f t="shared" si="18"/>
        <v>102017612/0034221560</v>
      </c>
      <c r="E838" s="75" t="s">
        <v>2140</v>
      </c>
      <c r="F838" s="57" t="s">
        <v>381</v>
      </c>
      <c r="G838" s="88"/>
      <c r="H838" s="88"/>
      <c r="I838" s="72" t="s">
        <v>1623</v>
      </c>
      <c r="J838" s="88"/>
      <c r="K838" s="170"/>
      <c r="L838" s="168"/>
      <c r="M838" s="170"/>
      <c r="N838" s="170"/>
      <c r="O838" s="170"/>
      <c r="P838" s="88" t="s">
        <v>1602</v>
      </c>
    </row>
    <row r="839" spans="1:16" x14ac:dyDescent="0.25">
      <c r="A839" s="5">
        <v>266</v>
      </c>
      <c r="B839" s="60">
        <v>102017862</v>
      </c>
      <c r="C839" s="64" t="s">
        <v>2141</v>
      </c>
      <c r="D839" s="61" t="str">
        <f t="shared" si="18"/>
        <v>102017862/0052692698</v>
      </c>
      <c r="E839" s="69" t="s">
        <v>2142</v>
      </c>
      <c r="F839" s="57" t="s">
        <v>379</v>
      </c>
      <c r="G839" s="88"/>
      <c r="H839" s="88"/>
      <c r="I839" s="72" t="s">
        <v>1612</v>
      </c>
      <c r="J839" s="88"/>
      <c r="K839" s="170"/>
      <c r="L839" s="168"/>
      <c r="M839" s="170"/>
      <c r="N839" s="170"/>
      <c r="O839" s="170"/>
      <c r="P839" s="88" t="s">
        <v>1602</v>
      </c>
    </row>
    <row r="840" spans="1:16" x14ac:dyDescent="0.25">
      <c r="A840" s="5">
        <v>267</v>
      </c>
      <c r="B840" s="60">
        <v>102017715</v>
      </c>
      <c r="C840" s="60" t="s">
        <v>2143</v>
      </c>
      <c r="D840" s="61" t="str">
        <f t="shared" si="18"/>
        <v>102017715/0049642383</v>
      </c>
      <c r="E840" s="69" t="s">
        <v>2144</v>
      </c>
      <c r="F840" s="57" t="s">
        <v>379</v>
      </c>
      <c r="G840" s="88"/>
      <c r="H840" s="88"/>
      <c r="I840" s="72" t="s">
        <v>1701</v>
      </c>
      <c r="J840" s="88"/>
      <c r="K840" s="170"/>
      <c r="L840" s="168"/>
      <c r="M840" s="170"/>
      <c r="N840" s="170"/>
      <c r="O840" s="170"/>
      <c r="P840" s="88" t="s">
        <v>1602</v>
      </c>
    </row>
    <row r="841" spans="1:16" x14ac:dyDescent="0.25">
      <c r="A841" s="5">
        <v>268</v>
      </c>
      <c r="B841" s="60">
        <v>102017863</v>
      </c>
      <c r="C841" s="63" t="s">
        <v>2145</v>
      </c>
      <c r="D841" s="61" t="str">
        <f t="shared" si="18"/>
        <v>102017863/0054855777</v>
      </c>
      <c r="E841" s="69" t="s">
        <v>2146</v>
      </c>
      <c r="F841" s="57" t="s">
        <v>379</v>
      </c>
      <c r="G841" s="88"/>
      <c r="H841" s="88"/>
      <c r="I841" s="72" t="s">
        <v>1612</v>
      </c>
      <c r="J841" s="88"/>
      <c r="K841" s="170"/>
      <c r="L841" s="168"/>
      <c r="M841" s="170"/>
      <c r="N841" s="170"/>
      <c r="O841" s="170"/>
      <c r="P841" s="88" t="s">
        <v>1602</v>
      </c>
    </row>
    <row r="842" spans="1:16" x14ac:dyDescent="0.25">
      <c r="A842" s="5">
        <v>269</v>
      </c>
      <c r="B842" s="60">
        <v>102017789</v>
      </c>
      <c r="C842" s="60" t="s">
        <v>2147</v>
      </c>
      <c r="D842" s="61" t="str">
        <f t="shared" si="18"/>
        <v>102017789/0046096940</v>
      </c>
      <c r="E842" s="69" t="s">
        <v>2148</v>
      </c>
      <c r="F842" s="57" t="s">
        <v>379</v>
      </c>
      <c r="G842" s="88"/>
      <c r="H842" s="88"/>
      <c r="I842" s="72" t="s">
        <v>1644</v>
      </c>
      <c r="J842" s="88"/>
      <c r="K842" s="170"/>
      <c r="L842" s="168"/>
      <c r="M842" s="170"/>
      <c r="N842" s="170"/>
      <c r="O842" s="170"/>
      <c r="P842" s="88" t="s">
        <v>1602</v>
      </c>
    </row>
    <row r="843" spans="1:16" x14ac:dyDescent="0.25">
      <c r="A843" s="5">
        <v>270</v>
      </c>
      <c r="B843" s="60">
        <v>102017790</v>
      </c>
      <c r="C843" s="60" t="s">
        <v>2149</v>
      </c>
      <c r="D843" s="61" t="str">
        <f t="shared" si="18"/>
        <v>102017790/0053198622</v>
      </c>
      <c r="E843" s="69" t="s">
        <v>2150</v>
      </c>
      <c r="F843" s="57" t="s">
        <v>379</v>
      </c>
      <c r="G843" s="88"/>
      <c r="H843" s="88"/>
      <c r="I843" s="72" t="s">
        <v>1644</v>
      </c>
      <c r="J843" s="88"/>
      <c r="K843" s="170"/>
      <c r="L843" s="168"/>
      <c r="M843" s="170"/>
      <c r="N843" s="170"/>
      <c r="O843" s="170"/>
      <c r="P843" s="88" t="s">
        <v>1602</v>
      </c>
    </row>
    <row r="844" spans="1:16" x14ac:dyDescent="0.25">
      <c r="A844" s="5">
        <v>271</v>
      </c>
      <c r="B844" s="60">
        <v>102017747</v>
      </c>
      <c r="C844" s="60" t="s">
        <v>2151</v>
      </c>
      <c r="D844" s="61" t="str">
        <f t="shared" si="18"/>
        <v>102017747/0048723594</v>
      </c>
      <c r="E844" s="69" t="s">
        <v>2152</v>
      </c>
      <c r="F844" s="57" t="s">
        <v>379</v>
      </c>
      <c r="G844" s="88"/>
      <c r="H844" s="88"/>
      <c r="I844" s="72" t="s">
        <v>1607</v>
      </c>
      <c r="J844" s="88"/>
      <c r="K844" s="170"/>
      <c r="L844" s="168"/>
      <c r="M844" s="170"/>
      <c r="N844" s="170"/>
      <c r="O844" s="170"/>
      <c r="P844" s="88" t="s">
        <v>1602</v>
      </c>
    </row>
    <row r="845" spans="1:16" x14ac:dyDescent="0.25">
      <c r="A845" s="5">
        <v>272</v>
      </c>
      <c r="B845" s="60">
        <v>102017828</v>
      </c>
      <c r="C845" s="60" t="s">
        <v>2153</v>
      </c>
      <c r="D845" s="61" t="str">
        <f t="shared" si="18"/>
        <v>102017828/0044746622</v>
      </c>
      <c r="E845" s="94" t="s">
        <v>2154</v>
      </c>
      <c r="F845" s="57" t="s">
        <v>379</v>
      </c>
      <c r="G845" s="88"/>
      <c r="H845" s="88"/>
      <c r="I845" s="72" t="s">
        <v>1618</v>
      </c>
      <c r="J845" s="88"/>
      <c r="K845" s="170"/>
      <c r="L845" s="168"/>
      <c r="M845" s="170"/>
      <c r="N845" s="170"/>
      <c r="O845" s="170"/>
      <c r="P845" s="88" t="s">
        <v>1602</v>
      </c>
    </row>
    <row r="846" spans="1:16" x14ac:dyDescent="0.25">
      <c r="A846" s="5">
        <v>273</v>
      </c>
      <c r="B846" s="60">
        <v>102017791</v>
      </c>
      <c r="C846" s="60" t="s">
        <v>2155</v>
      </c>
      <c r="D846" s="61" t="str">
        <f t="shared" si="18"/>
        <v>102017791/0056006048</v>
      </c>
      <c r="E846" s="69" t="s">
        <v>2156</v>
      </c>
      <c r="F846" s="57" t="s">
        <v>379</v>
      </c>
      <c r="G846" s="88"/>
      <c r="H846" s="88"/>
      <c r="I846" s="72" t="s">
        <v>1644</v>
      </c>
      <c r="J846" s="88"/>
      <c r="K846" s="170"/>
      <c r="L846" s="168"/>
      <c r="M846" s="170"/>
      <c r="N846" s="170"/>
      <c r="O846" s="170"/>
      <c r="P846" s="88" t="s">
        <v>1602</v>
      </c>
    </row>
    <row r="847" spans="1:16" x14ac:dyDescent="0.25">
      <c r="A847" s="5">
        <v>274</v>
      </c>
      <c r="B847" s="60">
        <v>102017684</v>
      </c>
      <c r="C847" s="62" t="s">
        <v>2157</v>
      </c>
      <c r="D847" s="61" t="str">
        <f t="shared" si="18"/>
        <v>102017684/0050975211</v>
      </c>
      <c r="E847" s="94" t="s">
        <v>2158</v>
      </c>
      <c r="F847" s="57" t="s">
        <v>381</v>
      </c>
      <c r="G847" s="88"/>
      <c r="H847" s="88"/>
      <c r="I847" s="72" t="s">
        <v>1647</v>
      </c>
      <c r="J847" s="88"/>
      <c r="K847" s="170"/>
      <c r="L847" s="168"/>
      <c r="M847" s="170"/>
      <c r="N847" s="170"/>
      <c r="O847" s="170"/>
      <c r="P847" s="88" t="s">
        <v>1602</v>
      </c>
    </row>
    <row r="848" spans="1:16" x14ac:dyDescent="0.25">
      <c r="A848" s="5">
        <v>275</v>
      </c>
      <c r="B848" s="60">
        <v>102017685</v>
      </c>
      <c r="C848" s="137" t="s">
        <v>2159</v>
      </c>
      <c r="D848" s="61" t="str">
        <f t="shared" si="18"/>
        <v>102017685/0031181083</v>
      </c>
      <c r="E848" s="69" t="s">
        <v>2160</v>
      </c>
      <c r="F848" s="57" t="s">
        <v>379</v>
      </c>
      <c r="G848" s="88"/>
      <c r="H848" s="88"/>
      <c r="I848" s="72" t="s">
        <v>1647</v>
      </c>
      <c r="J848" s="88"/>
      <c r="K848" s="170"/>
      <c r="L848" s="168"/>
      <c r="M848" s="170"/>
      <c r="N848" s="170"/>
      <c r="O848" s="170"/>
      <c r="P848" s="88" t="s">
        <v>1602</v>
      </c>
    </row>
    <row r="849" spans="1:16" x14ac:dyDescent="0.25">
      <c r="A849" s="5">
        <v>276</v>
      </c>
      <c r="B849" s="60">
        <v>102017613</v>
      </c>
      <c r="C849" s="60" t="s">
        <v>2161</v>
      </c>
      <c r="D849" s="61" t="str">
        <f t="shared" si="18"/>
        <v>102017613/0053712934</v>
      </c>
      <c r="E849" s="75" t="s">
        <v>2162</v>
      </c>
      <c r="F849" s="57" t="s">
        <v>381</v>
      </c>
      <c r="G849" s="88"/>
      <c r="H849" s="88"/>
      <c r="I849" s="72" t="s">
        <v>1623</v>
      </c>
      <c r="J849" s="88"/>
      <c r="K849" s="170"/>
      <c r="L849" s="168"/>
      <c r="M849" s="170"/>
      <c r="N849" s="170"/>
      <c r="O849" s="170"/>
      <c r="P849" s="88" t="s">
        <v>1602</v>
      </c>
    </row>
    <row r="850" spans="1:16" x14ac:dyDescent="0.25">
      <c r="A850" s="5">
        <v>277</v>
      </c>
      <c r="B850" s="60">
        <v>102017792</v>
      </c>
      <c r="C850" s="60" t="s">
        <v>2163</v>
      </c>
      <c r="D850" s="61" t="str">
        <f t="shared" si="18"/>
        <v>102017792/0009395694</v>
      </c>
      <c r="E850" s="94" t="s">
        <v>2164</v>
      </c>
      <c r="F850" s="57" t="s">
        <v>379</v>
      </c>
      <c r="G850" s="88"/>
      <c r="H850" s="88"/>
      <c r="I850" s="72" t="s">
        <v>1644</v>
      </c>
      <c r="J850" s="88"/>
      <c r="K850" s="170"/>
      <c r="L850" s="168"/>
      <c r="M850" s="170"/>
      <c r="N850" s="170"/>
      <c r="O850" s="170"/>
      <c r="P850" s="88" t="s">
        <v>1602</v>
      </c>
    </row>
    <row r="851" spans="1:16" x14ac:dyDescent="0.25">
      <c r="A851" s="5">
        <v>278</v>
      </c>
      <c r="B851" s="60">
        <v>102017793</v>
      </c>
      <c r="C851" s="60" t="s">
        <v>2165</v>
      </c>
      <c r="D851" s="61" t="str">
        <f t="shared" si="18"/>
        <v>102017793/0059051905</v>
      </c>
      <c r="E851" s="69" t="s">
        <v>2166</v>
      </c>
      <c r="F851" s="57" t="s">
        <v>379</v>
      </c>
      <c r="G851" s="88"/>
      <c r="H851" s="88"/>
      <c r="I851" s="72" t="s">
        <v>1644</v>
      </c>
      <c r="J851" s="88"/>
      <c r="K851" s="170"/>
      <c r="L851" s="168"/>
      <c r="M851" s="170"/>
      <c r="N851" s="170"/>
      <c r="O851" s="170"/>
      <c r="P851" s="88" t="s">
        <v>1602</v>
      </c>
    </row>
    <row r="852" spans="1:16" x14ac:dyDescent="0.25">
      <c r="A852" s="5">
        <v>279</v>
      </c>
      <c r="B852" s="60">
        <v>102017864</v>
      </c>
      <c r="C852" s="63" t="s">
        <v>2167</v>
      </c>
      <c r="D852" s="61" t="str">
        <f t="shared" si="18"/>
        <v>102017864/0048774352</v>
      </c>
      <c r="E852" s="94" t="s">
        <v>2168</v>
      </c>
      <c r="F852" s="57" t="s">
        <v>379</v>
      </c>
      <c r="G852" s="88"/>
      <c r="H852" s="88"/>
      <c r="I852" s="72" t="s">
        <v>1612</v>
      </c>
      <c r="J852" s="88"/>
      <c r="K852" s="170"/>
      <c r="L852" s="168"/>
      <c r="M852" s="170"/>
      <c r="N852" s="170"/>
      <c r="O852" s="170"/>
      <c r="P852" s="88" t="s">
        <v>1602</v>
      </c>
    </row>
    <row r="853" spans="1:16" x14ac:dyDescent="0.25">
      <c r="A853" s="5">
        <v>280</v>
      </c>
      <c r="B853" s="60">
        <v>101917541</v>
      </c>
      <c r="C853" s="71" t="s">
        <v>2169</v>
      </c>
      <c r="D853" s="61" t="str">
        <f t="shared" si="18"/>
        <v>101917541/0014407666</v>
      </c>
      <c r="E853" s="107" t="s">
        <v>2170</v>
      </c>
      <c r="F853" s="57" t="s">
        <v>379</v>
      </c>
      <c r="G853" s="88"/>
      <c r="H853" s="88"/>
      <c r="I853" s="72" t="s">
        <v>1630</v>
      </c>
      <c r="J853" s="88"/>
      <c r="K853" s="170"/>
      <c r="L853" s="168"/>
      <c r="M853" s="170"/>
      <c r="N853" s="170"/>
      <c r="O853" s="170"/>
      <c r="P853" s="88" t="s">
        <v>1602</v>
      </c>
    </row>
    <row r="854" spans="1:16" x14ac:dyDescent="0.25">
      <c r="A854" s="5">
        <v>281</v>
      </c>
      <c r="B854" s="60">
        <v>102017716</v>
      </c>
      <c r="C854" s="60" t="s">
        <v>2171</v>
      </c>
      <c r="D854" s="61" t="str">
        <f t="shared" si="18"/>
        <v>102017716/0059782409</v>
      </c>
      <c r="E854" s="69" t="s">
        <v>2172</v>
      </c>
      <c r="F854" s="57" t="s">
        <v>381</v>
      </c>
      <c r="G854" s="88"/>
      <c r="H854" s="88"/>
      <c r="I854" s="72" t="s">
        <v>1701</v>
      </c>
      <c r="J854" s="88"/>
      <c r="K854" s="170"/>
      <c r="L854" s="168"/>
      <c r="M854" s="170"/>
      <c r="N854" s="170"/>
      <c r="O854" s="170"/>
      <c r="P854" s="88" t="s">
        <v>1602</v>
      </c>
    </row>
    <row r="855" spans="1:16" x14ac:dyDescent="0.25">
      <c r="A855" s="5">
        <v>282</v>
      </c>
      <c r="B855" s="60">
        <v>102017829</v>
      </c>
      <c r="C855" s="60" t="s">
        <v>2173</v>
      </c>
      <c r="D855" s="61" t="str">
        <f t="shared" si="18"/>
        <v>102017829/0055856533</v>
      </c>
      <c r="E855" s="69" t="s">
        <v>2174</v>
      </c>
      <c r="F855" s="57" t="s">
        <v>379</v>
      </c>
      <c r="G855" s="88"/>
      <c r="H855" s="88"/>
      <c r="I855" s="72" t="s">
        <v>1618</v>
      </c>
      <c r="J855" s="88"/>
      <c r="K855" s="170"/>
      <c r="L855" s="168"/>
      <c r="M855" s="170"/>
      <c r="N855" s="170"/>
      <c r="O855" s="170"/>
      <c r="P855" s="88" t="s">
        <v>1602</v>
      </c>
    </row>
    <row r="856" spans="1:16" x14ac:dyDescent="0.25">
      <c r="A856" s="5">
        <v>283</v>
      </c>
      <c r="B856" s="60">
        <v>102017900</v>
      </c>
      <c r="C856" s="63" t="s">
        <v>2175</v>
      </c>
      <c r="D856" s="61" t="str">
        <f t="shared" si="18"/>
        <v>102017900/0045978960</v>
      </c>
      <c r="E856" s="94" t="s">
        <v>2176</v>
      </c>
      <c r="F856" s="57" t="s">
        <v>379</v>
      </c>
      <c r="G856" s="88"/>
      <c r="H856" s="88"/>
      <c r="I856" s="72" t="s">
        <v>1630</v>
      </c>
      <c r="J856" s="88"/>
      <c r="K856" s="170"/>
      <c r="L856" s="168"/>
      <c r="M856" s="170"/>
      <c r="N856" s="170"/>
      <c r="O856" s="170"/>
      <c r="P856" s="88" t="s">
        <v>1602</v>
      </c>
    </row>
    <row r="857" spans="1:16" x14ac:dyDescent="0.25">
      <c r="A857" s="5">
        <v>284</v>
      </c>
      <c r="B857" s="60">
        <v>101917361</v>
      </c>
      <c r="C857" s="131" t="s">
        <v>2177</v>
      </c>
      <c r="D857" s="61" t="str">
        <f t="shared" si="18"/>
        <v>101917361/0045372569</v>
      </c>
      <c r="E857" s="69" t="s">
        <v>2178</v>
      </c>
      <c r="F857" s="57" t="s">
        <v>379</v>
      </c>
      <c r="G857" s="88"/>
      <c r="H857" s="88"/>
      <c r="I857" s="72" t="s">
        <v>1647</v>
      </c>
      <c r="J857" s="88"/>
      <c r="K857" s="170"/>
      <c r="L857" s="168"/>
      <c r="M857" s="170"/>
      <c r="N857" s="170"/>
      <c r="O857" s="170"/>
      <c r="P857" s="88" t="s">
        <v>1602</v>
      </c>
    </row>
    <row r="858" spans="1:16" x14ac:dyDescent="0.25">
      <c r="A858" s="5">
        <v>285</v>
      </c>
      <c r="B858" s="60">
        <v>102017717</v>
      </c>
      <c r="C858" s="62" t="s">
        <v>2179</v>
      </c>
      <c r="D858" s="61" t="str">
        <f t="shared" si="18"/>
        <v>102017717/3041520671</v>
      </c>
      <c r="E858" s="69" t="s">
        <v>2180</v>
      </c>
      <c r="F858" s="57" t="s">
        <v>381</v>
      </c>
      <c r="G858" s="88"/>
      <c r="H858" s="88"/>
      <c r="I858" s="72" t="s">
        <v>1701</v>
      </c>
      <c r="J858" s="88"/>
      <c r="K858" s="170"/>
      <c r="L858" s="168"/>
      <c r="M858" s="170"/>
      <c r="N858" s="170"/>
      <c r="O858" s="170"/>
      <c r="P858" s="88" t="s">
        <v>1602</v>
      </c>
    </row>
    <row r="859" spans="1:16" x14ac:dyDescent="0.25">
      <c r="A859" s="5">
        <v>286</v>
      </c>
      <c r="B859" s="60">
        <v>102017830</v>
      </c>
      <c r="C859" s="60" t="s">
        <v>2181</v>
      </c>
      <c r="D859" s="61" t="str">
        <f t="shared" si="18"/>
        <v>102017830/0049980571</v>
      </c>
      <c r="E859" s="69" t="s">
        <v>2182</v>
      </c>
      <c r="F859" s="57" t="s">
        <v>379</v>
      </c>
      <c r="G859" s="88"/>
      <c r="H859" s="88"/>
      <c r="I859" s="72" t="s">
        <v>1618</v>
      </c>
      <c r="J859" s="88"/>
      <c r="K859" s="170"/>
      <c r="L859" s="168"/>
      <c r="M859" s="170"/>
      <c r="N859" s="170"/>
      <c r="O859" s="170"/>
      <c r="P859" s="88" t="s">
        <v>1602</v>
      </c>
    </row>
    <row r="860" spans="1:16" x14ac:dyDescent="0.25">
      <c r="A860" s="5">
        <v>287</v>
      </c>
      <c r="B860" s="60">
        <v>102017614</v>
      </c>
      <c r="C860" s="60" t="s">
        <v>2183</v>
      </c>
      <c r="D860" s="61" t="str">
        <f t="shared" si="18"/>
        <v>102017614/0046698915</v>
      </c>
      <c r="E860" s="75" t="s">
        <v>2184</v>
      </c>
      <c r="F860" s="57" t="s">
        <v>381</v>
      </c>
      <c r="G860" s="88"/>
      <c r="H860" s="88"/>
      <c r="I860" s="72" t="s">
        <v>1623</v>
      </c>
      <c r="J860" s="88"/>
      <c r="K860" s="170"/>
      <c r="L860" s="168"/>
      <c r="M860" s="170"/>
      <c r="N860" s="170"/>
      <c r="O860" s="170"/>
      <c r="P860" s="88" t="s">
        <v>1602</v>
      </c>
    </row>
    <row r="861" spans="1:16" x14ac:dyDescent="0.25">
      <c r="A861" s="5">
        <v>288</v>
      </c>
      <c r="B861" s="60">
        <v>102017865</v>
      </c>
      <c r="C861" s="63" t="s">
        <v>2185</v>
      </c>
      <c r="D861" s="61" t="str">
        <f t="shared" si="18"/>
        <v>102017865/0028180649</v>
      </c>
      <c r="E861" s="69" t="s">
        <v>2186</v>
      </c>
      <c r="F861" s="57" t="s">
        <v>381</v>
      </c>
      <c r="G861" s="88"/>
      <c r="H861" s="88"/>
      <c r="I861" s="72" t="s">
        <v>1612</v>
      </c>
      <c r="J861" s="88"/>
      <c r="K861" s="170"/>
      <c r="L861" s="168"/>
      <c r="M861" s="170"/>
      <c r="N861" s="170"/>
      <c r="O861" s="170"/>
      <c r="P861" s="88" t="s">
        <v>1602</v>
      </c>
    </row>
    <row r="862" spans="1:16" x14ac:dyDescent="0.25">
      <c r="A862" s="5">
        <v>289</v>
      </c>
      <c r="B862" s="60">
        <v>102017748</v>
      </c>
      <c r="C862" s="60" t="s">
        <v>2187</v>
      </c>
      <c r="D862" s="61" t="str">
        <f t="shared" si="18"/>
        <v>102017748/0053166935</v>
      </c>
      <c r="E862" s="69" t="s">
        <v>2188</v>
      </c>
      <c r="F862" s="57" t="s">
        <v>381</v>
      </c>
      <c r="G862" s="88"/>
      <c r="H862" s="88"/>
      <c r="I862" s="72" t="s">
        <v>1607</v>
      </c>
      <c r="J862" s="88"/>
      <c r="K862" s="170"/>
      <c r="L862" s="168"/>
      <c r="M862" s="170"/>
      <c r="N862" s="170"/>
      <c r="O862" s="170"/>
      <c r="P862" s="88" t="s">
        <v>1602</v>
      </c>
    </row>
    <row r="863" spans="1:16" x14ac:dyDescent="0.25">
      <c r="A863" s="5">
        <v>290</v>
      </c>
      <c r="B863" s="60">
        <v>102017866</v>
      </c>
      <c r="C863" s="63" t="s">
        <v>2189</v>
      </c>
      <c r="D863" s="61" t="str">
        <f t="shared" si="18"/>
        <v>102017866/0057374853</v>
      </c>
      <c r="E863" s="69" t="s">
        <v>2190</v>
      </c>
      <c r="F863" s="57" t="s">
        <v>381</v>
      </c>
      <c r="G863" s="88"/>
      <c r="H863" s="88"/>
      <c r="I863" s="72" t="s">
        <v>1612</v>
      </c>
      <c r="J863" s="88"/>
      <c r="K863" s="170"/>
      <c r="L863" s="168"/>
      <c r="M863" s="170"/>
      <c r="N863" s="170"/>
      <c r="O863" s="170"/>
      <c r="P863" s="88" t="s">
        <v>1602</v>
      </c>
    </row>
    <row r="864" spans="1:16" x14ac:dyDescent="0.25">
      <c r="A864" s="5">
        <v>291</v>
      </c>
      <c r="B864" s="60">
        <v>102017794</v>
      </c>
      <c r="C864" s="60" t="s">
        <v>2191</v>
      </c>
      <c r="D864" s="61" t="str">
        <f t="shared" si="18"/>
        <v>102017794/0044915923</v>
      </c>
      <c r="E864" s="69" t="s">
        <v>2192</v>
      </c>
      <c r="F864" s="57" t="s">
        <v>379</v>
      </c>
      <c r="G864" s="88"/>
      <c r="H864" s="88"/>
      <c r="I864" s="72" t="s">
        <v>1644</v>
      </c>
      <c r="J864" s="88"/>
      <c r="K864" s="170"/>
      <c r="L864" s="168"/>
      <c r="M864" s="170"/>
      <c r="N864" s="170"/>
      <c r="O864" s="170"/>
      <c r="P864" s="88" t="s">
        <v>1602</v>
      </c>
    </row>
    <row r="865" spans="1:16" x14ac:dyDescent="0.25">
      <c r="A865" s="5">
        <v>292</v>
      </c>
      <c r="B865" s="60">
        <v>102017795</v>
      </c>
      <c r="C865" s="62" t="s">
        <v>2193</v>
      </c>
      <c r="D865" s="61" t="str">
        <f t="shared" si="18"/>
        <v>102017795/0039553723</v>
      </c>
      <c r="E865" s="69" t="s">
        <v>2194</v>
      </c>
      <c r="F865" s="57" t="s">
        <v>379</v>
      </c>
      <c r="G865" s="88"/>
      <c r="H865" s="88"/>
      <c r="I865" s="72" t="s">
        <v>1644</v>
      </c>
      <c r="J865" s="88"/>
      <c r="K865" s="170"/>
      <c r="L865" s="168"/>
      <c r="M865" s="170"/>
      <c r="N865" s="170"/>
      <c r="O865" s="170"/>
      <c r="P865" s="88" t="s">
        <v>1602</v>
      </c>
    </row>
    <row r="866" spans="1:16" x14ac:dyDescent="0.25">
      <c r="A866" s="5">
        <v>293</v>
      </c>
      <c r="B866" s="60">
        <v>102017831</v>
      </c>
      <c r="C866" s="62" t="s">
        <v>2195</v>
      </c>
      <c r="D866" s="61" t="str">
        <f t="shared" si="18"/>
        <v>102017831/0052866523</v>
      </c>
      <c r="E866" s="69" t="s">
        <v>2196</v>
      </c>
      <c r="F866" s="57" t="s">
        <v>379</v>
      </c>
      <c r="G866" s="88"/>
      <c r="H866" s="88"/>
      <c r="I866" s="72" t="s">
        <v>1618</v>
      </c>
      <c r="J866" s="88"/>
      <c r="K866" s="170"/>
      <c r="L866" s="168"/>
      <c r="M866" s="170"/>
      <c r="N866" s="170"/>
      <c r="O866" s="170"/>
      <c r="P866" s="88" t="s">
        <v>1602</v>
      </c>
    </row>
    <row r="867" spans="1:16" x14ac:dyDescent="0.25">
      <c r="A867" s="5">
        <v>294</v>
      </c>
      <c r="B867" s="60">
        <v>102017901</v>
      </c>
      <c r="C867" s="63" t="s">
        <v>2197</v>
      </c>
      <c r="D867" s="61" t="str">
        <f t="shared" si="18"/>
        <v>102017901/0044861761</v>
      </c>
      <c r="E867" s="69" t="s">
        <v>2198</v>
      </c>
      <c r="F867" s="57" t="s">
        <v>379</v>
      </c>
      <c r="G867" s="88"/>
      <c r="H867" s="88"/>
      <c r="I867" s="72" t="s">
        <v>1630</v>
      </c>
      <c r="J867" s="88"/>
      <c r="K867" s="170"/>
      <c r="L867" s="168"/>
      <c r="M867" s="170"/>
      <c r="N867" s="170"/>
      <c r="O867" s="170"/>
      <c r="P867" s="88" t="s">
        <v>1602</v>
      </c>
    </row>
    <row r="868" spans="1:16" x14ac:dyDescent="0.25">
      <c r="A868" s="5">
        <v>295</v>
      </c>
      <c r="B868" s="60">
        <v>102017941</v>
      </c>
      <c r="C868" s="63" t="s">
        <v>2199</v>
      </c>
      <c r="D868" s="61" t="str">
        <f t="shared" si="18"/>
        <v>102017941/0052655281</v>
      </c>
      <c r="E868" s="69" t="s">
        <v>2200</v>
      </c>
      <c r="F868" s="57" t="s">
        <v>381</v>
      </c>
      <c r="G868" s="88"/>
      <c r="H868" s="88"/>
      <c r="I868" s="72" t="s">
        <v>1615</v>
      </c>
      <c r="J868" s="88"/>
      <c r="K868" s="170"/>
      <c r="L868" s="168"/>
      <c r="M868" s="170"/>
      <c r="N868" s="170"/>
      <c r="O868" s="170"/>
      <c r="P868" s="88" t="s">
        <v>1602</v>
      </c>
    </row>
    <row r="869" spans="1:16" x14ac:dyDescent="0.25">
      <c r="A869" s="5">
        <v>296</v>
      </c>
      <c r="B869" s="60">
        <v>102017649</v>
      </c>
      <c r="C869" s="60" t="s">
        <v>2201</v>
      </c>
      <c r="D869" s="61" t="str">
        <f t="shared" si="18"/>
        <v>102017649/0056038309</v>
      </c>
      <c r="E869" s="94" t="s">
        <v>2202</v>
      </c>
      <c r="F869" s="57" t="s">
        <v>381</v>
      </c>
      <c r="G869" s="88"/>
      <c r="H869" s="88"/>
      <c r="I869" s="72" t="s">
        <v>1637</v>
      </c>
      <c r="J869" s="88"/>
      <c r="K869" s="170"/>
      <c r="L869" s="168"/>
      <c r="M869" s="170"/>
      <c r="N869" s="170"/>
      <c r="O869" s="170"/>
      <c r="P869" s="88" t="s">
        <v>1602</v>
      </c>
    </row>
    <row r="870" spans="1:16" x14ac:dyDescent="0.25">
      <c r="A870" s="5">
        <v>297</v>
      </c>
      <c r="B870" s="60">
        <v>102017687</v>
      </c>
      <c r="C870" s="60" t="s">
        <v>2203</v>
      </c>
      <c r="D870" s="61" t="str">
        <f t="shared" si="18"/>
        <v>102017687/0057597608</v>
      </c>
      <c r="E870" s="69" t="s">
        <v>2204</v>
      </c>
      <c r="F870" s="57" t="s">
        <v>379</v>
      </c>
      <c r="G870" s="88"/>
      <c r="H870" s="88"/>
      <c r="I870" s="72" t="s">
        <v>1647</v>
      </c>
      <c r="J870" s="88"/>
      <c r="K870" s="170"/>
      <c r="L870" s="168"/>
      <c r="M870" s="170"/>
      <c r="N870" s="170"/>
      <c r="O870" s="170"/>
      <c r="P870" s="88" t="s">
        <v>1602</v>
      </c>
    </row>
    <row r="871" spans="1:16" x14ac:dyDescent="0.25">
      <c r="A871" s="5">
        <v>298</v>
      </c>
      <c r="B871" s="60">
        <v>102017718</v>
      </c>
      <c r="C871" s="62" t="s">
        <v>2205</v>
      </c>
      <c r="D871" s="61" t="str">
        <f t="shared" si="18"/>
        <v>102017718/0056331455</v>
      </c>
      <c r="E871" s="69" t="s">
        <v>2206</v>
      </c>
      <c r="F871" s="57" t="s">
        <v>381</v>
      </c>
      <c r="G871" s="88"/>
      <c r="H871" s="88"/>
      <c r="I871" s="72" t="s">
        <v>1701</v>
      </c>
      <c r="J871" s="88"/>
      <c r="K871" s="170"/>
      <c r="L871" s="168"/>
      <c r="M871" s="170"/>
      <c r="N871" s="170"/>
      <c r="O871" s="170"/>
      <c r="P871" s="88" t="s">
        <v>1602</v>
      </c>
    </row>
    <row r="872" spans="1:16" x14ac:dyDescent="0.25">
      <c r="A872" s="5">
        <v>299</v>
      </c>
      <c r="B872" s="60">
        <v>102017867</v>
      </c>
      <c r="C872" s="63" t="s">
        <v>2207</v>
      </c>
      <c r="D872" s="61" t="str">
        <f t="shared" si="18"/>
        <v>102017867/0052325390</v>
      </c>
      <c r="E872" s="69" t="s">
        <v>2208</v>
      </c>
      <c r="F872" s="57" t="s">
        <v>379</v>
      </c>
      <c r="G872" s="88"/>
      <c r="H872" s="88"/>
      <c r="I872" s="72" t="s">
        <v>1612</v>
      </c>
      <c r="J872" s="88"/>
      <c r="K872" s="170"/>
      <c r="L872" s="168"/>
      <c r="M872" s="170"/>
      <c r="N872" s="170"/>
      <c r="O872" s="170"/>
      <c r="P872" s="88" t="s">
        <v>1602</v>
      </c>
    </row>
    <row r="873" spans="1:16" x14ac:dyDescent="0.25">
      <c r="A873" s="5">
        <v>300</v>
      </c>
      <c r="B873" s="60">
        <v>102017616</v>
      </c>
      <c r="C873" s="60" t="s">
        <v>2209</v>
      </c>
      <c r="D873" s="61" t="str">
        <f t="shared" si="18"/>
        <v>102017616/0058563823</v>
      </c>
      <c r="E873" s="75" t="s">
        <v>2210</v>
      </c>
      <c r="F873" s="57" t="s">
        <v>381</v>
      </c>
      <c r="G873" s="88"/>
      <c r="H873" s="88"/>
      <c r="I873" s="72" t="s">
        <v>1623</v>
      </c>
      <c r="J873" s="88"/>
      <c r="K873" s="170"/>
      <c r="L873" s="168"/>
      <c r="M873" s="170"/>
      <c r="N873" s="170"/>
      <c r="O873" s="170"/>
      <c r="P873" s="88" t="s">
        <v>1602</v>
      </c>
    </row>
    <row r="874" spans="1:16" x14ac:dyDescent="0.25">
      <c r="A874" s="5">
        <v>301</v>
      </c>
      <c r="B874" s="60">
        <v>102017749</v>
      </c>
      <c r="C874" s="60" t="s">
        <v>2211</v>
      </c>
      <c r="D874" s="61" t="str">
        <f t="shared" si="18"/>
        <v>102017749/0042725306</v>
      </c>
      <c r="E874" s="69" t="s">
        <v>2212</v>
      </c>
      <c r="F874" s="57" t="s">
        <v>381</v>
      </c>
      <c r="G874" s="88"/>
      <c r="H874" s="88"/>
      <c r="I874" s="72" t="s">
        <v>1607</v>
      </c>
      <c r="J874" s="88"/>
      <c r="K874" s="170"/>
      <c r="L874" s="168"/>
      <c r="M874" s="170"/>
      <c r="N874" s="170"/>
      <c r="O874" s="170"/>
      <c r="P874" s="88" t="s">
        <v>1602</v>
      </c>
    </row>
    <row r="875" spans="1:16" x14ac:dyDescent="0.25">
      <c r="A875" s="5">
        <v>302</v>
      </c>
      <c r="B875" s="60">
        <v>102017617</v>
      </c>
      <c r="C875" s="60" t="s">
        <v>2213</v>
      </c>
      <c r="D875" s="61" t="str">
        <f t="shared" si="18"/>
        <v>102017617/0062457012</v>
      </c>
      <c r="E875" s="75" t="s">
        <v>2214</v>
      </c>
      <c r="F875" s="57" t="s">
        <v>381</v>
      </c>
      <c r="G875" s="88"/>
      <c r="H875" s="88"/>
      <c r="I875" s="72" t="s">
        <v>1623</v>
      </c>
      <c r="J875" s="88"/>
      <c r="K875" s="170"/>
      <c r="L875" s="168"/>
      <c r="M875" s="170"/>
      <c r="N875" s="170"/>
      <c r="O875" s="170"/>
      <c r="P875" s="88" t="s">
        <v>1602</v>
      </c>
    </row>
    <row r="876" spans="1:16" x14ac:dyDescent="0.25">
      <c r="A876" s="5">
        <v>303</v>
      </c>
      <c r="B876" s="60">
        <v>102017583</v>
      </c>
      <c r="C876" s="60" t="s">
        <v>2215</v>
      </c>
      <c r="D876" s="61" t="str">
        <f t="shared" si="18"/>
        <v>102017583/0057229434</v>
      </c>
      <c r="E876" s="75" t="s">
        <v>2216</v>
      </c>
      <c r="F876" s="57" t="s">
        <v>381</v>
      </c>
      <c r="G876" s="88"/>
      <c r="H876" s="88"/>
      <c r="I876" s="72" t="s">
        <v>1601</v>
      </c>
      <c r="J876" s="88"/>
      <c r="K876" s="170"/>
      <c r="L876" s="168"/>
      <c r="M876" s="170"/>
      <c r="N876" s="170"/>
      <c r="O876" s="170"/>
      <c r="P876" s="88" t="s">
        <v>1602</v>
      </c>
    </row>
    <row r="877" spans="1:16" x14ac:dyDescent="0.25">
      <c r="A877" s="5">
        <v>304</v>
      </c>
      <c r="B877" s="60">
        <v>102017650</v>
      </c>
      <c r="C877" s="60" t="s">
        <v>2217</v>
      </c>
      <c r="D877" s="61" t="str">
        <f t="shared" si="18"/>
        <v>102017650/0059963354</v>
      </c>
      <c r="E877" s="69" t="s">
        <v>2218</v>
      </c>
      <c r="F877" s="57" t="s">
        <v>381</v>
      </c>
      <c r="G877" s="88"/>
      <c r="H877" s="88"/>
      <c r="I877" s="72" t="s">
        <v>1637</v>
      </c>
      <c r="J877" s="88"/>
      <c r="K877" s="170"/>
      <c r="L877" s="168"/>
      <c r="M877" s="170"/>
      <c r="N877" s="170"/>
      <c r="O877" s="170"/>
      <c r="P877" s="88" t="s">
        <v>1602</v>
      </c>
    </row>
    <row r="878" spans="1:16" x14ac:dyDescent="0.25">
      <c r="A878" s="5">
        <v>305</v>
      </c>
      <c r="B878" s="60">
        <v>102017902</v>
      </c>
      <c r="C878" s="63" t="s">
        <v>2219</v>
      </c>
      <c r="D878" s="61" t="str">
        <f t="shared" si="18"/>
        <v>102017902/0067026830</v>
      </c>
      <c r="E878" s="69" t="s">
        <v>2220</v>
      </c>
      <c r="F878" s="57" t="s">
        <v>381</v>
      </c>
      <c r="G878" s="88"/>
      <c r="H878" s="88"/>
      <c r="I878" s="72" t="s">
        <v>1630</v>
      </c>
      <c r="J878" s="88"/>
      <c r="K878" s="170"/>
      <c r="L878" s="168"/>
      <c r="M878" s="170"/>
      <c r="N878" s="170"/>
      <c r="O878" s="170"/>
      <c r="P878" s="88" t="s">
        <v>1602</v>
      </c>
    </row>
    <row r="879" spans="1:16" x14ac:dyDescent="0.25">
      <c r="A879" s="5">
        <v>306</v>
      </c>
      <c r="B879" s="60">
        <v>102017868</v>
      </c>
      <c r="C879" s="63" t="s">
        <v>2221</v>
      </c>
      <c r="D879" s="61" t="str">
        <f t="shared" si="18"/>
        <v>102017868/0046259099</v>
      </c>
      <c r="E879" s="69" t="s">
        <v>2222</v>
      </c>
      <c r="F879" s="57" t="s">
        <v>381</v>
      </c>
      <c r="G879" s="88"/>
      <c r="H879" s="88"/>
      <c r="I879" s="72" t="s">
        <v>1612</v>
      </c>
      <c r="J879" s="88"/>
      <c r="K879" s="170"/>
      <c r="L879" s="168"/>
      <c r="M879" s="170"/>
      <c r="N879" s="170"/>
      <c r="O879" s="170"/>
      <c r="P879" s="88" t="s">
        <v>1602</v>
      </c>
    </row>
    <row r="880" spans="1:16" x14ac:dyDescent="0.25">
      <c r="A880" s="5">
        <v>307</v>
      </c>
      <c r="B880" s="60">
        <v>102017719</v>
      </c>
      <c r="C880" s="62" t="s">
        <v>2223</v>
      </c>
      <c r="D880" s="61" t="str">
        <f t="shared" si="18"/>
        <v>102017719/0041529800</v>
      </c>
      <c r="E880" s="69" t="s">
        <v>2224</v>
      </c>
      <c r="F880" s="57" t="s">
        <v>381</v>
      </c>
      <c r="G880" s="88"/>
      <c r="H880" s="88"/>
      <c r="I880" s="72" t="s">
        <v>1701</v>
      </c>
      <c r="J880" s="88"/>
      <c r="K880" s="170"/>
      <c r="L880" s="168"/>
      <c r="M880" s="170"/>
      <c r="N880" s="170"/>
      <c r="O880" s="170"/>
      <c r="P880" s="88" t="s">
        <v>1602</v>
      </c>
    </row>
    <row r="881" spans="1:16" x14ac:dyDescent="0.25">
      <c r="A881" s="5">
        <v>308</v>
      </c>
      <c r="B881" s="60">
        <v>102017832</v>
      </c>
      <c r="C881" s="62" t="s">
        <v>2225</v>
      </c>
      <c r="D881" s="61" t="str">
        <f t="shared" si="18"/>
        <v>102017832/0045992142</v>
      </c>
      <c r="E881" s="69" t="s">
        <v>2226</v>
      </c>
      <c r="F881" s="57" t="s">
        <v>381</v>
      </c>
      <c r="G881" s="88"/>
      <c r="H881" s="88"/>
      <c r="I881" s="72" t="s">
        <v>1618</v>
      </c>
      <c r="J881" s="88"/>
      <c r="K881" s="170"/>
      <c r="L881" s="168"/>
      <c r="M881" s="170"/>
      <c r="N881" s="170"/>
      <c r="O881" s="170"/>
      <c r="P881" s="88" t="s">
        <v>1602</v>
      </c>
    </row>
    <row r="882" spans="1:16" x14ac:dyDescent="0.25">
      <c r="A882" s="5">
        <v>309</v>
      </c>
      <c r="B882" s="60">
        <v>102017688</v>
      </c>
      <c r="C882" s="60" t="s">
        <v>2227</v>
      </c>
      <c r="D882" s="61" t="str">
        <f t="shared" si="18"/>
        <v>102017688/0050617237</v>
      </c>
      <c r="E882" s="69" t="s">
        <v>2228</v>
      </c>
      <c r="F882" s="57" t="s">
        <v>381</v>
      </c>
      <c r="G882" s="88"/>
      <c r="H882" s="88"/>
      <c r="I882" s="72" t="s">
        <v>1647</v>
      </c>
      <c r="J882" s="88"/>
      <c r="K882" s="170"/>
      <c r="L882" s="168"/>
      <c r="M882" s="170"/>
      <c r="N882" s="170"/>
      <c r="O882" s="170"/>
      <c r="P882" s="88" t="s">
        <v>1602</v>
      </c>
    </row>
    <row r="883" spans="1:16" x14ac:dyDescent="0.25">
      <c r="A883" s="5">
        <v>310</v>
      </c>
      <c r="B883" s="60">
        <v>102017942</v>
      </c>
      <c r="C883" s="63" t="s">
        <v>2229</v>
      </c>
      <c r="D883" s="61" t="str">
        <f t="shared" si="18"/>
        <v>102017942/0046414043</v>
      </c>
      <c r="E883" s="69" t="s">
        <v>2230</v>
      </c>
      <c r="F883" s="57" t="s">
        <v>381</v>
      </c>
      <c r="G883" s="88"/>
      <c r="H883" s="88"/>
      <c r="I883" s="72" t="s">
        <v>1615</v>
      </c>
      <c r="J883" s="88"/>
      <c r="K883" s="170"/>
      <c r="L883" s="168"/>
      <c r="M883" s="170"/>
      <c r="N883" s="170"/>
      <c r="O883" s="170"/>
      <c r="P883" s="88" t="s">
        <v>1602</v>
      </c>
    </row>
    <row r="884" spans="1:16" x14ac:dyDescent="0.25">
      <c r="A884" s="5">
        <v>311</v>
      </c>
      <c r="B884" s="60">
        <v>102017618</v>
      </c>
      <c r="C884" s="60" t="s">
        <v>2231</v>
      </c>
      <c r="D884" s="61" t="str">
        <f t="shared" si="18"/>
        <v>102017618/0057884007</v>
      </c>
      <c r="E884" s="75" t="s">
        <v>2232</v>
      </c>
      <c r="F884" s="57" t="s">
        <v>381</v>
      </c>
      <c r="G884" s="88"/>
      <c r="H884" s="88"/>
      <c r="I884" s="72" t="s">
        <v>1623</v>
      </c>
      <c r="J884" s="88"/>
      <c r="K884" s="170"/>
      <c r="L884" s="168"/>
      <c r="M884" s="170"/>
      <c r="N884" s="170"/>
      <c r="O884" s="170"/>
      <c r="P884" s="88" t="s">
        <v>1602</v>
      </c>
    </row>
    <row r="885" spans="1:16" x14ac:dyDescent="0.25">
      <c r="A885" s="5">
        <v>312</v>
      </c>
      <c r="B885" s="60">
        <v>101917331</v>
      </c>
      <c r="C885" s="131" t="s">
        <v>2233</v>
      </c>
      <c r="D885" s="61" t="str">
        <f t="shared" si="18"/>
        <v>101917331/0042616293</v>
      </c>
      <c r="E885" s="69" t="s">
        <v>2234</v>
      </c>
      <c r="F885" s="57" t="s">
        <v>381</v>
      </c>
      <c r="G885" s="88"/>
      <c r="H885" s="88"/>
      <c r="I885" s="72" t="s">
        <v>1637</v>
      </c>
      <c r="J885" s="88"/>
      <c r="K885" s="170"/>
      <c r="L885" s="168"/>
      <c r="M885" s="170"/>
      <c r="N885" s="170"/>
      <c r="O885" s="170"/>
      <c r="P885" s="88" t="s">
        <v>1602</v>
      </c>
    </row>
    <row r="886" spans="1:16" x14ac:dyDescent="0.25">
      <c r="A886" s="5">
        <v>313</v>
      </c>
      <c r="B886" s="60">
        <v>102017651</v>
      </c>
      <c r="C886" s="60" t="s">
        <v>2235</v>
      </c>
      <c r="D886" s="61" t="str">
        <f t="shared" si="18"/>
        <v>102017651/3044893474</v>
      </c>
      <c r="E886" s="69" t="s">
        <v>2236</v>
      </c>
      <c r="F886" s="57" t="s">
        <v>381</v>
      </c>
      <c r="G886" s="88"/>
      <c r="H886" s="88"/>
      <c r="I886" s="72" t="s">
        <v>1637</v>
      </c>
      <c r="J886" s="88"/>
      <c r="K886" s="170"/>
      <c r="L886" s="168"/>
      <c r="M886" s="170"/>
      <c r="N886" s="170"/>
      <c r="O886" s="170"/>
      <c r="P886" s="88" t="s">
        <v>1602</v>
      </c>
    </row>
    <row r="887" spans="1:16" x14ac:dyDescent="0.25">
      <c r="A887" s="5">
        <v>314</v>
      </c>
      <c r="B887" s="60">
        <v>102017833</v>
      </c>
      <c r="C887" s="60" t="s">
        <v>2237</v>
      </c>
      <c r="D887" s="61" t="str">
        <f t="shared" si="18"/>
        <v>102017833/0053090472</v>
      </c>
      <c r="E887" s="69" t="s">
        <v>2238</v>
      </c>
      <c r="F887" s="57" t="s">
        <v>379</v>
      </c>
      <c r="G887" s="88"/>
      <c r="H887" s="88"/>
      <c r="I887" s="72" t="s">
        <v>1618</v>
      </c>
      <c r="J887" s="88"/>
      <c r="K887" s="170"/>
      <c r="L887" s="168"/>
      <c r="M887" s="170"/>
      <c r="N887" s="170"/>
      <c r="O887" s="170"/>
      <c r="P887" s="88" t="s">
        <v>1602</v>
      </c>
    </row>
    <row r="888" spans="1:16" x14ac:dyDescent="0.25">
      <c r="A888" s="5">
        <v>315</v>
      </c>
      <c r="B888" s="60">
        <v>102017720</v>
      </c>
      <c r="C888" s="62" t="s">
        <v>2239</v>
      </c>
      <c r="D888" s="61" t="str">
        <f t="shared" si="18"/>
        <v>102017720/3031786074</v>
      </c>
      <c r="E888" s="94" t="s">
        <v>2240</v>
      </c>
      <c r="F888" s="57" t="s">
        <v>381</v>
      </c>
      <c r="G888" s="88"/>
      <c r="H888" s="88"/>
      <c r="I888" s="72" t="s">
        <v>1701</v>
      </c>
      <c r="J888" s="88"/>
      <c r="K888" s="170"/>
      <c r="L888" s="168"/>
      <c r="M888" s="170"/>
      <c r="N888" s="170"/>
      <c r="O888" s="170"/>
      <c r="P888" s="88" t="s">
        <v>1602</v>
      </c>
    </row>
    <row r="889" spans="1:16" x14ac:dyDescent="0.25">
      <c r="A889" s="5">
        <v>316</v>
      </c>
      <c r="B889" s="60">
        <v>102017721</v>
      </c>
      <c r="C889" s="62" t="s">
        <v>2241</v>
      </c>
      <c r="D889" s="61" t="str">
        <f t="shared" si="18"/>
        <v>102017721/0045104748</v>
      </c>
      <c r="E889" s="69" t="s">
        <v>2242</v>
      </c>
      <c r="F889" s="57" t="s">
        <v>379</v>
      </c>
      <c r="G889" s="88"/>
      <c r="H889" s="88"/>
      <c r="I889" s="72" t="s">
        <v>1701</v>
      </c>
      <c r="J889" s="88"/>
      <c r="K889" s="170"/>
      <c r="L889" s="168"/>
      <c r="M889" s="170"/>
      <c r="N889" s="170"/>
      <c r="O889" s="170"/>
      <c r="P889" s="88" t="s">
        <v>1602</v>
      </c>
    </row>
    <row r="890" spans="1:16" x14ac:dyDescent="0.25">
      <c r="A890" s="5">
        <v>317</v>
      </c>
      <c r="B890" s="60">
        <v>102017869</v>
      </c>
      <c r="C890" s="64" t="s">
        <v>2243</v>
      </c>
      <c r="D890" s="61" t="str">
        <f t="shared" si="18"/>
        <v>102017869/3051122021</v>
      </c>
      <c r="E890" s="69" t="s">
        <v>2244</v>
      </c>
      <c r="F890" s="57" t="s">
        <v>381</v>
      </c>
      <c r="G890" s="88"/>
      <c r="H890" s="88"/>
      <c r="I890" s="72" t="s">
        <v>1612</v>
      </c>
      <c r="J890" s="88"/>
      <c r="K890" s="170"/>
      <c r="L890" s="168"/>
      <c r="M890" s="170"/>
      <c r="N890" s="170"/>
      <c r="O890" s="170"/>
      <c r="P890" s="88" t="s">
        <v>2245</v>
      </c>
    </row>
    <row r="891" spans="1:16" x14ac:dyDescent="0.25">
      <c r="A891" s="5">
        <v>318</v>
      </c>
      <c r="B891" s="60">
        <v>102017652</v>
      </c>
      <c r="C891" s="60" t="s">
        <v>2246</v>
      </c>
      <c r="D891" s="61" t="str">
        <f t="shared" si="18"/>
        <v>102017652/0053408024</v>
      </c>
      <c r="E891" s="69" t="s">
        <v>2247</v>
      </c>
      <c r="F891" s="57" t="s">
        <v>381</v>
      </c>
      <c r="G891" s="88"/>
      <c r="H891" s="88"/>
      <c r="I891" s="72" t="s">
        <v>1637</v>
      </c>
      <c r="J891" s="88"/>
      <c r="K891" s="170"/>
      <c r="L891" s="168"/>
      <c r="M891" s="170"/>
      <c r="N891" s="170"/>
      <c r="O891" s="170"/>
      <c r="P891" s="88" t="s">
        <v>1602</v>
      </c>
    </row>
    <row r="892" spans="1:16" x14ac:dyDescent="0.25">
      <c r="A892" s="5">
        <v>319</v>
      </c>
      <c r="B892" s="60">
        <v>102017722</v>
      </c>
      <c r="C892" s="62" t="s">
        <v>2248</v>
      </c>
      <c r="D892" s="61" t="str">
        <f t="shared" si="18"/>
        <v>102017722/3056156596</v>
      </c>
      <c r="E892" s="69" t="s">
        <v>2249</v>
      </c>
      <c r="F892" s="57" t="s">
        <v>381</v>
      </c>
      <c r="G892" s="88"/>
      <c r="H892" s="88"/>
      <c r="I892" s="72" t="s">
        <v>1701</v>
      </c>
      <c r="J892" s="88"/>
      <c r="K892" s="170"/>
      <c r="L892" s="168"/>
      <c r="M892" s="170"/>
      <c r="N892" s="170"/>
      <c r="O892" s="170"/>
      <c r="P892" s="88" t="s">
        <v>1602</v>
      </c>
    </row>
    <row r="893" spans="1:16" x14ac:dyDescent="0.25">
      <c r="A893" s="5">
        <v>320</v>
      </c>
      <c r="B893" s="60">
        <v>102017653</v>
      </c>
      <c r="C893" s="60" t="s">
        <v>2250</v>
      </c>
      <c r="D893" s="61" t="str">
        <f t="shared" si="18"/>
        <v>102017653/0051613812</v>
      </c>
      <c r="E893" s="69" t="s">
        <v>2251</v>
      </c>
      <c r="F893" s="57" t="s">
        <v>381</v>
      </c>
      <c r="G893" s="88"/>
      <c r="H893" s="88"/>
      <c r="I893" s="72" t="s">
        <v>1637</v>
      </c>
      <c r="J893" s="88"/>
      <c r="K893" s="170"/>
      <c r="L893" s="168"/>
      <c r="M893" s="170"/>
      <c r="N893" s="170"/>
      <c r="O893" s="170"/>
      <c r="P893" s="88" t="s">
        <v>1602</v>
      </c>
    </row>
    <row r="894" spans="1:16" x14ac:dyDescent="0.25">
      <c r="A894" s="5">
        <v>321</v>
      </c>
      <c r="B894" s="60">
        <v>102017750</v>
      </c>
      <c r="C894" s="60" t="s">
        <v>2252</v>
      </c>
      <c r="D894" s="61" t="str">
        <f t="shared" ref="D894:D952" si="19">B894&amp;"/"&amp;C894</f>
        <v>102017750/0049653847</v>
      </c>
      <c r="E894" s="69" t="s">
        <v>2253</v>
      </c>
      <c r="F894" s="57" t="s">
        <v>381</v>
      </c>
      <c r="G894" s="88"/>
      <c r="H894" s="88"/>
      <c r="I894" s="72" t="s">
        <v>1607</v>
      </c>
      <c r="J894" s="88"/>
      <c r="K894" s="170"/>
      <c r="L894" s="168"/>
      <c r="M894" s="170"/>
      <c r="N894" s="170"/>
      <c r="O894" s="170"/>
      <c r="P894" s="88" t="s">
        <v>1602</v>
      </c>
    </row>
    <row r="895" spans="1:16" x14ac:dyDescent="0.25">
      <c r="A895" s="5">
        <v>322</v>
      </c>
      <c r="B895" s="60">
        <v>102017654</v>
      </c>
      <c r="C895" s="60" t="s">
        <v>2254</v>
      </c>
      <c r="D895" s="61" t="str">
        <f t="shared" si="19"/>
        <v>102017654/0043469613</v>
      </c>
      <c r="E895" s="69" t="s">
        <v>2255</v>
      </c>
      <c r="F895" s="57" t="s">
        <v>381</v>
      </c>
      <c r="G895" s="88"/>
      <c r="H895" s="88"/>
      <c r="I895" s="72" t="s">
        <v>1637</v>
      </c>
      <c r="J895" s="88"/>
      <c r="K895" s="170"/>
      <c r="L895" s="168"/>
      <c r="M895" s="170"/>
      <c r="N895" s="170"/>
      <c r="O895" s="170"/>
      <c r="P895" s="88" t="s">
        <v>1602</v>
      </c>
    </row>
    <row r="896" spans="1:16" x14ac:dyDescent="0.25">
      <c r="A896" s="5">
        <v>323</v>
      </c>
      <c r="B896" s="60">
        <v>102017796</v>
      </c>
      <c r="C896" s="60" t="s">
        <v>2256</v>
      </c>
      <c r="D896" s="61" t="str">
        <f t="shared" si="19"/>
        <v>102017796/0055366973</v>
      </c>
      <c r="E896" s="69" t="s">
        <v>2257</v>
      </c>
      <c r="F896" s="57" t="s">
        <v>379</v>
      </c>
      <c r="G896" s="88"/>
      <c r="H896" s="88"/>
      <c r="I896" s="72" t="s">
        <v>1644</v>
      </c>
      <c r="J896" s="88"/>
      <c r="K896" s="170"/>
      <c r="L896" s="168"/>
      <c r="M896" s="170"/>
      <c r="N896" s="170"/>
      <c r="O896" s="170"/>
      <c r="P896" s="88" t="s">
        <v>1602</v>
      </c>
    </row>
    <row r="897" spans="1:16" x14ac:dyDescent="0.25">
      <c r="A897" s="5">
        <v>324</v>
      </c>
      <c r="B897" s="60">
        <v>102017584</v>
      </c>
      <c r="C897" s="60" t="s">
        <v>2258</v>
      </c>
      <c r="D897" s="61" t="str">
        <f t="shared" si="19"/>
        <v>102017584/0058167167</v>
      </c>
      <c r="E897" s="75" t="s">
        <v>2259</v>
      </c>
      <c r="F897" s="57" t="s">
        <v>381</v>
      </c>
      <c r="G897" s="88"/>
      <c r="H897" s="88"/>
      <c r="I897" s="72" t="s">
        <v>1601</v>
      </c>
      <c r="J897" s="88"/>
      <c r="K897" s="170"/>
      <c r="L897" s="168"/>
      <c r="M897" s="170"/>
      <c r="N897" s="170"/>
      <c r="O897" s="170"/>
      <c r="P897" s="88" t="s">
        <v>1602</v>
      </c>
    </row>
    <row r="898" spans="1:16" x14ac:dyDescent="0.25">
      <c r="A898" s="5">
        <v>325</v>
      </c>
      <c r="B898" s="60">
        <v>102017751</v>
      </c>
      <c r="C898" s="62" t="s">
        <v>2260</v>
      </c>
      <c r="D898" s="61" t="str">
        <f t="shared" si="19"/>
        <v>102017751/0045415062</v>
      </c>
      <c r="E898" s="69" t="s">
        <v>2261</v>
      </c>
      <c r="F898" s="57" t="s">
        <v>381</v>
      </c>
      <c r="G898" s="88"/>
      <c r="H898" s="88"/>
      <c r="I898" s="72" t="s">
        <v>1607</v>
      </c>
      <c r="J898" s="88"/>
      <c r="K898" s="170"/>
      <c r="L898" s="168"/>
      <c r="M898" s="170"/>
      <c r="N898" s="170"/>
      <c r="O898" s="170"/>
      <c r="P898" s="88" t="s">
        <v>1602</v>
      </c>
    </row>
    <row r="899" spans="1:16" x14ac:dyDescent="0.25">
      <c r="A899" s="5">
        <v>326</v>
      </c>
      <c r="B899" s="60">
        <v>102017655</v>
      </c>
      <c r="C899" s="60" t="s">
        <v>2262</v>
      </c>
      <c r="D899" s="61" t="str">
        <f t="shared" si="19"/>
        <v>102017655/0055494635</v>
      </c>
      <c r="E899" s="69" t="s">
        <v>2263</v>
      </c>
      <c r="F899" s="57" t="s">
        <v>381</v>
      </c>
      <c r="G899" s="88"/>
      <c r="H899" s="88"/>
      <c r="I899" s="72" t="s">
        <v>1637</v>
      </c>
      <c r="J899" s="88"/>
      <c r="K899" s="170"/>
      <c r="L899" s="168"/>
      <c r="M899" s="170"/>
      <c r="N899" s="170"/>
      <c r="O899" s="170"/>
      <c r="P899" s="88" t="s">
        <v>1602</v>
      </c>
    </row>
    <row r="900" spans="1:16" x14ac:dyDescent="0.25">
      <c r="A900" s="5">
        <v>327</v>
      </c>
      <c r="B900" s="60">
        <v>102017752</v>
      </c>
      <c r="C900" s="60" t="s">
        <v>2264</v>
      </c>
      <c r="D900" s="61" t="str">
        <f t="shared" si="19"/>
        <v>102017752/0058695760</v>
      </c>
      <c r="E900" s="69" t="s">
        <v>2265</v>
      </c>
      <c r="F900" s="57" t="s">
        <v>381</v>
      </c>
      <c r="G900" s="88"/>
      <c r="H900" s="88"/>
      <c r="I900" s="72" t="s">
        <v>1607</v>
      </c>
      <c r="J900" s="88"/>
      <c r="K900" s="170"/>
      <c r="L900" s="168"/>
      <c r="M900" s="170"/>
      <c r="N900" s="170"/>
      <c r="O900" s="170"/>
      <c r="P900" s="88" t="s">
        <v>1602</v>
      </c>
    </row>
    <row r="901" spans="1:16" x14ac:dyDescent="0.25">
      <c r="A901" s="5">
        <v>328</v>
      </c>
      <c r="B901" s="60">
        <v>102017870</v>
      </c>
      <c r="C901" s="64" t="s">
        <v>2266</v>
      </c>
      <c r="D901" s="61" t="str">
        <f t="shared" si="19"/>
        <v>102017870/0059050239</v>
      </c>
      <c r="E901" s="69" t="s">
        <v>2267</v>
      </c>
      <c r="F901" s="57" t="s">
        <v>381</v>
      </c>
      <c r="G901" s="88"/>
      <c r="H901" s="88"/>
      <c r="I901" s="72" t="s">
        <v>1612</v>
      </c>
      <c r="J901" s="88"/>
      <c r="K901" s="170"/>
      <c r="L901" s="168"/>
      <c r="M901" s="170"/>
      <c r="N901" s="170"/>
      <c r="O901" s="170"/>
      <c r="P901" s="88" t="s">
        <v>1602</v>
      </c>
    </row>
    <row r="902" spans="1:16" x14ac:dyDescent="0.25">
      <c r="A902" s="5">
        <v>329</v>
      </c>
      <c r="B902" s="60">
        <v>102017797</v>
      </c>
      <c r="C902" s="60" t="s">
        <v>2268</v>
      </c>
      <c r="D902" s="61" t="str">
        <f t="shared" si="19"/>
        <v>102017797/0046875460</v>
      </c>
      <c r="E902" s="69" t="s">
        <v>2269</v>
      </c>
      <c r="F902" s="57" t="s">
        <v>381</v>
      </c>
      <c r="G902" s="88"/>
      <c r="H902" s="88"/>
      <c r="I902" s="72" t="s">
        <v>1644</v>
      </c>
      <c r="J902" s="88"/>
      <c r="K902" s="170"/>
      <c r="L902" s="168"/>
      <c r="M902" s="170"/>
      <c r="N902" s="170"/>
      <c r="O902" s="170"/>
      <c r="P902" s="88" t="s">
        <v>1602</v>
      </c>
    </row>
    <row r="903" spans="1:16" x14ac:dyDescent="0.25">
      <c r="A903" s="5">
        <v>330</v>
      </c>
      <c r="B903" s="60">
        <v>102017689</v>
      </c>
      <c r="C903" s="60" t="s">
        <v>2270</v>
      </c>
      <c r="D903" s="61" t="str">
        <f t="shared" si="19"/>
        <v>102017689/0046495672</v>
      </c>
      <c r="E903" s="69" t="s">
        <v>2271</v>
      </c>
      <c r="F903" s="57" t="s">
        <v>381</v>
      </c>
      <c r="G903" s="88"/>
      <c r="H903" s="88"/>
      <c r="I903" s="72" t="s">
        <v>1647</v>
      </c>
      <c r="J903" s="88"/>
      <c r="K903" s="170"/>
      <c r="L903" s="168"/>
      <c r="M903" s="170"/>
      <c r="N903" s="170"/>
      <c r="O903" s="170"/>
      <c r="P903" s="88" t="s">
        <v>1602</v>
      </c>
    </row>
    <row r="904" spans="1:16" x14ac:dyDescent="0.25">
      <c r="A904" s="5">
        <v>331</v>
      </c>
      <c r="B904" s="60">
        <v>102017903</v>
      </c>
      <c r="C904" s="63" t="s">
        <v>2272</v>
      </c>
      <c r="D904" s="61" t="str">
        <f t="shared" si="19"/>
        <v>102017903/0048016644</v>
      </c>
      <c r="E904" s="69" t="s">
        <v>2273</v>
      </c>
      <c r="F904" s="57" t="s">
        <v>381</v>
      </c>
      <c r="G904" s="88"/>
      <c r="H904" s="88"/>
      <c r="I904" s="72" t="s">
        <v>1630</v>
      </c>
      <c r="J904" s="88"/>
      <c r="K904" s="170"/>
      <c r="L904" s="168"/>
      <c r="M904" s="170"/>
      <c r="N904" s="170"/>
      <c r="O904" s="170"/>
      <c r="P904" s="88" t="s">
        <v>1602</v>
      </c>
    </row>
    <row r="905" spans="1:16" x14ac:dyDescent="0.25">
      <c r="A905" s="5">
        <v>332</v>
      </c>
      <c r="B905" s="60">
        <v>102017753</v>
      </c>
      <c r="C905" s="62" t="s">
        <v>2274</v>
      </c>
      <c r="D905" s="61" t="str">
        <f t="shared" si="19"/>
        <v>102017753/0055829975</v>
      </c>
      <c r="E905" s="69" t="s">
        <v>2275</v>
      </c>
      <c r="F905" s="57" t="s">
        <v>381</v>
      </c>
      <c r="G905" s="88"/>
      <c r="H905" s="88"/>
      <c r="I905" s="72" t="s">
        <v>1607</v>
      </c>
      <c r="J905" s="88"/>
      <c r="K905" s="170"/>
      <c r="L905" s="168"/>
      <c r="M905" s="170"/>
      <c r="N905" s="170"/>
      <c r="O905" s="170"/>
      <c r="P905" s="88" t="s">
        <v>1602</v>
      </c>
    </row>
    <row r="906" spans="1:16" x14ac:dyDescent="0.25">
      <c r="A906" s="5">
        <v>333</v>
      </c>
      <c r="B906" s="60">
        <v>102017690</v>
      </c>
      <c r="C906" s="60" t="s">
        <v>2276</v>
      </c>
      <c r="D906" s="61" t="str">
        <f t="shared" si="19"/>
        <v>102017690/0050930359</v>
      </c>
      <c r="E906" s="69" t="s">
        <v>2277</v>
      </c>
      <c r="F906" s="57" t="s">
        <v>381</v>
      </c>
      <c r="G906" s="88"/>
      <c r="H906" s="88"/>
      <c r="I906" s="72" t="s">
        <v>1647</v>
      </c>
      <c r="J906" s="88"/>
      <c r="K906" s="170"/>
      <c r="L906" s="168"/>
      <c r="M906" s="170"/>
      <c r="N906" s="170"/>
      <c r="O906" s="170"/>
      <c r="P906" s="88" t="s">
        <v>1602</v>
      </c>
    </row>
    <row r="907" spans="1:16" x14ac:dyDescent="0.25">
      <c r="A907" s="5">
        <v>334</v>
      </c>
      <c r="B907" s="60">
        <v>102017871</v>
      </c>
      <c r="C907" s="63" t="s">
        <v>2278</v>
      </c>
      <c r="D907" s="61" t="str">
        <f t="shared" si="19"/>
        <v>102017871/0047631219</v>
      </c>
      <c r="E907" s="69" t="s">
        <v>2279</v>
      </c>
      <c r="F907" s="57" t="s">
        <v>381</v>
      </c>
      <c r="G907" s="88"/>
      <c r="H907" s="88"/>
      <c r="I907" s="72" t="s">
        <v>1612</v>
      </c>
      <c r="J907" s="88"/>
      <c r="K907" s="170"/>
      <c r="L907" s="168"/>
      <c r="M907" s="170"/>
      <c r="N907" s="170"/>
      <c r="O907" s="170"/>
      <c r="P907" s="88" t="s">
        <v>1602</v>
      </c>
    </row>
    <row r="908" spans="1:16" x14ac:dyDescent="0.25">
      <c r="A908" s="5">
        <v>335</v>
      </c>
      <c r="B908" s="60">
        <v>102017691</v>
      </c>
      <c r="C908" s="60" t="s">
        <v>2280</v>
      </c>
      <c r="D908" s="61" t="str">
        <f t="shared" si="19"/>
        <v>102017691/0044831484</v>
      </c>
      <c r="E908" s="69" t="s">
        <v>2281</v>
      </c>
      <c r="F908" s="57" t="s">
        <v>381</v>
      </c>
      <c r="G908" s="88"/>
      <c r="H908" s="88"/>
      <c r="I908" s="72" t="s">
        <v>1647</v>
      </c>
      <c r="J908" s="88"/>
      <c r="K908" s="170"/>
      <c r="L908" s="168"/>
      <c r="M908" s="170"/>
      <c r="N908" s="170"/>
      <c r="O908" s="170"/>
      <c r="P908" s="88" t="s">
        <v>1602</v>
      </c>
    </row>
    <row r="909" spans="1:16" x14ac:dyDescent="0.25">
      <c r="A909" s="5">
        <v>336</v>
      </c>
      <c r="B909" s="60">
        <v>102017904</v>
      </c>
      <c r="C909" s="64" t="s">
        <v>2282</v>
      </c>
      <c r="D909" s="61" t="str">
        <f t="shared" si="19"/>
        <v>102017904/0057302963</v>
      </c>
      <c r="E909" s="69" t="s">
        <v>2283</v>
      </c>
      <c r="F909" s="57" t="s">
        <v>381</v>
      </c>
      <c r="G909" s="88"/>
      <c r="H909" s="88"/>
      <c r="I909" s="72" t="s">
        <v>1630</v>
      </c>
      <c r="J909" s="88"/>
      <c r="K909" s="170"/>
      <c r="L909" s="168"/>
      <c r="M909" s="170"/>
      <c r="N909" s="170"/>
      <c r="O909" s="170"/>
      <c r="P909" s="88" t="s">
        <v>1602</v>
      </c>
    </row>
    <row r="910" spans="1:16" x14ac:dyDescent="0.25">
      <c r="A910" s="5">
        <v>337</v>
      </c>
      <c r="B910" s="60">
        <v>102017723</v>
      </c>
      <c r="C910" s="60" t="s">
        <v>2284</v>
      </c>
      <c r="D910" s="61" t="str">
        <f t="shared" si="19"/>
        <v>102017723/0005007827</v>
      </c>
      <c r="E910" s="69" t="s">
        <v>2285</v>
      </c>
      <c r="F910" s="57" t="s">
        <v>381</v>
      </c>
      <c r="G910" s="88"/>
      <c r="H910" s="88"/>
      <c r="I910" s="72" t="s">
        <v>1701</v>
      </c>
      <c r="J910" s="88"/>
      <c r="K910" s="170"/>
      <c r="L910" s="168"/>
      <c r="M910" s="170"/>
      <c r="N910" s="170"/>
      <c r="O910" s="170"/>
      <c r="P910" s="88" t="s">
        <v>1602</v>
      </c>
    </row>
    <row r="911" spans="1:16" x14ac:dyDescent="0.25">
      <c r="A911" s="5">
        <v>338</v>
      </c>
      <c r="B911" s="60">
        <v>102017724</v>
      </c>
      <c r="C911" s="60" t="s">
        <v>2286</v>
      </c>
      <c r="D911" s="61" t="str">
        <f t="shared" si="19"/>
        <v>102017724/0042660113</v>
      </c>
      <c r="E911" s="69" t="s">
        <v>2287</v>
      </c>
      <c r="F911" s="57" t="s">
        <v>381</v>
      </c>
      <c r="G911" s="88"/>
      <c r="H911" s="88"/>
      <c r="I911" s="72" t="s">
        <v>1701</v>
      </c>
      <c r="J911" s="88"/>
      <c r="K911" s="170"/>
      <c r="L911" s="168"/>
      <c r="M911" s="170"/>
      <c r="N911" s="170"/>
      <c r="O911" s="170"/>
      <c r="P911" s="88" t="s">
        <v>1602</v>
      </c>
    </row>
    <row r="912" spans="1:16" x14ac:dyDescent="0.25">
      <c r="A912" s="5">
        <v>339</v>
      </c>
      <c r="B912" s="60">
        <v>102017620</v>
      </c>
      <c r="C912" s="60" t="s">
        <v>2288</v>
      </c>
      <c r="D912" s="61" t="str">
        <f t="shared" si="19"/>
        <v>102017620/0045408551</v>
      </c>
      <c r="E912" s="75" t="s">
        <v>2289</v>
      </c>
      <c r="F912" s="57" t="s">
        <v>381</v>
      </c>
      <c r="G912" s="88"/>
      <c r="H912" s="88"/>
      <c r="I912" s="72" t="s">
        <v>1623</v>
      </c>
      <c r="J912" s="88"/>
      <c r="K912" s="170"/>
      <c r="L912" s="168"/>
      <c r="M912" s="170"/>
      <c r="N912" s="170"/>
      <c r="O912" s="170"/>
      <c r="P912" s="88" t="s">
        <v>1602</v>
      </c>
    </row>
    <row r="913" spans="1:16" x14ac:dyDescent="0.25">
      <c r="A913" s="5">
        <v>340</v>
      </c>
      <c r="B913" s="60">
        <v>102017905</v>
      </c>
      <c r="C913" s="63" t="s">
        <v>2290</v>
      </c>
      <c r="D913" s="61" t="str">
        <f t="shared" si="19"/>
        <v>102017905/3043481852</v>
      </c>
      <c r="E913" s="69" t="s">
        <v>2291</v>
      </c>
      <c r="F913" s="57" t="s">
        <v>379</v>
      </c>
      <c r="G913" s="88"/>
      <c r="H913" s="88"/>
      <c r="I913" s="72" t="s">
        <v>1630</v>
      </c>
      <c r="J913" s="88"/>
      <c r="K913" s="170"/>
      <c r="L913" s="168"/>
      <c r="M913" s="170"/>
      <c r="N913" s="170"/>
      <c r="O913" s="170"/>
      <c r="P913" s="88" t="s">
        <v>1602</v>
      </c>
    </row>
    <row r="914" spans="1:16" x14ac:dyDescent="0.25">
      <c r="A914" s="5">
        <v>341</v>
      </c>
      <c r="B914" s="60">
        <v>102017834</v>
      </c>
      <c r="C914" s="60" t="s">
        <v>2292</v>
      </c>
      <c r="D914" s="61" t="str">
        <f t="shared" si="19"/>
        <v>102017834/0052914040</v>
      </c>
      <c r="E914" s="69" t="s">
        <v>2293</v>
      </c>
      <c r="F914" s="57" t="s">
        <v>381</v>
      </c>
      <c r="G914" s="88"/>
      <c r="H914" s="88"/>
      <c r="I914" s="72" t="s">
        <v>1618</v>
      </c>
      <c r="J914" s="88"/>
      <c r="K914" s="170"/>
      <c r="L914" s="168"/>
      <c r="M914" s="170"/>
      <c r="N914" s="170"/>
      <c r="O914" s="170"/>
      <c r="P914" s="88" t="s">
        <v>1602</v>
      </c>
    </row>
    <row r="915" spans="1:16" x14ac:dyDescent="0.25">
      <c r="A915" s="5">
        <v>342</v>
      </c>
      <c r="B915" s="60">
        <v>102017835</v>
      </c>
      <c r="C915" s="60" t="s">
        <v>2294</v>
      </c>
      <c r="D915" s="61" t="str">
        <f t="shared" si="19"/>
        <v>102017835/0046168885</v>
      </c>
      <c r="E915" s="69" t="s">
        <v>2295</v>
      </c>
      <c r="F915" s="57" t="s">
        <v>379</v>
      </c>
      <c r="G915" s="88"/>
      <c r="H915" s="88"/>
      <c r="I915" s="72" t="s">
        <v>1618</v>
      </c>
      <c r="J915" s="88"/>
      <c r="K915" s="170"/>
      <c r="L915" s="168"/>
      <c r="M915" s="170"/>
      <c r="N915" s="170"/>
      <c r="O915" s="170"/>
      <c r="P915" s="88" t="s">
        <v>1602</v>
      </c>
    </row>
    <row r="916" spans="1:16" x14ac:dyDescent="0.25">
      <c r="A916" s="5">
        <v>343</v>
      </c>
      <c r="B916" s="60">
        <v>102017725</v>
      </c>
      <c r="C916" s="62" t="s">
        <v>2296</v>
      </c>
      <c r="D916" s="61" t="str">
        <f t="shared" si="19"/>
        <v>102017725/0045992151</v>
      </c>
      <c r="E916" s="69" t="s">
        <v>2297</v>
      </c>
      <c r="F916" s="57" t="s">
        <v>379</v>
      </c>
      <c r="G916" s="88"/>
      <c r="H916" s="88"/>
      <c r="I916" s="72" t="s">
        <v>1701</v>
      </c>
      <c r="J916" s="88"/>
      <c r="K916" s="170"/>
      <c r="L916" s="168"/>
      <c r="M916" s="170"/>
      <c r="N916" s="170"/>
      <c r="O916" s="170"/>
      <c r="P916" s="88" t="s">
        <v>1602</v>
      </c>
    </row>
    <row r="917" spans="1:16" x14ac:dyDescent="0.25">
      <c r="A917" s="5">
        <v>344</v>
      </c>
      <c r="B917" s="60">
        <v>102017906</v>
      </c>
      <c r="C917" s="64" t="s">
        <v>2298</v>
      </c>
      <c r="D917" s="61" t="str">
        <f t="shared" si="19"/>
        <v>102017906/3050010934</v>
      </c>
      <c r="E917" s="69" t="s">
        <v>2299</v>
      </c>
      <c r="F917" s="57" t="s">
        <v>381</v>
      </c>
      <c r="G917" s="88"/>
      <c r="H917" s="88"/>
      <c r="I917" s="72" t="s">
        <v>1630</v>
      </c>
      <c r="J917" s="88"/>
      <c r="K917" s="170"/>
      <c r="L917" s="168"/>
      <c r="M917" s="170"/>
      <c r="N917" s="170"/>
      <c r="O917" s="170"/>
      <c r="P917" s="88" t="s">
        <v>1602</v>
      </c>
    </row>
    <row r="918" spans="1:16" x14ac:dyDescent="0.25">
      <c r="A918" s="5">
        <v>345</v>
      </c>
      <c r="B918" s="60">
        <v>102017798</v>
      </c>
      <c r="C918" s="137" t="s">
        <v>2300</v>
      </c>
      <c r="D918" s="61" t="str">
        <f t="shared" si="19"/>
        <v>102017798/0045774412</v>
      </c>
      <c r="E918" s="69" t="s">
        <v>2301</v>
      </c>
      <c r="F918" s="57" t="s">
        <v>381</v>
      </c>
      <c r="G918" s="88"/>
      <c r="H918" s="88"/>
      <c r="I918" s="72" t="s">
        <v>1644</v>
      </c>
      <c r="J918" s="88"/>
      <c r="K918" s="170"/>
      <c r="L918" s="168"/>
      <c r="M918" s="170"/>
      <c r="N918" s="170"/>
      <c r="O918" s="170"/>
      <c r="P918" s="88" t="s">
        <v>1602</v>
      </c>
    </row>
    <row r="919" spans="1:16" x14ac:dyDescent="0.25">
      <c r="A919" s="5">
        <v>346</v>
      </c>
      <c r="B919" s="60">
        <v>102017944</v>
      </c>
      <c r="C919" s="64" t="s">
        <v>2302</v>
      </c>
      <c r="D919" s="61" t="str">
        <f t="shared" si="19"/>
        <v>102017944/3056057500</v>
      </c>
      <c r="E919" s="69" t="s">
        <v>2303</v>
      </c>
      <c r="F919" s="57" t="s">
        <v>379</v>
      </c>
      <c r="G919" s="88"/>
      <c r="H919" s="88"/>
      <c r="I919" s="72" t="s">
        <v>1615</v>
      </c>
      <c r="J919" s="88"/>
      <c r="K919" s="170"/>
      <c r="L919" s="168"/>
      <c r="M919" s="170"/>
      <c r="N919" s="170"/>
      <c r="O919" s="170"/>
      <c r="P919" s="88" t="s">
        <v>1602</v>
      </c>
    </row>
    <row r="920" spans="1:16" x14ac:dyDescent="0.25">
      <c r="A920" s="5">
        <v>347</v>
      </c>
      <c r="B920" s="60">
        <v>102017946</v>
      </c>
      <c r="C920" s="137" t="s">
        <v>2304</v>
      </c>
      <c r="D920" s="61" t="str">
        <f t="shared" si="19"/>
        <v>102017946/0052099500</v>
      </c>
      <c r="E920" s="69" t="s">
        <v>2305</v>
      </c>
      <c r="F920" s="57" t="s">
        <v>379</v>
      </c>
      <c r="G920" s="88"/>
      <c r="H920" s="88"/>
      <c r="I920" s="72" t="s">
        <v>1701</v>
      </c>
      <c r="J920" s="88"/>
      <c r="K920" s="170"/>
      <c r="L920" s="168"/>
      <c r="M920" s="170"/>
      <c r="N920" s="170"/>
      <c r="O920" s="170"/>
      <c r="P920" s="88" t="s">
        <v>1602</v>
      </c>
    </row>
    <row r="921" spans="1:16" x14ac:dyDescent="0.25">
      <c r="A921" s="5">
        <v>348</v>
      </c>
      <c r="B921" s="60">
        <v>102017754</v>
      </c>
      <c r="C921" s="62" t="s">
        <v>2306</v>
      </c>
      <c r="D921" s="61" t="str">
        <f t="shared" si="19"/>
        <v>102017754/0047725827</v>
      </c>
      <c r="E921" s="69" t="s">
        <v>2307</v>
      </c>
      <c r="F921" s="57" t="s">
        <v>379</v>
      </c>
      <c r="G921" s="88"/>
      <c r="H921" s="88"/>
      <c r="I921" s="72" t="s">
        <v>1607</v>
      </c>
      <c r="J921" s="88"/>
      <c r="K921" s="170"/>
      <c r="L921" s="168"/>
      <c r="M921" s="170"/>
      <c r="N921" s="170"/>
      <c r="O921" s="170"/>
      <c r="P921" s="88" t="s">
        <v>1602</v>
      </c>
    </row>
    <row r="922" spans="1:16" x14ac:dyDescent="0.25">
      <c r="A922" s="5">
        <v>349</v>
      </c>
      <c r="B922" s="60">
        <v>102017656</v>
      </c>
      <c r="C922" s="60" t="s">
        <v>2308</v>
      </c>
      <c r="D922" s="61" t="str">
        <f t="shared" si="19"/>
        <v>102017656/0053699172</v>
      </c>
      <c r="E922" s="69" t="s">
        <v>2309</v>
      </c>
      <c r="F922" s="57" t="s">
        <v>381</v>
      </c>
      <c r="G922" s="88"/>
      <c r="H922" s="88"/>
      <c r="I922" s="72" t="s">
        <v>1637</v>
      </c>
      <c r="J922" s="88"/>
      <c r="K922" s="170"/>
      <c r="L922" s="168"/>
      <c r="M922" s="170"/>
      <c r="N922" s="170"/>
      <c r="O922" s="170"/>
      <c r="P922" s="88" t="s">
        <v>1602</v>
      </c>
    </row>
    <row r="923" spans="1:16" x14ac:dyDescent="0.25">
      <c r="A923" s="5">
        <v>350</v>
      </c>
      <c r="B923" s="60">
        <v>102017907</v>
      </c>
      <c r="C923" s="63" t="s">
        <v>2310</v>
      </c>
      <c r="D923" s="61" t="str">
        <f t="shared" si="19"/>
        <v>102017907/0043951925</v>
      </c>
      <c r="E923" s="69" t="s">
        <v>2311</v>
      </c>
      <c r="F923" s="57" t="s">
        <v>379</v>
      </c>
      <c r="G923" s="88"/>
      <c r="H923" s="88"/>
      <c r="I923" s="72" t="s">
        <v>1630</v>
      </c>
      <c r="J923" s="88"/>
      <c r="K923" s="170"/>
      <c r="L923" s="168"/>
      <c r="M923" s="170"/>
      <c r="N923" s="170"/>
      <c r="O923" s="170"/>
      <c r="P923" s="88" t="s">
        <v>1602</v>
      </c>
    </row>
    <row r="924" spans="1:16" x14ac:dyDescent="0.25">
      <c r="A924" s="5">
        <v>351</v>
      </c>
      <c r="B924" s="60">
        <v>102017755</v>
      </c>
      <c r="C924" s="62" t="s">
        <v>2312</v>
      </c>
      <c r="D924" s="61" t="str">
        <f t="shared" si="19"/>
        <v>102017755/0045012172</v>
      </c>
      <c r="E924" s="69" t="s">
        <v>2313</v>
      </c>
      <c r="F924" s="57" t="s">
        <v>381</v>
      </c>
      <c r="G924" s="88"/>
      <c r="H924" s="88"/>
      <c r="I924" s="72" t="s">
        <v>1607</v>
      </c>
      <c r="J924" s="88"/>
      <c r="K924" s="170"/>
      <c r="L924" s="168"/>
      <c r="M924" s="170"/>
      <c r="N924" s="170"/>
      <c r="O924" s="170"/>
      <c r="P924" s="88" t="s">
        <v>1602</v>
      </c>
    </row>
    <row r="925" spans="1:16" x14ac:dyDescent="0.25">
      <c r="A925" s="5">
        <v>352</v>
      </c>
      <c r="B925" s="60">
        <v>102017665</v>
      </c>
      <c r="C925" s="60" t="s">
        <v>2314</v>
      </c>
      <c r="D925" s="61" t="str">
        <f t="shared" si="19"/>
        <v>102017665/0046361009</v>
      </c>
      <c r="E925" s="69" t="s">
        <v>2315</v>
      </c>
      <c r="F925" s="57" t="s">
        <v>381</v>
      </c>
      <c r="G925" s="88"/>
      <c r="H925" s="88"/>
      <c r="I925" s="72" t="s">
        <v>1647</v>
      </c>
      <c r="J925" s="88"/>
      <c r="K925" s="170"/>
      <c r="L925" s="168"/>
      <c r="M925" s="170"/>
      <c r="N925" s="170"/>
      <c r="O925" s="170"/>
      <c r="P925" s="88" t="s">
        <v>1602</v>
      </c>
    </row>
    <row r="926" spans="1:16" x14ac:dyDescent="0.25">
      <c r="A926" s="5">
        <v>353</v>
      </c>
      <c r="B926" s="60">
        <v>102017836</v>
      </c>
      <c r="C926" s="62" t="s">
        <v>2316</v>
      </c>
      <c r="D926" s="61" t="str">
        <f t="shared" si="19"/>
        <v>102017836/0054727221</v>
      </c>
      <c r="E926" s="69" t="s">
        <v>2317</v>
      </c>
      <c r="F926" s="57" t="s">
        <v>381</v>
      </c>
      <c r="G926" s="88"/>
      <c r="H926" s="88"/>
      <c r="I926" s="72" t="s">
        <v>1618</v>
      </c>
      <c r="J926" s="88"/>
      <c r="K926" s="170"/>
      <c r="L926" s="168"/>
      <c r="M926" s="170"/>
      <c r="N926" s="170"/>
      <c r="O926" s="170"/>
      <c r="P926" s="88" t="s">
        <v>1602</v>
      </c>
    </row>
    <row r="927" spans="1:16" x14ac:dyDescent="0.25">
      <c r="A927" s="5">
        <v>354</v>
      </c>
      <c r="B927" s="60">
        <v>102017799</v>
      </c>
      <c r="C927" s="62" t="s">
        <v>2318</v>
      </c>
      <c r="D927" s="61" t="str">
        <f t="shared" si="19"/>
        <v>102017799/0045117048</v>
      </c>
      <c r="E927" s="69" t="s">
        <v>2319</v>
      </c>
      <c r="F927" s="57" t="s">
        <v>379</v>
      </c>
      <c r="G927" s="88"/>
      <c r="H927" s="88"/>
      <c r="I927" s="72" t="s">
        <v>1644</v>
      </c>
      <c r="J927" s="88"/>
      <c r="K927" s="170"/>
      <c r="L927" s="168"/>
      <c r="M927" s="170"/>
      <c r="N927" s="170"/>
      <c r="O927" s="170"/>
      <c r="P927" s="88" t="s">
        <v>1602</v>
      </c>
    </row>
    <row r="928" spans="1:16" x14ac:dyDescent="0.25">
      <c r="A928" s="5">
        <v>355</v>
      </c>
      <c r="B928" s="60">
        <v>102017757</v>
      </c>
      <c r="C928" s="62" t="s">
        <v>2320</v>
      </c>
      <c r="D928" s="61" t="str">
        <f t="shared" si="19"/>
        <v>102017757/0069193202</v>
      </c>
      <c r="E928" s="69" t="s">
        <v>2321</v>
      </c>
      <c r="F928" s="57" t="s">
        <v>379</v>
      </c>
      <c r="G928" s="88"/>
      <c r="H928" s="88"/>
      <c r="I928" s="72" t="s">
        <v>1607</v>
      </c>
      <c r="J928" s="88"/>
      <c r="K928" s="170"/>
      <c r="L928" s="168"/>
      <c r="M928" s="170"/>
      <c r="N928" s="170"/>
      <c r="O928" s="170"/>
      <c r="P928" s="88" t="s">
        <v>1602</v>
      </c>
    </row>
    <row r="929" spans="1:16" x14ac:dyDescent="0.25">
      <c r="A929" s="5">
        <v>356</v>
      </c>
      <c r="B929" s="60">
        <v>102017692</v>
      </c>
      <c r="C929" s="60" t="s">
        <v>2322</v>
      </c>
      <c r="D929" s="61" t="str">
        <f t="shared" si="19"/>
        <v>102017692/0044030868</v>
      </c>
      <c r="E929" s="69" t="s">
        <v>2323</v>
      </c>
      <c r="F929" s="57" t="s">
        <v>381</v>
      </c>
      <c r="G929" s="88"/>
      <c r="H929" s="88"/>
      <c r="I929" s="72" t="s">
        <v>1647</v>
      </c>
      <c r="J929" s="88"/>
      <c r="K929" s="170"/>
      <c r="L929" s="168"/>
      <c r="M929" s="170"/>
      <c r="N929" s="170"/>
      <c r="O929" s="170"/>
      <c r="P929" s="88" t="s">
        <v>1602</v>
      </c>
    </row>
    <row r="930" spans="1:16" x14ac:dyDescent="0.25">
      <c r="A930" s="5">
        <v>357</v>
      </c>
      <c r="B930" s="60">
        <v>102017758</v>
      </c>
      <c r="C930" s="137" t="s">
        <v>2324</v>
      </c>
      <c r="D930" s="61" t="str">
        <f t="shared" si="19"/>
        <v>102017758/0047016996</v>
      </c>
      <c r="E930" s="69" t="s">
        <v>2325</v>
      </c>
      <c r="F930" s="57" t="s">
        <v>381</v>
      </c>
      <c r="G930" s="88"/>
      <c r="H930" s="88"/>
      <c r="I930" s="72" t="s">
        <v>1607</v>
      </c>
      <c r="J930" s="88"/>
      <c r="K930" s="170"/>
      <c r="L930" s="168"/>
      <c r="M930" s="170"/>
      <c r="N930" s="170"/>
      <c r="O930" s="170"/>
      <c r="P930" s="88" t="s">
        <v>1602</v>
      </c>
    </row>
    <row r="931" spans="1:16" x14ac:dyDescent="0.25">
      <c r="A931" s="5">
        <v>358</v>
      </c>
      <c r="B931" s="60">
        <v>102017726</v>
      </c>
      <c r="C931" s="60" t="s">
        <v>2326</v>
      </c>
      <c r="D931" s="61" t="str">
        <f t="shared" si="19"/>
        <v>102017726/0053599131</v>
      </c>
      <c r="E931" s="69" t="s">
        <v>2327</v>
      </c>
      <c r="F931" s="57" t="s">
        <v>381</v>
      </c>
      <c r="G931" s="88"/>
      <c r="H931" s="88"/>
      <c r="I931" s="72" t="s">
        <v>1701</v>
      </c>
      <c r="J931" s="88"/>
      <c r="K931" s="170"/>
      <c r="L931" s="168"/>
      <c r="M931" s="170"/>
      <c r="N931" s="170"/>
      <c r="O931" s="170"/>
      <c r="P931" s="88" t="s">
        <v>1602</v>
      </c>
    </row>
    <row r="932" spans="1:16" x14ac:dyDescent="0.25">
      <c r="A932" s="5">
        <v>359</v>
      </c>
      <c r="B932" s="60">
        <v>102017727</v>
      </c>
      <c r="C932" s="60" t="s">
        <v>2328</v>
      </c>
      <c r="D932" s="61" t="str">
        <f t="shared" si="19"/>
        <v>102017727/0047293151</v>
      </c>
      <c r="E932" s="69" t="s">
        <v>2329</v>
      </c>
      <c r="F932" s="57" t="s">
        <v>381</v>
      </c>
      <c r="G932" s="88"/>
      <c r="H932" s="88"/>
      <c r="I932" s="72" t="s">
        <v>1701</v>
      </c>
      <c r="J932" s="88"/>
      <c r="K932" s="170"/>
      <c r="L932" s="168"/>
      <c r="M932" s="170"/>
      <c r="N932" s="170"/>
      <c r="O932" s="170"/>
      <c r="P932" s="88" t="s">
        <v>1602</v>
      </c>
    </row>
    <row r="933" spans="1:16" x14ac:dyDescent="0.25">
      <c r="A933" s="5">
        <v>360</v>
      </c>
      <c r="B933" s="60">
        <v>102017760</v>
      </c>
      <c r="C933" s="60" t="s">
        <v>2330</v>
      </c>
      <c r="D933" s="61" t="str">
        <f t="shared" si="19"/>
        <v>102017760/0047279664</v>
      </c>
      <c r="E933" s="69" t="s">
        <v>2331</v>
      </c>
      <c r="F933" s="57" t="s">
        <v>379</v>
      </c>
      <c r="G933" s="88"/>
      <c r="H933" s="88"/>
      <c r="I933" s="72" t="s">
        <v>1607</v>
      </c>
      <c r="J933" s="88"/>
      <c r="K933" s="170"/>
      <c r="L933" s="168"/>
      <c r="M933" s="170"/>
      <c r="N933" s="170"/>
      <c r="O933" s="170"/>
      <c r="P933" s="88" t="s">
        <v>1602</v>
      </c>
    </row>
    <row r="934" spans="1:16" x14ac:dyDescent="0.25">
      <c r="A934" s="5">
        <v>361</v>
      </c>
      <c r="B934" s="60">
        <v>102017728</v>
      </c>
      <c r="C934" s="60" t="s">
        <v>2332</v>
      </c>
      <c r="D934" s="61" t="str">
        <f t="shared" si="19"/>
        <v>102017728/0057842636</v>
      </c>
      <c r="E934" s="69" t="s">
        <v>2333</v>
      </c>
      <c r="F934" s="57" t="s">
        <v>381</v>
      </c>
      <c r="G934" s="88"/>
      <c r="H934" s="88"/>
      <c r="I934" s="72" t="s">
        <v>1701</v>
      </c>
      <c r="J934" s="88"/>
      <c r="K934" s="170"/>
      <c r="L934" s="168"/>
      <c r="M934" s="170"/>
      <c r="N934" s="170"/>
      <c r="O934" s="170"/>
      <c r="P934" s="88" t="s">
        <v>1602</v>
      </c>
    </row>
    <row r="935" spans="1:16" x14ac:dyDescent="0.25">
      <c r="A935" s="5">
        <v>362</v>
      </c>
      <c r="B935" s="60">
        <v>102017693</v>
      </c>
      <c r="C935" s="60" t="s">
        <v>2334</v>
      </c>
      <c r="D935" s="61" t="str">
        <f t="shared" si="19"/>
        <v>102017693/0049656253</v>
      </c>
      <c r="E935" s="69" t="s">
        <v>2335</v>
      </c>
      <c r="F935" s="57" t="s">
        <v>381</v>
      </c>
      <c r="G935" s="88"/>
      <c r="H935" s="88"/>
      <c r="I935" s="72" t="s">
        <v>1647</v>
      </c>
      <c r="J935" s="88"/>
      <c r="K935" s="170"/>
      <c r="L935" s="168"/>
      <c r="M935" s="170"/>
      <c r="N935" s="170"/>
      <c r="O935" s="170"/>
      <c r="P935" s="88" t="s">
        <v>1602</v>
      </c>
    </row>
    <row r="936" spans="1:16" x14ac:dyDescent="0.25">
      <c r="A936" s="5">
        <v>363</v>
      </c>
      <c r="B936" s="60">
        <v>102017761</v>
      </c>
      <c r="C936" s="60" t="s">
        <v>2336</v>
      </c>
      <c r="D936" s="61" t="str">
        <f t="shared" si="19"/>
        <v>102017761/0048015139</v>
      </c>
      <c r="E936" s="69" t="s">
        <v>2337</v>
      </c>
      <c r="F936" s="57" t="s">
        <v>379</v>
      </c>
      <c r="G936" s="88"/>
      <c r="H936" s="88"/>
      <c r="I936" s="72" t="s">
        <v>1607</v>
      </c>
      <c r="J936" s="88"/>
      <c r="K936" s="170"/>
      <c r="L936" s="168"/>
      <c r="M936" s="170"/>
      <c r="N936" s="170"/>
      <c r="O936" s="170"/>
      <c r="P936" s="88" t="s">
        <v>1602</v>
      </c>
    </row>
    <row r="937" spans="1:16" x14ac:dyDescent="0.25">
      <c r="A937" s="5">
        <v>364</v>
      </c>
      <c r="B937" s="60">
        <v>102017945</v>
      </c>
      <c r="C937" s="131" t="s">
        <v>2338</v>
      </c>
      <c r="D937" s="61" t="str">
        <f t="shared" si="19"/>
        <v>102017945/0048966325</v>
      </c>
      <c r="E937" s="69" t="s">
        <v>2339</v>
      </c>
      <c r="F937" s="57" t="s">
        <v>379</v>
      </c>
      <c r="G937" s="88"/>
      <c r="H937" s="88"/>
      <c r="I937" s="72" t="s">
        <v>1615</v>
      </c>
      <c r="J937" s="88"/>
      <c r="K937" s="170"/>
      <c r="L937" s="168"/>
      <c r="M937" s="170"/>
      <c r="N937" s="170"/>
      <c r="O937" s="170"/>
      <c r="P937" s="88" t="s">
        <v>1602</v>
      </c>
    </row>
    <row r="938" spans="1:16" x14ac:dyDescent="0.25">
      <c r="A938" s="5">
        <v>365</v>
      </c>
      <c r="B938" s="60">
        <v>102017585</v>
      </c>
      <c r="C938" s="60" t="s">
        <v>2340</v>
      </c>
      <c r="D938" s="61" t="str">
        <f t="shared" si="19"/>
        <v>102017585/0051023007</v>
      </c>
      <c r="E938" s="75" t="s">
        <v>2341</v>
      </c>
      <c r="F938" s="57" t="s">
        <v>381</v>
      </c>
      <c r="G938" s="88"/>
      <c r="H938" s="88"/>
      <c r="I938" s="72" t="s">
        <v>1601</v>
      </c>
      <c r="J938" s="88"/>
      <c r="K938" s="170"/>
      <c r="L938" s="168"/>
      <c r="M938" s="170"/>
      <c r="N938" s="170"/>
      <c r="O938" s="170"/>
      <c r="P938" s="88" t="s">
        <v>1602</v>
      </c>
    </row>
    <row r="939" spans="1:16" x14ac:dyDescent="0.25">
      <c r="A939" s="5">
        <v>366</v>
      </c>
      <c r="B939" s="60">
        <v>102017762</v>
      </c>
      <c r="C939" s="60" t="s">
        <v>2342</v>
      </c>
      <c r="D939" s="61" t="str">
        <f t="shared" si="19"/>
        <v>102017762/0047962456</v>
      </c>
      <c r="E939" s="69" t="s">
        <v>2343</v>
      </c>
      <c r="F939" s="57" t="s">
        <v>379</v>
      </c>
      <c r="G939" s="88"/>
      <c r="H939" s="88"/>
      <c r="I939" s="72" t="s">
        <v>1607</v>
      </c>
      <c r="J939" s="88"/>
      <c r="K939" s="170"/>
      <c r="L939" s="168"/>
      <c r="M939" s="170"/>
      <c r="N939" s="170"/>
      <c r="O939" s="170"/>
      <c r="P939" s="88" t="s">
        <v>1602</v>
      </c>
    </row>
    <row r="940" spans="1:16" x14ac:dyDescent="0.25">
      <c r="A940" s="5">
        <v>367</v>
      </c>
      <c r="B940" s="60">
        <v>102017837</v>
      </c>
      <c r="C940" s="60" t="s">
        <v>2344</v>
      </c>
      <c r="D940" s="61" t="str">
        <f t="shared" si="19"/>
        <v>102017837/0069583390</v>
      </c>
      <c r="E940" s="69" t="s">
        <v>2345</v>
      </c>
      <c r="F940" s="57" t="s">
        <v>379</v>
      </c>
      <c r="G940" s="88"/>
      <c r="H940" s="88"/>
      <c r="I940" s="72" t="s">
        <v>1618</v>
      </c>
      <c r="J940" s="88"/>
      <c r="K940" s="170"/>
      <c r="L940" s="168"/>
      <c r="M940" s="170"/>
      <c r="N940" s="170"/>
      <c r="O940" s="170"/>
      <c r="P940" s="88" t="s">
        <v>1602</v>
      </c>
    </row>
    <row r="941" spans="1:16" x14ac:dyDescent="0.25">
      <c r="A941" s="5">
        <v>368</v>
      </c>
      <c r="B941" s="60">
        <v>102017800</v>
      </c>
      <c r="C941" s="130" t="s">
        <v>2346</v>
      </c>
      <c r="D941" s="61" t="str">
        <f t="shared" si="19"/>
        <v>102017800/0048484108</v>
      </c>
      <c r="E941" s="69" t="s">
        <v>2347</v>
      </c>
      <c r="F941" s="57" t="s">
        <v>379</v>
      </c>
      <c r="G941" s="88"/>
      <c r="H941" s="88"/>
      <c r="I941" s="72" t="s">
        <v>1644</v>
      </c>
      <c r="J941" s="88"/>
      <c r="K941" s="170"/>
      <c r="L941" s="168"/>
      <c r="M941" s="170"/>
      <c r="N941" s="170"/>
      <c r="O941" s="170"/>
      <c r="P941" s="88" t="s">
        <v>1602</v>
      </c>
    </row>
    <row r="942" spans="1:16" x14ac:dyDescent="0.25">
      <c r="A942" s="5">
        <v>369</v>
      </c>
      <c r="B942" s="60">
        <v>102017873</v>
      </c>
      <c r="C942" s="64" t="s">
        <v>2348</v>
      </c>
      <c r="D942" s="61" t="str">
        <f t="shared" si="19"/>
        <v>102017873/0059611637</v>
      </c>
      <c r="E942" s="69" t="s">
        <v>2349</v>
      </c>
      <c r="F942" s="57" t="s">
        <v>379</v>
      </c>
      <c r="G942" s="88"/>
      <c r="H942" s="88"/>
      <c r="I942" s="72" t="s">
        <v>1612</v>
      </c>
      <c r="J942" s="88"/>
      <c r="K942" s="170"/>
      <c r="L942" s="168"/>
      <c r="M942" s="170"/>
      <c r="N942" s="170"/>
      <c r="O942" s="170"/>
      <c r="P942" s="88" t="s">
        <v>1602</v>
      </c>
    </row>
    <row r="943" spans="1:16" x14ac:dyDescent="0.25">
      <c r="A943" s="5">
        <v>370</v>
      </c>
      <c r="B943" s="60">
        <v>102017729</v>
      </c>
      <c r="C943" s="60" t="s">
        <v>2350</v>
      </c>
      <c r="D943" s="61" t="str">
        <f t="shared" si="19"/>
        <v>102017729/0052231885</v>
      </c>
      <c r="E943" s="69" t="s">
        <v>2351</v>
      </c>
      <c r="F943" s="57" t="s">
        <v>381</v>
      </c>
      <c r="G943" s="88"/>
      <c r="H943" s="88"/>
      <c r="I943" s="72" t="s">
        <v>1701</v>
      </c>
      <c r="J943" s="88"/>
      <c r="K943" s="170"/>
      <c r="L943" s="168"/>
      <c r="M943" s="170"/>
      <c r="N943" s="170"/>
      <c r="O943" s="170"/>
      <c r="P943" s="88" t="s">
        <v>1602</v>
      </c>
    </row>
    <row r="944" spans="1:16" x14ac:dyDescent="0.25">
      <c r="A944" s="5">
        <v>371</v>
      </c>
      <c r="B944" s="60">
        <v>102017947</v>
      </c>
      <c r="C944" s="136" t="s">
        <v>2352</v>
      </c>
      <c r="D944" s="61" t="str">
        <f t="shared" si="19"/>
        <v>102017947/0045869330</v>
      </c>
      <c r="E944" s="69" t="s">
        <v>2353</v>
      </c>
      <c r="F944" s="57" t="s">
        <v>381</v>
      </c>
      <c r="G944" s="88"/>
      <c r="H944" s="88"/>
      <c r="I944" s="72" t="s">
        <v>1630</v>
      </c>
      <c r="J944" s="88"/>
      <c r="K944" s="170"/>
      <c r="L944" s="168"/>
      <c r="M944" s="170"/>
      <c r="N944" s="170"/>
      <c r="O944" s="170"/>
      <c r="P944" s="88" t="s">
        <v>1602</v>
      </c>
    </row>
    <row r="945" spans="1:16" x14ac:dyDescent="0.25">
      <c r="A945" s="5">
        <v>372</v>
      </c>
      <c r="B945" s="60">
        <v>102017657</v>
      </c>
      <c r="C945" s="60" t="s">
        <v>2354</v>
      </c>
      <c r="D945" s="61" t="str">
        <f t="shared" si="19"/>
        <v>102017657/0051251158</v>
      </c>
      <c r="E945" s="69" t="s">
        <v>2355</v>
      </c>
      <c r="F945" s="57" t="s">
        <v>381</v>
      </c>
      <c r="G945" s="88"/>
      <c r="H945" s="88"/>
      <c r="I945" s="72" t="s">
        <v>1637</v>
      </c>
      <c r="J945" s="88"/>
      <c r="K945" s="170"/>
      <c r="L945" s="168"/>
      <c r="M945" s="170"/>
      <c r="N945" s="170"/>
      <c r="O945" s="170"/>
      <c r="P945" s="88" t="s">
        <v>1602</v>
      </c>
    </row>
    <row r="946" spans="1:16" x14ac:dyDescent="0.25">
      <c r="A946" s="5">
        <v>373</v>
      </c>
      <c r="B946" s="60">
        <v>102017763</v>
      </c>
      <c r="C946" s="60" t="s">
        <v>2356</v>
      </c>
      <c r="D946" s="61" t="str">
        <f t="shared" si="19"/>
        <v>102017763/3040055599</v>
      </c>
      <c r="E946" s="69" t="s">
        <v>2357</v>
      </c>
      <c r="F946" s="57" t="s">
        <v>381</v>
      </c>
      <c r="G946" s="88"/>
      <c r="H946" s="88"/>
      <c r="I946" s="72" t="s">
        <v>1607</v>
      </c>
      <c r="J946" s="88"/>
      <c r="K946" s="170"/>
      <c r="L946" s="168"/>
      <c r="M946" s="170"/>
      <c r="N946" s="170"/>
      <c r="O946" s="170"/>
      <c r="P946" s="88" t="s">
        <v>1602</v>
      </c>
    </row>
    <row r="947" spans="1:16" x14ac:dyDescent="0.25">
      <c r="A947" s="5">
        <v>374</v>
      </c>
      <c r="B947" s="60">
        <v>102017764</v>
      </c>
      <c r="C947" s="60" t="s">
        <v>2358</v>
      </c>
      <c r="D947" s="61" t="str">
        <f t="shared" si="19"/>
        <v>102017764/0056881025</v>
      </c>
      <c r="E947" s="69" t="s">
        <v>2359</v>
      </c>
      <c r="F947" s="57" t="s">
        <v>381</v>
      </c>
      <c r="G947" s="88"/>
      <c r="H947" s="88"/>
      <c r="I947" s="72" t="s">
        <v>1607</v>
      </c>
      <c r="J947" s="88"/>
      <c r="K947" s="170"/>
      <c r="L947" s="168"/>
      <c r="M947" s="170"/>
      <c r="N947" s="170"/>
      <c r="O947" s="170"/>
      <c r="P947" s="88" t="s">
        <v>1602</v>
      </c>
    </row>
    <row r="948" spans="1:16" x14ac:dyDescent="0.25">
      <c r="A948" s="5">
        <v>375</v>
      </c>
      <c r="B948" s="60">
        <v>102017621</v>
      </c>
      <c r="C948" s="60" t="s">
        <v>2360</v>
      </c>
      <c r="D948" s="61" t="str">
        <f t="shared" si="19"/>
        <v>102017621/0047703961</v>
      </c>
      <c r="E948" s="75" t="s">
        <v>2361</v>
      </c>
      <c r="F948" s="57" t="s">
        <v>381</v>
      </c>
      <c r="G948" s="88"/>
      <c r="H948" s="88"/>
      <c r="I948" s="72" t="s">
        <v>1623</v>
      </c>
      <c r="J948" s="88"/>
      <c r="K948" s="170"/>
      <c r="L948" s="168"/>
      <c r="M948" s="170"/>
      <c r="N948" s="170"/>
      <c r="O948" s="170"/>
      <c r="P948" s="88" t="s">
        <v>1602</v>
      </c>
    </row>
    <row r="949" spans="1:16" x14ac:dyDescent="0.25">
      <c r="A949" s="5">
        <v>376</v>
      </c>
      <c r="B949" s="60">
        <v>102017908</v>
      </c>
      <c r="C949" s="63" t="s">
        <v>2362</v>
      </c>
      <c r="D949" s="61" t="str">
        <f t="shared" si="19"/>
        <v>102017908/0055837734</v>
      </c>
      <c r="E949" s="69" t="s">
        <v>2363</v>
      </c>
      <c r="F949" s="57" t="s">
        <v>379</v>
      </c>
      <c r="G949" s="88"/>
      <c r="H949" s="88"/>
      <c r="I949" s="72" t="s">
        <v>1630</v>
      </c>
      <c r="J949" s="88"/>
      <c r="K949" s="170"/>
      <c r="L949" s="168"/>
      <c r="M949" s="170"/>
      <c r="N949" s="170"/>
      <c r="O949" s="170"/>
      <c r="P949" s="88" t="s">
        <v>1602</v>
      </c>
    </row>
    <row r="950" spans="1:16" x14ac:dyDescent="0.25">
      <c r="A950" s="5">
        <v>377</v>
      </c>
      <c r="B950" s="60">
        <v>102017765</v>
      </c>
      <c r="C950" s="60" t="s">
        <v>2364</v>
      </c>
      <c r="D950" s="61" t="str">
        <f t="shared" si="19"/>
        <v>102017765/0052245843</v>
      </c>
      <c r="E950" s="69" t="s">
        <v>2365</v>
      </c>
      <c r="F950" s="57" t="s">
        <v>381</v>
      </c>
      <c r="G950" s="88"/>
      <c r="H950" s="88"/>
      <c r="I950" s="72" t="s">
        <v>1607</v>
      </c>
      <c r="J950" s="88"/>
      <c r="K950" s="170"/>
      <c r="L950" s="168"/>
      <c r="M950" s="170"/>
      <c r="N950" s="170"/>
      <c r="O950" s="170"/>
      <c r="P950" s="88" t="s">
        <v>1602</v>
      </c>
    </row>
    <row r="951" spans="1:16" x14ac:dyDescent="0.25">
      <c r="A951" s="5">
        <v>378</v>
      </c>
      <c r="B951" s="60">
        <v>102017909</v>
      </c>
      <c r="C951" s="63" t="s">
        <v>2366</v>
      </c>
      <c r="D951" s="61" t="str">
        <f t="shared" si="19"/>
        <v>102017909/0058486618</v>
      </c>
      <c r="E951" s="69" t="s">
        <v>2367</v>
      </c>
      <c r="F951" s="57" t="s">
        <v>379</v>
      </c>
      <c r="G951" s="88"/>
      <c r="H951" s="88"/>
      <c r="I951" s="72" t="s">
        <v>1630</v>
      </c>
      <c r="J951" s="88"/>
      <c r="K951" s="170"/>
      <c r="L951" s="168"/>
      <c r="M951" s="170"/>
      <c r="N951" s="170"/>
      <c r="O951" s="170"/>
      <c r="P951" s="88" t="s">
        <v>1602</v>
      </c>
    </row>
    <row r="952" spans="1:16" x14ac:dyDescent="0.25">
      <c r="A952" s="5">
        <v>379</v>
      </c>
      <c r="B952" s="60">
        <v>102017801</v>
      </c>
      <c r="C952" s="60" t="s">
        <v>2368</v>
      </c>
      <c r="D952" s="61" t="str">
        <f t="shared" si="19"/>
        <v>102017801/0052468551</v>
      </c>
      <c r="E952" s="69" t="s">
        <v>2369</v>
      </c>
      <c r="F952" s="57" t="s">
        <v>379</v>
      </c>
      <c r="G952" s="88"/>
      <c r="H952" s="88"/>
      <c r="I952" s="72" t="s">
        <v>1644</v>
      </c>
      <c r="J952" s="88"/>
      <c r="K952" s="170"/>
      <c r="L952" s="168"/>
      <c r="M952" s="170"/>
      <c r="N952" s="170"/>
      <c r="O952" s="170"/>
      <c r="P952" s="88" t="s">
        <v>1602</v>
      </c>
    </row>
    <row r="953" spans="1:16" x14ac:dyDescent="0.25">
      <c r="A953" s="5"/>
      <c r="B953" s="60"/>
      <c r="C953" s="60"/>
      <c r="D953" s="61"/>
      <c r="E953" s="75"/>
      <c r="F953" s="57"/>
      <c r="G953" s="88"/>
      <c r="H953" s="88"/>
      <c r="I953" s="88"/>
      <c r="J953" s="88"/>
      <c r="K953" s="170"/>
      <c r="L953" s="168"/>
      <c r="M953" s="170"/>
      <c r="N953" s="170"/>
      <c r="O953" s="170"/>
      <c r="P953" s="88"/>
    </row>
    <row r="954" spans="1:16" x14ac:dyDescent="0.25">
      <c r="A954" s="5">
        <v>1</v>
      </c>
      <c r="B954" s="60"/>
      <c r="C954" s="66">
        <f>'Baru NIS'!C109</f>
        <v>102519632</v>
      </c>
      <c r="D954" s="61"/>
      <c r="E954" s="67" t="s">
        <v>2370</v>
      </c>
      <c r="F954" s="68" t="s">
        <v>379</v>
      </c>
      <c r="G954" s="88"/>
      <c r="H954" s="88"/>
      <c r="I954" s="88"/>
      <c r="J954" s="72" t="s">
        <v>2371</v>
      </c>
      <c r="K954" s="171"/>
      <c r="L954" s="168"/>
      <c r="M954" s="171"/>
      <c r="N954" s="171"/>
      <c r="O954" s="171"/>
      <c r="P954" s="88" t="s">
        <v>5070</v>
      </c>
    </row>
    <row r="955" spans="1:16" x14ac:dyDescent="0.25">
      <c r="A955" s="5">
        <v>2</v>
      </c>
      <c r="B955" s="60"/>
      <c r="C955" s="66">
        <f>'Baru NIS'!C181</f>
        <v>102519704</v>
      </c>
      <c r="D955" s="61"/>
      <c r="E955" s="67" t="s">
        <v>2372</v>
      </c>
      <c r="F955" s="68" t="s">
        <v>381</v>
      </c>
      <c r="G955" s="88"/>
      <c r="H955" s="88"/>
      <c r="I955" s="88"/>
      <c r="J955" s="72" t="s">
        <v>2373</v>
      </c>
      <c r="K955" s="171"/>
      <c r="L955" s="168"/>
      <c r="M955" s="171"/>
      <c r="N955" s="171"/>
      <c r="O955" s="171"/>
      <c r="P955" s="88" t="s">
        <v>5070</v>
      </c>
    </row>
    <row r="956" spans="1:16" x14ac:dyDescent="0.25">
      <c r="A956" s="5">
        <v>3</v>
      </c>
      <c r="B956" s="60"/>
      <c r="C956" s="66" t="e">
        <f>'Baru NIS'!#REF!</f>
        <v>#REF!</v>
      </c>
      <c r="D956" s="61"/>
      <c r="E956" s="58" t="s">
        <v>2374</v>
      </c>
      <c r="F956" s="5" t="s">
        <v>379</v>
      </c>
      <c r="G956" s="88"/>
      <c r="H956" s="88"/>
      <c r="I956" s="88"/>
      <c r="J956" s="72" t="s">
        <v>2375</v>
      </c>
      <c r="K956" s="171"/>
      <c r="L956" s="168"/>
      <c r="M956" s="171"/>
      <c r="N956" s="171"/>
      <c r="O956" s="171"/>
      <c r="P956" s="88" t="s">
        <v>5070</v>
      </c>
    </row>
    <row r="957" spans="1:16" x14ac:dyDescent="0.25">
      <c r="A957" s="5">
        <v>4</v>
      </c>
      <c r="B957" s="60"/>
      <c r="C957" s="66">
        <f>'Baru NIS'!C252</f>
        <v>102519815</v>
      </c>
      <c r="D957" s="61"/>
      <c r="E957" s="73" t="s">
        <v>2376</v>
      </c>
      <c r="F957" s="74" t="s">
        <v>381</v>
      </c>
      <c r="G957" s="88"/>
      <c r="H957" s="88"/>
      <c r="I957" s="88"/>
      <c r="J957" s="72" t="s">
        <v>2377</v>
      </c>
      <c r="K957" s="171"/>
      <c r="L957" s="168"/>
      <c r="M957" s="171"/>
      <c r="N957" s="171"/>
      <c r="O957" s="171"/>
      <c r="P957" s="88" t="s">
        <v>5070</v>
      </c>
    </row>
    <row r="958" spans="1:16" x14ac:dyDescent="0.25">
      <c r="A958" s="5">
        <v>5</v>
      </c>
      <c r="B958" s="60"/>
      <c r="C958" s="66" t="e">
        <f>'Baru NIS'!#REF!</f>
        <v>#REF!</v>
      </c>
      <c r="D958" s="61"/>
      <c r="E958" s="58" t="s">
        <v>2378</v>
      </c>
      <c r="F958" s="5" t="s">
        <v>379</v>
      </c>
      <c r="G958" s="88"/>
      <c r="H958" s="88"/>
      <c r="I958" s="88"/>
      <c r="J958" s="72" t="s">
        <v>2379</v>
      </c>
      <c r="K958" s="171"/>
      <c r="L958" s="168"/>
      <c r="M958" s="171"/>
      <c r="N958" s="171"/>
      <c r="O958" s="171"/>
      <c r="P958" s="88" t="s">
        <v>5070</v>
      </c>
    </row>
    <row r="959" spans="1:16" x14ac:dyDescent="0.25">
      <c r="A959" s="5">
        <v>6</v>
      </c>
      <c r="B959" s="60"/>
      <c r="C959" s="66">
        <f>'Baru NIS'!C182</f>
        <v>102519705</v>
      </c>
      <c r="D959" s="61"/>
      <c r="E959" s="67" t="s">
        <v>2380</v>
      </c>
      <c r="F959" s="68" t="s">
        <v>381</v>
      </c>
      <c r="G959" s="88"/>
      <c r="H959" s="88"/>
      <c r="I959" s="88"/>
      <c r="J959" s="72" t="s">
        <v>2373</v>
      </c>
      <c r="K959" s="171"/>
      <c r="L959" s="168"/>
      <c r="M959" s="171"/>
      <c r="N959" s="171"/>
      <c r="O959" s="171"/>
      <c r="P959" s="88" t="s">
        <v>5070</v>
      </c>
    </row>
    <row r="960" spans="1:16" x14ac:dyDescent="0.25">
      <c r="A960" s="5">
        <v>7</v>
      </c>
      <c r="B960" s="60"/>
      <c r="C960" s="66">
        <f>'Baru NIS'!C183</f>
        <v>102519706</v>
      </c>
      <c r="D960" s="61"/>
      <c r="E960" s="67" t="s">
        <v>2381</v>
      </c>
      <c r="F960" s="68" t="s">
        <v>379</v>
      </c>
      <c r="G960" s="88"/>
      <c r="H960" s="88"/>
      <c r="I960" s="88"/>
      <c r="J960" s="72" t="s">
        <v>2373</v>
      </c>
      <c r="K960" s="171"/>
      <c r="L960" s="168"/>
      <c r="M960" s="171"/>
      <c r="N960" s="171"/>
      <c r="O960" s="171"/>
      <c r="P960" s="88" t="s">
        <v>5070</v>
      </c>
    </row>
    <row r="961" spans="1:16" x14ac:dyDescent="0.25">
      <c r="A961" s="5">
        <v>8</v>
      </c>
      <c r="B961" s="60"/>
      <c r="C961" s="66">
        <f>'Baru NIS'!C320</f>
        <v>102519843</v>
      </c>
      <c r="D961" s="61"/>
      <c r="E961" s="58" t="s">
        <v>2382</v>
      </c>
      <c r="F961" s="5" t="s">
        <v>381</v>
      </c>
      <c r="G961" s="88"/>
      <c r="H961" s="88"/>
      <c r="I961" s="88"/>
      <c r="J961" s="72" t="s">
        <v>2383</v>
      </c>
      <c r="K961" s="171"/>
      <c r="L961" s="168"/>
      <c r="M961" s="171"/>
      <c r="N961" s="171"/>
      <c r="O961" s="171"/>
      <c r="P961" s="88" t="s">
        <v>5070</v>
      </c>
    </row>
    <row r="962" spans="1:16" x14ac:dyDescent="0.25">
      <c r="A962" s="5">
        <v>9</v>
      </c>
      <c r="B962" s="60"/>
      <c r="C962" s="66">
        <f>'Baru NIS'!C253</f>
        <v>102519816</v>
      </c>
      <c r="D962" s="61"/>
      <c r="E962" s="73" t="s">
        <v>2384</v>
      </c>
      <c r="F962" s="74" t="s">
        <v>381</v>
      </c>
      <c r="G962" s="88"/>
      <c r="H962" s="88"/>
      <c r="I962" s="88"/>
      <c r="J962" s="72" t="s">
        <v>2377</v>
      </c>
      <c r="K962" s="171"/>
      <c r="L962" s="168"/>
      <c r="M962" s="171"/>
      <c r="N962" s="171"/>
      <c r="O962" s="171"/>
      <c r="P962" s="88" t="s">
        <v>5070</v>
      </c>
    </row>
    <row r="963" spans="1:16" x14ac:dyDescent="0.25">
      <c r="A963" s="5">
        <v>10</v>
      </c>
      <c r="B963" s="60"/>
      <c r="C963" s="66">
        <f>'Baru NIS'!C2</f>
        <v>102519525</v>
      </c>
      <c r="D963" s="61"/>
      <c r="E963" s="73" t="s">
        <v>2385</v>
      </c>
      <c r="F963" s="57" t="s">
        <v>381</v>
      </c>
      <c r="G963" s="88"/>
      <c r="H963" s="88"/>
      <c r="I963" s="88"/>
      <c r="J963" s="72" t="s">
        <v>2386</v>
      </c>
      <c r="K963" s="171"/>
      <c r="L963" s="168"/>
      <c r="M963" s="171"/>
      <c r="N963" s="171"/>
      <c r="O963" s="171"/>
      <c r="P963" s="88" t="s">
        <v>5070</v>
      </c>
    </row>
    <row r="964" spans="1:16" x14ac:dyDescent="0.25">
      <c r="A964" s="5">
        <v>11</v>
      </c>
      <c r="B964" s="60"/>
      <c r="C964" s="66">
        <f>'Baru NIS'!C184</f>
        <v>102519707</v>
      </c>
      <c r="D964" s="61"/>
      <c r="E964" s="69" t="s">
        <v>2387</v>
      </c>
      <c r="F964" s="57" t="s">
        <v>381</v>
      </c>
      <c r="G964" s="88"/>
      <c r="H964" s="88"/>
      <c r="I964" s="88"/>
      <c r="J964" s="72" t="s">
        <v>2373</v>
      </c>
      <c r="K964" s="171"/>
      <c r="L964" s="168"/>
      <c r="M964" s="171"/>
      <c r="N964" s="171"/>
      <c r="O964" s="171"/>
      <c r="P964" s="88" t="s">
        <v>5070</v>
      </c>
    </row>
    <row r="965" spans="1:16" x14ac:dyDescent="0.25">
      <c r="A965" s="5">
        <v>12</v>
      </c>
      <c r="B965" s="60"/>
      <c r="C965" s="66">
        <f>'Baru NIS'!C73</f>
        <v>102519596</v>
      </c>
      <c r="D965" s="61"/>
      <c r="E965" s="67" t="s">
        <v>2388</v>
      </c>
      <c r="F965" s="68" t="s">
        <v>379</v>
      </c>
      <c r="G965" s="88"/>
      <c r="H965" s="88"/>
      <c r="I965" s="88"/>
      <c r="J965" s="72" t="s">
        <v>2389</v>
      </c>
      <c r="K965" s="171"/>
      <c r="L965" s="168"/>
      <c r="M965" s="171"/>
      <c r="N965" s="171"/>
      <c r="O965" s="171"/>
      <c r="P965" s="88" t="s">
        <v>5070</v>
      </c>
    </row>
    <row r="966" spans="1:16" x14ac:dyDescent="0.25">
      <c r="A966" s="5">
        <v>13</v>
      </c>
      <c r="B966" s="60"/>
      <c r="C966" s="66" t="e">
        <f>'Baru NIS'!#REF!</f>
        <v>#REF!</v>
      </c>
      <c r="D966" s="61"/>
      <c r="E966" s="73" t="s">
        <v>2390</v>
      </c>
      <c r="F966" s="74" t="s">
        <v>379</v>
      </c>
      <c r="G966" s="88"/>
      <c r="H966" s="88"/>
      <c r="I966" s="88"/>
      <c r="J966" s="72" t="s">
        <v>2375</v>
      </c>
      <c r="K966" s="171"/>
      <c r="L966" s="168"/>
      <c r="M966" s="171"/>
      <c r="N966" s="171"/>
      <c r="O966" s="171"/>
      <c r="P966" s="88" t="s">
        <v>5070</v>
      </c>
    </row>
    <row r="967" spans="1:16" x14ac:dyDescent="0.25">
      <c r="A967" s="5">
        <v>14</v>
      </c>
      <c r="B967" s="60"/>
      <c r="C967" s="66">
        <f>'Baru NIS'!C74</f>
        <v>102519597</v>
      </c>
      <c r="D967" s="61"/>
      <c r="E967" s="69" t="s">
        <v>2391</v>
      </c>
      <c r="F967" s="57" t="s">
        <v>379</v>
      </c>
      <c r="G967" s="88"/>
      <c r="H967" s="88"/>
      <c r="I967" s="88"/>
      <c r="J967" s="72" t="s">
        <v>2389</v>
      </c>
      <c r="K967" s="171"/>
      <c r="L967" s="168"/>
      <c r="M967" s="171"/>
      <c r="N967" s="171"/>
      <c r="O967" s="171"/>
      <c r="P967" s="88" t="s">
        <v>5070</v>
      </c>
    </row>
    <row r="968" spans="1:16" x14ac:dyDescent="0.25">
      <c r="A968" s="5">
        <v>15</v>
      </c>
      <c r="B968" s="60"/>
      <c r="C968" s="66">
        <f>'Baru NIS'!C321</f>
        <v>102519844</v>
      </c>
      <c r="D968" s="61"/>
      <c r="E968" s="73" t="s">
        <v>2392</v>
      </c>
      <c r="F968" s="74" t="s">
        <v>379</v>
      </c>
      <c r="G968" s="88"/>
      <c r="H968" s="88"/>
      <c r="I968" s="88"/>
      <c r="J968" s="72" t="s">
        <v>2383</v>
      </c>
      <c r="K968" s="171"/>
      <c r="L968" s="168"/>
      <c r="M968" s="171"/>
      <c r="N968" s="171"/>
      <c r="O968" s="171"/>
      <c r="P968" s="88" t="s">
        <v>5070</v>
      </c>
    </row>
    <row r="969" spans="1:16" x14ac:dyDescent="0.25">
      <c r="A969" s="5">
        <v>16</v>
      </c>
      <c r="B969" s="60"/>
      <c r="C969" s="66">
        <f>'Baru NIS'!C185</f>
        <v>102519708</v>
      </c>
      <c r="D969" s="61"/>
      <c r="E969" s="67" t="s">
        <v>2393</v>
      </c>
      <c r="F969" s="68" t="s">
        <v>379</v>
      </c>
      <c r="G969" s="88"/>
      <c r="H969" s="88"/>
      <c r="I969" s="88"/>
      <c r="J969" s="72" t="s">
        <v>2373</v>
      </c>
      <c r="K969" s="171"/>
      <c r="L969" s="168"/>
      <c r="M969" s="171"/>
      <c r="N969" s="171"/>
      <c r="O969" s="171"/>
      <c r="P969" s="88" t="s">
        <v>5070</v>
      </c>
    </row>
    <row r="970" spans="1:16" x14ac:dyDescent="0.25">
      <c r="A970" s="5">
        <v>17</v>
      </c>
      <c r="B970" s="60"/>
      <c r="C970" s="66">
        <f>'Baru NIS'!C3</f>
        <v>102519526</v>
      </c>
      <c r="D970" s="61"/>
      <c r="E970" s="67" t="s">
        <v>2394</v>
      </c>
      <c r="F970" s="68" t="s">
        <v>379</v>
      </c>
      <c r="G970" s="88"/>
      <c r="H970" s="88"/>
      <c r="I970" s="88"/>
      <c r="J970" s="72" t="s">
        <v>2386</v>
      </c>
      <c r="K970" s="171"/>
      <c r="L970" s="168"/>
      <c r="M970" s="171"/>
      <c r="N970" s="171"/>
      <c r="O970" s="171"/>
      <c r="P970" s="88" t="s">
        <v>2395</v>
      </c>
    </row>
    <row r="971" spans="1:16" x14ac:dyDescent="0.25">
      <c r="A971" s="5">
        <v>18</v>
      </c>
      <c r="B971" s="60"/>
      <c r="C971" s="66">
        <f>'Baru NIS'!C38</f>
        <v>102519561</v>
      </c>
      <c r="D971" s="61"/>
      <c r="E971" s="67" t="s">
        <v>2396</v>
      </c>
      <c r="F971" s="68" t="s">
        <v>381</v>
      </c>
      <c r="G971" s="88"/>
      <c r="H971" s="88"/>
      <c r="I971" s="88"/>
      <c r="J971" s="72" t="s">
        <v>2397</v>
      </c>
      <c r="K971" s="171"/>
      <c r="L971" s="168"/>
      <c r="M971" s="171"/>
      <c r="N971" s="171"/>
      <c r="O971" s="171"/>
      <c r="P971" s="88" t="s">
        <v>5070</v>
      </c>
    </row>
    <row r="972" spans="1:16" x14ac:dyDescent="0.25">
      <c r="A972" s="5">
        <v>19</v>
      </c>
      <c r="B972" s="60"/>
      <c r="C972" s="66">
        <f>'Baru NIS'!C145</f>
        <v>102519668</v>
      </c>
      <c r="D972" s="61"/>
      <c r="E972" s="75" t="s">
        <v>2398</v>
      </c>
      <c r="F972" s="76" t="s">
        <v>381</v>
      </c>
      <c r="G972" s="88"/>
      <c r="H972" s="88"/>
      <c r="I972" s="88"/>
      <c r="J972" s="72" t="s">
        <v>2399</v>
      </c>
      <c r="K972" s="171"/>
      <c r="L972" s="168"/>
      <c r="M972" s="171"/>
      <c r="N972" s="171"/>
      <c r="O972" s="171"/>
      <c r="P972" s="88" t="s">
        <v>5070</v>
      </c>
    </row>
    <row r="973" spans="1:16" x14ac:dyDescent="0.25">
      <c r="A973" s="5">
        <v>20</v>
      </c>
      <c r="B973" s="60"/>
      <c r="C973" s="66">
        <f>'Baru NIS'!C186</f>
        <v>102519709</v>
      </c>
      <c r="D973" s="61"/>
      <c r="E973" s="67" t="s">
        <v>2400</v>
      </c>
      <c r="F973" s="68" t="s">
        <v>381</v>
      </c>
      <c r="G973" s="88"/>
      <c r="H973" s="88"/>
      <c r="I973" s="88"/>
      <c r="J973" s="72" t="s">
        <v>2373</v>
      </c>
      <c r="K973" s="171"/>
      <c r="L973" s="168"/>
      <c r="M973" s="171"/>
      <c r="N973" s="171"/>
      <c r="O973" s="171"/>
      <c r="P973" s="88" t="s">
        <v>5070</v>
      </c>
    </row>
    <row r="974" spans="1:16" x14ac:dyDescent="0.25">
      <c r="A974" s="5">
        <v>21</v>
      </c>
      <c r="B974" s="60"/>
      <c r="C974" s="66">
        <f>'Baru NIS'!C354</f>
        <v>102519877</v>
      </c>
      <c r="D974" s="61"/>
      <c r="E974" s="73" t="s">
        <v>2401</v>
      </c>
      <c r="F974" s="74" t="s">
        <v>379</v>
      </c>
      <c r="G974" s="88"/>
      <c r="H974" s="88"/>
      <c r="I974" s="88"/>
      <c r="J974" s="72" t="s">
        <v>2402</v>
      </c>
      <c r="K974" s="171"/>
      <c r="L974" s="168"/>
      <c r="M974" s="171"/>
      <c r="N974" s="171"/>
      <c r="O974" s="171"/>
      <c r="P974" s="88" t="s">
        <v>5070</v>
      </c>
    </row>
    <row r="975" spans="1:16" x14ac:dyDescent="0.25">
      <c r="A975" s="5">
        <v>22</v>
      </c>
      <c r="B975" s="60"/>
      <c r="C975" s="66">
        <f>'Baru NIS'!C355</f>
        <v>102519878</v>
      </c>
      <c r="D975" s="61"/>
      <c r="E975" s="58" t="s">
        <v>2403</v>
      </c>
      <c r="F975" s="5" t="s">
        <v>379</v>
      </c>
      <c r="G975" s="88"/>
      <c r="H975" s="88"/>
      <c r="I975" s="88"/>
      <c r="J975" s="72" t="s">
        <v>2402</v>
      </c>
      <c r="K975" s="171"/>
      <c r="L975" s="168"/>
      <c r="M975" s="171"/>
      <c r="N975" s="171"/>
      <c r="O975" s="171"/>
      <c r="P975" s="88" t="s">
        <v>5070</v>
      </c>
    </row>
    <row r="976" spans="1:16" x14ac:dyDescent="0.25">
      <c r="A976" s="5">
        <v>23</v>
      </c>
      <c r="B976" s="60"/>
      <c r="C976" s="66">
        <f>'Baru NIS'!C288</f>
        <v>102519771</v>
      </c>
      <c r="D976" s="61"/>
      <c r="E976" s="58" t="s">
        <v>2404</v>
      </c>
      <c r="F976" s="5" t="s">
        <v>381</v>
      </c>
      <c r="G976" s="88"/>
      <c r="H976" s="88"/>
      <c r="I976" s="88"/>
      <c r="J976" s="72" t="s">
        <v>2375</v>
      </c>
      <c r="K976" s="171"/>
      <c r="L976" s="168"/>
      <c r="M976" s="171"/>
      <c r="N976" s="171"/>
      <c r="O976" s="171"/>
      <c r="P976" s="88" t="s">
        <v>5070</v>
      </c>
    </row>
    <row r="977" spans="1:16" x14ac:dyDescent="0.25">
      <c r="A977" s="5">
        <v>24</v>
      </c>
      <c r="B977" s="60"/>
      <c r="C977" s="66">
        <f>'Baru NIS'!C110</f>
        <v>102519633</v>
      </c>
      <c r="D977" s="61"/>
      <c r="E977" s="67" t="s">
        <v>2405</v>
      </c>
      <c r="F977" s="68" t="s">
        <v>381</v>
      </c>
      <c r="G977" s="88"/>
      <c r="H977" s="88"/>
      <c r="I977" s="88"/>
      <c r="J977" s="72" t="s">
        <v>2371</v>
      </c>
      <c r="K977" s="171"/>
      <c r="L977" s="168"/>
      <c r="M977" s="171"/>
      <c r="N977" s="171"/>
      <c r="O977" s="171"/>
      <c r="P977" s="88" t="s">
        <v>5070</v>
      </c>
    </row>
    <row r="978" spans="1:16" x14ac:dyDescent="0.25">
      <c r="A978" s="5">
        <v>25</v>
      </c>
      <c r="B978" s="60"/>
      <c r="C978" s="66">
        <f>'Baru NIS'!C146</f>
        <v>102519669</v>
      </c>
      <c r="D978" s="61"/>
      <c r="E978" s="77" t="s">
        <v>2406</v>
      </c>
      <c r="F978" s="78" t="s">
        <v>381</v>
      </c>
      <c r="G978" s="88"/>
      <c r="H978" s="88"/>
      <c r="I978" s="88"/>
      <c r="J978" s="72" t="s">
        <v>2399</v>
      </c>
      <c r="K978" s="171"/>
      <c r="L978" s="168"/>
      <c r="M978" s="171"/>
      <c r="N978" s="171"/>
      <c r="O978" s="171"/>
      <c r="P978" s="88" t="s">
        <v>5070</v>
      </c>
    </row>
    <row r="979" spans="1:16" x14ac:dyDescent="0.25">
      <c r="A979" s="5">
        <v>26</v>
      </c>
      <c r="B979" s="60"/>
      <c r="C979" s="66" t="e">
        <f>'Baru NIS'!#REF!</f>
        <v>#REF!</v>
      </c>
      <c r="D979" s="61"/>
      <c r="E979" s="73" t="s">
        <v>2407</v>
      </c>
      <c r="F979" s="74" t="s">
        <v>379</v>
      </c>
      <c r="G979" s="88"/>
      <c r="H979" s="88"/>
      <c r="I979" s="88"/>
      <c r="J979" s="72" t="s">
        <v>2383</v>
      </c>
      <c r="K979" s="171"/>
      <c r="L979" s="168"/>
      <c r="M979" s="171"/>
      <c r="N979" s="171"/>
      <c r="O979" s="171"/>
      <c r="P979" s="88" t="s">
        <v>5070</v>
      </c>
    </row>
    <row r="980" spans="1:16" x14ac:dyDescent="0.25">
      <c r="A980" s="5">
        <v>27</v>
      </c>
      <c r="B980" s="60"/>
      <c r="C980" s="66">
        <f>'Baru NIS'!C322</f>
        <v>102519845</v>
      </c>
      <c r="D980" s="61"/>
      <c r="E980" s="58" t="s">
        <v>2408</v>
      </c>
      <c r="F980" s="5" t="s">
        <v>379</v>
      </c>
      <c r="G980" s="88"/>
      <c r="H980" s="88"/>
      <c r="I980" s="88"/>
      <c r="J980" s="72" t="s">
        <v>2383</v>
      </c>
      <c r="K980" s="171"/>
      <c r="L980" s="168"/>
      <c r="M980" s="171"/>
      <c r="N980" s="171"/>
      <c r="O980" s="171"/>
      <c r="P980" s="88" t="s">
        <v>5070</v>
      </c>
    </row>
    <row r="981" spans="1:16" x14ac:dyDescent="0.25">
      <c r="A981" s="5">
        <v>28</v>
      </c>
      <c r="B981" s="60"/>
      <c r="C981" s="66">
        <f>'Baru NIS'!C187</f>
        <v>102519710</v>
      </c>
      <c r="D981" s="61"/>
      <c r="E981" s="69" t="s">
        <v>2409</v>
      </c>
      <c r="F981" s="57" t="s">
        <v>381</v>
      </c>
      <c r="G981" s="88"/>
      <c r="H981" s="88"/>
      <c r="I981" s="88"/>
      <c r="J981" s="72" t="s">
        <v>2373</v>
      </c>
      <c r="K981" s="171"/>
      <c r="L981" s="168"/>
      <c r="M981" s="171"/>
      <c r="N981" s="171"/>
      <c r="O981" s="171"/>
      <c r="P981" s="88" t="s">
        <v>5070</v>
      </c>
    </row>
    <row r="982" spans="1:16" x14ac:dyDescent="0.25">
      <c r="A982" s="5">
        <v>29</v>
      </c>
      <c r="B982" s="60"/>
      <c r="C982" s="66">
        <f>'Baru NIS'!C147</f>
        <v>102519670</v>
      </c>
      <c r="D982" s="61"/>
      <c r="E982" s="77" t="s">
        <v>2410</v>
      </c>
      <c r="F982" s="78" t="s">
        <v>379</v>
      </c>
      <c r="G982" s="88"/>
      <c r="H982" s="88"/>
      <c r="I982" s="88"/>
      <c r="J982" s="72" t="s">
        <v>2399</v>
      </c>
      <c r="K982" s="171"/>
      <c r="L982" s="168"/>
      <c r="M982" s="171"/>
      <c r="N982" s="171"/>
      <c r="O982" s="171"/>
      <c r="P982" s="88" t="s">
        <v>5070</v>
      </c>
    </row>
    <row r="983" spans="1:16" x14ac:dyDescent="0.25">
      <c r="A983" s="5">
        <v>30</v>
      </c>
      <c r="B983" s="60"/>
      <c r="C983" s="66">
        <f>'Baru NIS'!C39</f>
        <v>102519562</v>
      </c>
      <c r="D983" s="61"/>
      <c r="E983" s="67" t="s">
        <v>2411</v>
      </c>
      <c r="F983" s="68" t="s">
        <v>379</v>
      </c>
      <c r="G983" s="88"/>
      <c r="H983" s="88"/>
      <c r="I983" s="88"/>
      <c r="J983" s="72" t="s">
        <v>2397</v>
      </c>
      <c r="K983" s="171"/>
      <c r="L983" s="168"/>
      <c r="M983" s="171"/>
      <c r="N983" s="171"/>
      <c r="O983" s="171"/>
      <c r="P983" s="88" t="s">
        <v>5070</v>
      </c>
    </row>
    <row r="984" spans="1:16" x14ac:dyDescent="0.25">
      <c r="A984" s="5">
        <v>31</v>
      </c>
      <c r="B984" s="60"/>
      <c r="C984" s="66">
        <f>'Baru NIS'!C40</f>
        <v>102519563</v>
      </c>
      <c r="D984" s="61"/>
      <c r="E984" s="67" t="s">
        <v>2412</v>
      </c>
      <c r="F984" s="68" t="s">
        <v>379</v>
      </c>
      <c r="G984" s="88"/>
      <c r="H984" s="88"/>
      <c r="I984" s="88"/>
      <c r="J984" s="72" t="s">
        <v>2397</v>
      </c>
      <c r="K984" s="171"/>
      <c r="L984" s="168"/>
      <c r="M984" s="171"/>
      <c r="N984" s="171"/>
      <c r="O984" s="171"/>
      <c r="P984" s="88" t="s">
        <v>5070</v>
      </c>
    </row>
    <row r="985" spans="1:16" x14ac:dyDescent="0.25">
      <c r="A985" s="5">
        <v>32</v>
      </c>
      <c r="B985" s="60"/>
      <c r="C985" s="66">
        <f>'Baru NIS'!C41</f>
        <v>102519564</v>
      </c>
      <c r="D985" s="61"/>
      <c r="E985" s="67" t="s">
        <v>2413</v>
      </c>
      <c r="F985" s="68" t="s">
        <v>381</v>
      </c>
      <c r="G985" s="88"/>
      <c r="H985" s="88"/>
      <c r="I985" s="88"/>
      <c r="J985" s="72" t="s">
        <v>2397</v>
      </c>
      <c r="K985" s="171"/>
      <c r="L985" s="168"/>
      <c r="M985" s="171"/>
      <c r="N985" s="171"/>
      <c r="O985" s="171"/>
      <c r="P985" s="88" t="s">
        <v>5070</v>
      </c>
    </row>
    <row r="986" spans="1:16" x14ac:dyDescent="0.25">
      <c r="A986" s="5">
        <v>33</v>
      </c>
      <c r="B986" s="60"/>
      <c r="C986" s="66">
        <f>'Baru NIS'!C356</f>
        <v>102519879</v>
      </c>
      <c r="D986" s="61"/>
      <c r="E986" s="73" t="s">
        <v>2414</v>
      </c>
      <c r="F986" s="74" t="s">
        <v>381</v>
      </c>
      <c r="G986" s="88"/>
      <c r="H986" s="88"/>
      <c r="I986" s="88"/>
      <c r="J986" s="72" t="s">
        <v>2402</v>
      </c>
      <c r="K986" s="171"/>
      <c r="L986" s="168"/>
      <c r="M986" s="171"/>
      <c r="N986" s="171"/>
      <c r="O986" s="171"/>
      <c r="P986" s="88" t="s">
        <v>5070</v>
      </c>
    </row>
    <row r="987" spans="1:16" x14ac:dyDescent="0.25">
      <c r="A987" s="5">
        <v>34</v>
      </c>
      <c r="B987" s="60"/>
      <c r="C987" s="66">
        <f>'Baru NIS'!C289</f>
        <v>102519772</v>
      </c>
      <c r="D987" s="61"/>
      <c r="E987" s="73" t="s">
        <v>2415</v>
      </c>
      <c r="F987" s="74" t="s">
        <v>381</v>
      </c>
      <c r="G987" s="88"/>
      <c r="H987" s="88"/>
      <c r="I987" s="88"/>
      <c r="J987" s="72" t="s">
        <v>2375</v>
      </c>
      <c r="K987" s="171"/>
      <c r="L987" s="168"/>
      <c r="M987" s="171"/>
      <c r="N987" s="171"/>
      <c r="O987" s="171"/>
      <c r="P987" s="88" t="s">
        <v>5070</v>
      </c>
    </row>
    <row r="988" spans="1:16" x14ac:dyDescent="0.25">
      <c r="A988" s="5">
        <v>35</v>
      </c>
      <c r="B988" s="60"/>
      <c r="C988" s="66">
        <f>'Baru NIS'!C148</f>
        <v>102519671</v>
      </c>
      <c r="D988" s="61"/>
      <c r="E988" s="77" t="s">
        <v>2416</v>
      </c>
      <c r="F988" s="78" t="s">
        <v>381</v>
      </c>
      <c r="G988" s="88"/>
      <c r="H988" s="88"/>
      <c r="I988" s="88"/>
      <c r="J988" s="72" t="s">
        <v>2399</v>
      </c>
      <c r="K988" s="171"/>
      <c r="L988" s="168"/>
      <c r="M988" s="171"/>
      <c r="N988" s="171"/>
      <c r="O988" s="171"/>
      <c r="P988" s="88" t="s">
        <v>5070</v>
      </c>
    </row>
    <row r="989" spans="1:16" x14ac:dyDescent="0.25">
      <c r="A989" s="5">
        <v>36</v>
      </c>
      <c r="B989" s="60"/>
      <c r="C989" s="66">
        <f>'Baru NIS'!C111</f>
        <v>102519634</v>
      </c>
      <c r="D989" s="61"/>
      <c r="E989" s="67" t="s">
        <v>2417</v>
      </c>
      <c r="F989" s="68" t="s">
        <v>381</v>
      </c>
      <c r="G989" s="88"/>
      <c r="H989" s="88"/>
      <c r="I989" s="88"/>
      <c r="J989" s="72" t="s">
        <v>2371</v>
      </c>
      <c r="K989" s="171"/>
      <c r="L989" s="168"/>
      <c r="M989" s="171"/>
      <c r="N989" s="171"/>
      <c r="O989" s="171"/>
      <c r="P989" s="88" t="s">
        <v>5070</v>
      </c>
    </row>
    <row r="990" spans="1:16" x14ac:dyDescent="0.25">
      <c r="A990" s="5">
        <v>37</v>
      </c>
      <c r="B990" s="60"/>
      <c r="C990" s="66">
        <f>'Baru NIS'!C4</f>
        <v>102519527</v>
      </c>
      <c r="D990" s="61"/>
      <c r="E990" s="67" t="s">
        <v>2418</v>
      </c>
      <c r="F990" s="68" t="s">
        <v>381</v>
      </c>
      <c r="G990" s="88"/>
      <c r="H990" s="88"/>
      <c r="I990" s="88"/>
      <c r="J990" s="72" t="s">
        <v>2386</v>
      </c>
      <c r="K990" s="171"/>
      <c r="L990" s="168"/>
      <c r="M990" s="171"/>
      <c r="N990" s="171"/>
      <c r="O990" s="171"/>
      <c r="P990" s="88" t="s">
        <v>5070</v>
      </c>
    </row>
    <row r="991" spans="1:16" x14ac:dyDescent="0.25">
      <c r="A991" s="5">
        <v>38</v>
      </c>
      <c r="B991" s="60"/>
      <c r="C991" s="66">
        <f>'Baru NIS'!C112</f>
        <v>102519635</v>
      </c>
      <c r="D991" s="61"/>
      <c r="E991" s="67" t="s">
        <v>2419</v>
      </c>
      <c r="F991" s="68" t="s">
        <v>381</v>
      </c>
      <c r="G991" s="88"/>
      <c r="H991" s="88"/>
      <c r="I991" s="88"/>
      <c r="J991" s="72" t="s">
        <v>2371</v>
      </c>
      <c r="K991" s="171"/>
      <c r="L991" s="168"/>
      <c r="M991" s="171"/>
      <c r="N991" s="171"/>
      <c r="O991" s="171"/>
      <c r="P991" s="88" t="s">
        <v>5070</v>
      </c>
    </row>
    <row r="992" spans="1:16" x14ac:dyDescent="0.25">
      <c r="A992" s="5">
        <v>39</v>
      </c>
      <c r="B992" s="60"/>
      <c r="C992" s="66" t="e">
        <f>'Baru NIS'!#REF!</f>
        <v>#REF!</v>
      </c>
      <c r="D992" s="61"/>
      <c r="E992" s="73" t="s">
        <v>2420</v>
      </c>
      <c r="F992" s="74" t="s">
        <v>381</v>
      </c>
      <c r="G992" s="88"/>
      <c r="H992" s="88"/>
      <c r="I992" s="88"/>
      <c r="J992" s="72" t="s">
        <v>2375</v>
      </c>
      <c r="K992" s="171"/>
      <c r="L992" s="168"/>
      <c r="M992" s="171"/>
      <c r="N992" s="171"/>
      <c r="O992" s="171"/>
      <c r="P992" s="88" t="s">
        <v>5070</v>
      </c>
    </row>
    <row r="993" spans="1:16" x14ac:dyDescent="0.25">
      <c r="A993" s="5">
        <v>40</v>
      </c>
      <c r="B993" s="60"/>
      <c r="C993" s="66" t="e">
        <f>'Baru NIS'!#REF!</f>
        <v>#REF!</v>
      </c>
      <c r="D993" s="61"/>
      <c r="E993" s="58" t="s">
        <v>2421</v>
      </c>
      <c r="F993" s="5" t="s">
        <v>379</v>
      </c>
      <c r="G993" s="88"/>
      <c r="H993" s="88"/>
      <c r="I993" s="88"/>
      <c r="J993" s="72" t="s">
        <v>2379</v>
      </c>
      <c r="K993" s="171"/>
      <c r="L993" s="168"/>
      <c r="M993" s="171"/>
      <c r="N993" s="171"/>
      <c r="O993" s="171"/>
      <c r="P993" s="88" t="s">
        <v>5070</v>
      </c>
    </row>
    <row r="994" spans="1:16" x14ac:dyDescent="0.25">
      <c r="A994" s="5">
        <v>41</v>
      </c>
      <c r="B994" s="60"/>
      <c r="C994" s="66">
        <f>'Baru NIS'!C290</f>
        <v>102519773</v>
      </c>
      <c r="D994" s="61"/>
      <c r="E994" s="73" t="s">
        <v>2422</v>
      </c>
      <c r="F994" s="74" t="s">
        <v>379</v>
      </c>
      <c r="G994" s="88"/>
      <c r="H994" s="88"/>
      <c r="I994" s="88"/>
      <c r="J994" s="72" t="s">
        <v>2375</v>
      </c>
      <c r="K994" s="171"/>
      <c r="L994" s="168"/>
      <c r="M994" s="171"/>
      <c r="N994" s="171"/>
      <c r="O994" s="171"/>
      <c r="P994" s="88" t="s">
        <v>5070</v>
      </c>
    </row>
    <row r="995" spans="1:16" x14ac:dyDescent="0.25">
      <c r="A995" s="5">
        <v>42</v>
      </c>
      <c r="B995" s="60"/>
      <c r="C995" s="66">
        <f>'Baru NIS'!C323</f>
        <v>102519846</v>
      </c>
      <c r="D995" s="61"/>
      <c r="E995" s="58" t="s">
        <v>2423</v>
      </c>
      <c r="F995" s="5" t="s">
        <v>381</v>
      </c>
      <c r="G995" s="88"/>
      <c r="H995" s="88"/>
      <c r="I995" s="88"/>
      <c r="J995" s="72" t="s">
        <v>2383</v>
      </c>
      <c r="K995" s="171"/>
      <c r="L995" s="168"/>
      <c r="M995" s="171"/>
      <c r="N995" s="171"/>
      <c r="O995" s="171"/>
      <c r="P995" s="88" t="s">
        <v>5070</v>
      </c>
    </row>
    <row r="996" spans="1:16" x14ac:dyDescent="0.25">
      <c r="A996" s="5">
        <v>43</v>
      </c>
      <c r="B996" s="60"/>
      <c r="C996" s="66">
        <f>'Baru NIS'!C324</f>
        <v>102519847</v>
      </c>
      <c r="D996" s="61"/>
      <c r="E996" s="73" t="s">
        <v>2424</v>
      </c>
      <c r="F996" s="74" t="s">
        <v>381</v>
      </c>
      <c r="G996" s="88"/>
      <c r="H996" s="88"/>
      <c r="I996" s="88"/>
      <c r="J996" s="72" t="s">
        <v>2383</v>
      </c>
      <c r="K996" s="171"/>
      <c r="L996" s="168"/>
      <c r="M996" s="171"/>
      <c r="N996" s="171"/>
      <c r="O996" s="171"/>
      <c r="P996" s="88" t="s">
        <v>5070</v>
      </c>
    </row>
    <row r="997" spans="1:16" x14ac:dyDescent="0.25">
      <c r="A997" s="5">
        <v>44</v>
      </c>
      <c r="B997" s="60"/>
      <c r="C997" s="66">
        <f>'Baru NIS'!C291</f>
        <v>102519774</v>
      </c>
      <c r="D997" s="61"/>
      <c r="E997" s="58" t="s">
        <v>2425</v>
      </c>
      <c r="F997" s="5" t="s">
        <v>379</v>
      </c>
      <c r="G997" s="88"/>
      <c r="H997" s="88"/>
      <c r="I997" s="88"/>
      <c r="J997" s="72" t="s">
        <v>2375</v>
      </c>
      <c r="K997" s="171"/>
      <c r="L997" s="168"/>
      <c r="M997" s="171"/>
      <c r="N997" s="171"/>
      <c r="O997" s="171"/>
      <c r="P997" s="88" t="s">
        <v>5070</v>
      </c>
    </row>
    <row r="998" spans="1:16" x14ac:dyDescent="0.25">
      <c r="A998" s="5">
        <v>45</v>
      </c>
      <c r="B998" s="60"/>
      <c r="C998" s="66">
        <f>'Baru NIS'!C254</f>
        <v>102519817</v>
      </c>
      <c r="D998" s="61"/>
      <c r="E998" s="73" t="s">
        <v>2426</v>
      </c>
      <c r="F998" s="74" t="s">
        <v>379</v>
      </c>
      <c r="G998" s="88"/>
      <c r="H998" s="88"/>
      <c r="I998" s="88"/>
      <c r="J998" s="72" t="s">
        <v>2377</v>
      </c>
      <c r="K998" s="171"/>
      <c r="L998" s="168"/>
      <c r="M998" s="171"/>
      <c r="N998" s="171"/>
      <c r="O998" s="171"/>
      <c r="P998" s="88" t="s">
        <v>5070</v>
      </c>
    </row>
    <row r="999" spans="1:16" x14ac:dyDescent="0.25">
      <c r="A999" s="5">
        <v>46</v>
      </c>
      <c r="B999" s="60"/>
      <c r="C999" s="66">
        <f>'Baru NIS'!C292</f>
        <v>102519775</v>
      </c>
      <c r="D999" s="61"/>
      <c r="E999" s="73" t="s">
        <v>2427</v>
      </c>
      <c r="F999" s="74" t="s">
        <v>381</v>
      </c>
      <c r="G999" s="88"/>
      <c r="H999" s="88"/>
      <c r="I999" s="88"/>
      <c r="J999" s="72" t="s">
        <v>2375</v>
      </c>
      <c r="K999" s="171"/>
      <c r="L999" s="168"/>
      <c r="M999" s="171"/>
      <c r="N999" s="171"/>
      <c r="O999" s="171"/>
      <c r="P999" s="88" t="s">
        <v>5070</v>
      </c>
    </row>
    <row r="1000" spans="1:16" s="99" customFormat="1" x14ac:dyDescent="0.25">
      <c r="A1000" s="5">
        <v>47</v>
      </c>
      <c r="B1000" s="110"/>
      <c r="C1000" s="111">
        <f>'Baru NIS'!C5</f>
        <v>102519528</v>
      </c>
      <c r="D1000" s="112"/>
      <c r="E1000" s="113" t="s">
        <v>2428</v>
      </c>
      <c r="F1000" s="114" t="s">
        <v>381</v>
      </c>
      <c r="G1000" s="115"/>
      <c r="H1000" s="115"/>
      <c r="I1000" s="115"/>
      <c r="J1000" s="116" t="s">
        <v>2386</v>
      </c>
      <c r="K1000" s="172"/>
      <c r="L1000" s="182"/>
      <c r="M1000" s="172"/>
      <c r="N1000" s="172"/>
      <c r="O1000" s="172"/>
      <c r="P1000" s="115" t="s">
        <v>2429</v>
      </c>
    </row>
    <row r="1001" spans="1:16" x14ac:dyDescent="0.25">
      <c r="A1001" s="5">
        <v>48</v>
      </c>
      <c r="B1001" s="60"/>
      <c r="C1001" s="66">
        <f>'Baru NIS'!C113</f>
        <v>102519636</v>
      </c>
      <c r="D1001" s="61"/>
      <c r="E1001" s="69" t="s">
        <v>2430</v>
      </c>
      <c r="F1001" s="57" t="s">
        <v>381</v>
      </c>
      <c r="G1001" s="88"/>
      <c r="H1001" s="88"/>
      <c r="I1001" s="88"/>
      <c r="J1001" s="72" t="s">
        <v>2371</v>
      </c>
      <c r="K1001" s="171"/>
      <c r="L1001" s="168"/>
      <c r="M1001" s="171"/>
      <c r="N1001" s="171"/>
      <c r="O1001" s="171"/>
      <c r="P1001" s="88" t="s">
        <v>5070</v>
      </c>
    </row>
    <row r="1002" spans="1:16" x14ac:dyDescent="0.25">
      <c r="A1002" s="5">
        <v>49</v>
      </c>
      <c r="B1002" s="60"/>
      <c r="C1002" s="66">
        <f>'Baru NIS'!C42</f>
        <v>102519565</v>
      </c>
      <c r="D1002" s="61"/>
      <c r="E1002" s="67" t="s">
        <v>2431</v>
      </c>
      <c r="F1002" s="68" t="s">
        <v>381</v>
      </c>
      <c r="G1002" s="88"/>
      <c r="H1002" s="88"/>
      <c r="I1002" s="88"/>
      <c r="J1002" s="72" t="s">
        <v>2397</v>
      </c>
      <c r="K1002" s="171"/>
      <c r="L1002" s="168"/>
      <c r="M1002" s="171"/>
      <c r="N1002" s="171"/>
      <c r="O1002" s="171"/>
      <c r="P1002" s="88" t="s">
        <v>5070</v>
      </c>
    </row>
    <row r="1003" spans="1:16" x14ac:dyDescent="0.25">
      <c r="A1003" s="5">
        <v>50</v>
      </c>
      <c r="B1003" s="60"/>
      <c r="C1003" s="66">
        <f>'Baru NIS'!C6</f>
        <v>102519529</v>
      </c>
      <c r="D1003" s="61"/>
      <c r="E1003" s="67" t="s">
        <v>2432</v>
      </c>
      <c r="F1003" s="68" t="s">
        <v>381</v>
      </c>
      <c r="G1003" s="88"/>
      <c r="H1003" s="88"/>
      <c r="I1003" s="88"/>
      <c r="J1003" s="72" t="s">
        <v>2386</v>
      </c>
      <c r="K1003" s="171"/>
      <c r="L1003" s="168"/>
      <c r="M1003" s="171"/>
      <c r="N1003" s="171"/>
      <c r="O1003" s="171"/>
      <c r="P1003" s="88" t="s">
        <v>5070</v>
      </c>
    </row>
    <row r="1004" spans="1:16" x14ac:dyDescent="0.25">
      <c r="A1004" s="5">
        <v>51</v>
      </c>
      <c r="B1004" s="60"/>
      <c r="C1004" s="66">
        <f>'Baru NIS'!C325</f>
        <v>102519848</v>
      </c>
      <c r="D1004" s="61"/>
      <c r="E1004" s="73" t="s">
        <v>2433</v>
      </c>
      <c r="F1004" s="5" t="s">
        <v>379</v>
      </c>
      <c r="G1004" s="88"/>
      <c r="H1004" s="88"/>
      <c r="I1004" s="88"/>
      <c r="J1004" s="72" t="s">
        <v>2383</v>
      </c>
      <c r="K1004" s="171"/>
      <c r="L1004" s="168"/>
      <c r="M1004" s="171"/>
      <c r="N1004" s="171"/>
      <c r="O1004" s="171"/>
      <c r="P1004" s="88" t="s">
        <v>2434</v>
      </c>
    </row>
    <row r="1005" spans="1:16" x14ac:dyDescent="0.25">
      <c r="A1005" s="5">
        <v>52</v>
      </c>
      <c r="B1005" s="60"/>
      <c r="C1005" s="66">
        <f>'Baru NIS'!C43</f>
        <v>102519566</v>
      </c>
      <c r="D1005" s="61"/>
      <c r="E1005" s="69" t="s">
        <v>2435</v>
      </c>
      <c r="F1005" s="57" t="s">
        <v>379</v>
      </c>
      <c r="G1005" s="88"/>
      <c r="H1005" s="88"/>
      <c r="I1005" s="88"/>
      <c r="J1005" s="72" t="s">
        <v>2397</v>
      </c>
      <c r="K1005" s="171"/>
      <c r="L1005" s="168"/>
      <c r="M1005" s="171"/>
      <c r="N1005" s="171"/>
      <c r="O1005" s="171"/>
      <c r="P1005" s="88" t="s">
        <v>5070</v>
      </c>
    </row>
    <row r="1006" spans="1:16" x14ac:dyDescent="0.25">
      <c r="A1006" s="5">
        <v>53</v>
      </c>
      <c r="B1006" s="60"/>
      <c r="C1006" s="66">
        <f>'Baru NIS'!C293</f>
        <v>102519776</v>
      </c>
      <c r="D1006" s="61"/>
      <c r="E1006" s="73" t="s">
        <v>2436</v>
      </c>
      <c r="F1006" s="74" t="s">
        <v>379</v>
      </c>
      <c r="G1006" s="88"/>
      <c r="H1006" s="88"/>
      <c r="I1006" s="88"/>
      <c r="J1006" s="72" t="s">
        <v>2375</v>
      </c>
      <c r="K1006" s="171"/>
      <c r="L1006" s="168"/>
      <c r="M1006" s="171"/>
      <c r="N1006" s="171"/>
      <c r="O1006" s="171"/>
      <c r="P1006" s="88" t="s">
        <v>5070</v>
      </c>
    </row>
    <row r="1007" spans="1:16" x14ac:dyDescent="0.25">
      <c r="A1007" s="5">
        <v>54</v>
      </c>
      <c r="B1007" s="60"/>
      <c r="C1007" s="66">
        <f>'Baru NIS'!C75</f>
        <v>102519598</v>
      </c>
      <c r="D1007" s="61"/>
      <c r="E1007" s="69" t="s">
        <v>2437</v>
      </c>
      <c r="F1007" s="57" t="s">
        <v>379</v>
      </c>
      <c r="G1007" s="88"/>
      <c r="H1007" s="88"/>
      <c r="I1007" s="88"/>
      <c r="J1007" s="72" t="s">
        <v>2389</v>
      </c>
      <c r="K1007" s="171"/>
      <c r="L1007" s="168"/>
      <c r="M1007" s="171"/>
      <c r="N1007" s="171"/>
      <c r="O1007" s="171"/>
      <c r="P1007" s="88" t="s">
        <v>5070</v>
      </c>
    </row>
    <row r="1008" spans="1:16" x14ac:dyDescent="0.25">
      <c r="A1008" s="5">
        <v>55</v>
      </c>
      <c r="B1008" s="60"/>
      <c r="C1008" s="66">
        <f>'Baru NIS'!C7</f>
        <v>102519530</v>
      </c>
      <c r="D1008" s="61"/>
      <c r="E1008" s="69" t="s">
        <v>2438</v>
      </c>
      <c r="F1008" s="57" t="s">
        <v>381</v>
      </c>
      <c r="G1008" s="88"/>
      <c r="H1008" s="88"/>
      <c r="I1008" s="88"/>
      <c r="J1008" s="72" t="s">
        <v>2386</v>
      </c>
      <c r="K1008" s="171"/>
      <c r="L1008" s="168"/>
      <c r="M1008" s="171"/>
      <c r="N1008" s="171"/>
      <c r="O1008" s="171"/>
      <c r="P1008" s="88" t="s">
        <v>5070</v>
      </c>
    </row>
    <row r="1009" spans="1:16" x14ac:dyDescent="0.25">
      <c r="A1009" s="5">
        <v>56</v>
      </c>
      <c r="B1009" s="60"/>
      <c r="C1009" s="66">
        <f>'Baru NIS'!C8</f>
        <v>102519531</v>
      </c>
      <c r="D1009" s="61"/>
      <c r="E1009" s="67" t="s">
        <v>2439</v>
      </c>
      <c r="F1009" s="68" t="s">
        <v>381</v>
      </c>
      <c r="G1009" s="88"/>
      <c r="H1009" s="88"/>
      <c r="I1009" s="88"/>
      <c r="J1009" s="72" t="s">
        <v>2386</v>
      </c>
      <c r="K1009" s="171"/>
      <c r="L1009" s="168"/>
      <c r="M1009" s="171"/>
      <c r="N1009" s="171"/>
      <c r="O1009" s="171"/>
      <c r="P1009" s="88" t="s">
        <v>5070</v>
      </c>
    </row>
    <row r="1010" spans="1:16" x14ac:dyDescent="0.25">
      <c r="A1010" s="5">
        <v>57</v>
      </c>
      <c r="B1010" s="60"/>
      <c r="C1010" s="66">
        <f>'Baru NIS'!C294</f>
        <v>102519777</v>
      </c>
      <c r="D1010" s="61"/>
      <c r="E1010" s="73" t="s">
        <v>2440</v>
      </c>
      <c r="F1010" s="74" t="s">
        <v>379</v>
      </c>
      <c r="G1010" s="88"/>
      <c r="H1010" s="88"/>
      <c r="I1010" s="88"/>
      <c r="J1010" s="72" t="s">
        <v>2375</v>
      </c>
      <c r="K1010" s="171"/>
      <c r="L1010" s="168"/>
      <c r="M1010" s="171"/>
      <c r="N1010" s="171"/>
      <c r="O1010" s="171"/>
      <c r="P1010" s="88" t="s">
        <v>5070</v>
      </c>
    </row>
    <row r="1011" spans="1:16" x14ac:dyDescent="0.25">
      <c r="A1011" s="5">
        <v>58</v>
      </c>
      <c r="B1011" s="60"/>
      <c r="C1011" s="66">
        <f>'Baru NIS'!C357</f>
        <v>102519880</v>
      </c>
      <c r="D1011" s="61"/>
      <c r="E1011" s="73" t="s">
        <v>2441</v>
      </c>
      <c r="F1011" s="74" t="s">
        <v>381</v>
      </c>
      <c r="G1011" s="88"/>
      <c r="H1011" s="88"/>
      <c r="I1011" s="88"/>
      <c r="J1011" s="72" t="s">
        <v>2402</v>
      </c>
      <c r="K1011" s="171"/>
      <c r="L1011" s="168"/>
      <c r="M1011" s="171"/>
      <c r="N1011" s="171"/>
      <c r="O1011" s="171"/>
      <c r="P1011" s="88" t="s">
        <v>5070</v>
      </c>
    </row>
    <row r="1012" spans="1:16" x14ac:dyDescent="0.25">
      <c r="A1012" s="5">
        <v>59</v>
      </c>
      <c r="B1012" s="60"/>
      <c r="C1012" s="66">
        <f>'Baru NIS'!C44</f>
        <v>102519567</v>
      </c>
      <c r="D1012" s="61"/>
      <c r="E1012" s="69" t="s">
        <v>2442</v>
      </c>
      <c r="F1012" s="57" t="s">
        <v>381</v>
      </c>
      <c r="G1012" s="88"/>
      <c r="H1012" s="88"/>
      <c r="I1012" s="88"/>
      <c r="J1012" s="72" t="s">
        <v>2397</v>
      </c>
      <c r="K1012" s="171"/>
      <c r="L1012" s="168"/>
      <c r="M1012" s="171"/>
      <c r="N1012" s="171"/>
      <c r="O1012" s="171"/>
      <c r="P1012" s="88" t="s">
        <v>5070</v>
      </c>
    </row>
    <row r="1013" spans="1:16" x14ac:dyDescent="0.25">
      <c r="A1013" s="5">
        <v>60</v>
      </c>
      <c r="B1013" s="60"/>
      <c r="C1013" s="66">
        <f>'Baru NIS'!C114</f>
        <v>102519637</v>
      </c>
      <c r="D1013" s="61"/>
      <c r="E1013" s="69" t="s">
        <v>2443</v>
      </c>
      <c r="F1013" s="57" t="s">
        <v>381</v>
      </c>
      <c r="G1013" s="88"/>
      <c r="H1013" s="88"/>
      <c r="I1013" s="88"/>
      <c r="J1013" s="72" t="s">
        <v>2371</v>
      </c>
      <c r="K1013" s="171"/>
      <c r="L1013" s="168"/>
      <c r="M1013" s="171"/>
      <c r="N1013" s="171"/>
      <c r="O1013" s="171"/>
      <c r="P1013" s="88" t="s">
        <v>5070</v>
      </c>
    </row>
    <row r="1014" spans="1:16" x14ac:dyDescent="0.25">
      <c r="A1014" s="5">
        <v>61</v>
      </c>
      <c r="B1014" s="60"/>
      <c r="C1014" s="66">
        <f>'Baru NIS'!C217</f>
        <v>102519740</v>
      </c>
      <c r="D1014" s="61"/>
      <c r="E1014" s="73" t="s">
        <v>2444</v>
      </c>
      <c r="F1014" s="74" t="s">
        <v>381</v>
      </c>
      <c r="G1014" s="88"/>
      <c r="H1014" s="88"/>
      <c r="I1014" s="88"/>
      <c r="J1014" s="72" t="s">
        <v>2379</v>
      </c>
      <c r="K1014" s="171"/>
      <c r="L1014" s="168"/>
      <c r="M1014" s="171"/>
      <c r="N1014" s="171"/>
      <c r="O1014" s="171"/>
      <c r="P1014" s="88" t="s">
        <v>5070</v>
      </c>
    </row>
    <row r="1015" spans="1:16" x14ac:dyDescent="0.25">
      <c r="A1015" s="5">
        <v>62</v>
      </c>
      <c r="B1015" s="60"/>
      <c r="C1015" s="66">
        <f>'Baru NIS'!C115</f>
        <v>102519638</v>
      </c>
      <c r="D1015" s="61"/>
      <c r="E1015" s="67" t="s">
        <v>2445</v>
      </c>
      <c r="F1015" s="68" t="s">
        <v>381</v>
      </c>
      <c r="G1015" s="88"/>
      <c r="H1015" s="88"/>
      <c r="I1015" s="88"/>
      <c r="J1015" s="72" t="s">
        <v>2371</v>
      </c>
      <c r="K1015" s="171"/>
      <c r="L1015" s="168"/>
      <c r="M1015" s="171"/>
      <c r="N1015" s="171"/>
      <c r="O1015" s="171"/>
      <c r="P1015" s="88" t="s">
        <v>5070</v>
      </c>
    </row>
    <row r="1016" spans="1:16" x14ac:dyDescent="0.25">
      <c r="A1016" s="5">
        <v>63</v>
      </c>
      <c r="B1016" s="60"/>
      <c r="C1016" s="66">
        <f>'Baru NIS'!C76</f>
        <v>102519599</v>
      </c>
      <c r="D1016" s="61"/>
      <c r="E1016" s="67" t="s">
        <v>2446</v>
      </c>
      <c r="F1016" s="68" t="s">
        <v>381</v>
      </c>
      <c r="G1016" s="88"/>
      <c r="H1016" s="88"/>
      <c r="I1016" s="88"/>
      <c r="J1016" s="72" t="s">
        <v>2389</v>
      </c>
      <c r="K1016" s="171"/>
      <c r="L1016" s="168"/>
      <c r="M1016" s="171"/>
      <c r="N1016" s="171"/>
      <c r="O1016" s="171"/>
      <c r="P1016" s="88" t="s">
        <v>5070</v>
      </c>
    </row>
    <row r="1017" spans="1:16" x14ac:dyDescent="0.25">
      <c r="A1017" s="5">
        <v>64</v>
      </c>
      <c r="B1017" s="60"/>
      <c r="C1017" s="66">
        <f>'Baru NIS'!C218</f>
        <v>102519741</v>
      </c>
      <c r="D1017" s="61"/>
      <c r="E1017" s="73" t="s">
        <v>2447</v>
      </c>
      <c r="F1017" s="74" t="s">
        <v>381</v>
      </c>
      <c r="G1017" s="88"/>
      <c r="H1017" s="88"/>
      <c r="I1017" s="88"/>
      <c r="J1017" s="72" t="s">
        <v>2379</v>
      </c>
      <c r="K1017" s="171"/>
      <c r="L1017" s="168"/>
      <c r="M1017" s="171"/>
      <c r="N1017" s="171"/>
      <c r="O1017" s="171"/>
      <c r="P1017" s="88" t="s">
        <v>5070</v>
      </c>
    </row>
    <row r="1018" spans="1:16" x14ac:dyDescent="0.25">
      <c r="A1018" s="5">
        <v>65</v>
      </c>
      <c r="B1018" s="60"/>
      <c r="C1018" s="66">
        <f>'Baru NIS'!C219</f>
        <v>102519742</v>
      </c>
      <c r="D1018" s="61"/>
      <c r="E1018" s="58" t="s">
        <v>2448</v>
      </c>
      <c r="F1018" s="5" t="s">
        <v>379</v>
      </c>
      <c r="G1018" s="88"/>
      <c r="H1018" s="88"/>
      <c r="I1018" s="88"/>
      <c r="J1018" s="72" t="s">
        <v>2379</v>
      </c>
      <c r="K1018" s="171"/>
      <c r="L1018" s="168"/>
      <c r="M1018" s="171"/>
      <c r="N1018" s="171"/>
      <c r="O1018" s="171"/>
      <c r="P1018" s="88" t="s">
        <v>5070</v>
      </c>
    </row>
    <row r="1019" spans="1:16" x14ac:dyDescent="0.25">
      <c r="A1019" s="5">
        <v>66</v>
      </c>
      <c r="B1019" s="60"/>
      <c r="C1019" s="66">
        <f>'Baru NIS'!C77</f>
        <v>102519600</v>
      </c>
      <c r="D1019" s="61"/>
      <c r="E1019" s="69" t="s">
        <v>2449</v>
      </c>
      <c r="F1019" s="57" t="s">
        <v>379</v>
      </c>
      <c r="G1019" s="88"/>
      <c r="H1019" s="88"/>
      <c r="I1019" s="88"/>
      <c r="J1019" s="72" t="s">
        <v>2389</v>
      </c>
      <c r="K1019" s="171"/>
      <c r="L1019" s="168"/>
      <c r="M1019" s="171"/>
      <c r="N1019" s="171"/>
      <c r="O1019" s="171"/>
      <c r="P1019" s="88" t="s">
        <v>5070</v>
      </c>
    </row>
    <row r="1020" spans="1:16" x14ac:dyDescent="0.25">
      <c r="A1020" s="5">
        <v>67</v>
      </c>
      <c r="B1020" s="60"/>
      <c r="C1020" s="66">
        <f>'Baru NIS'!C9</f>
        <v>102519532</v>
      </c>
      <c r="D1020" s="61"/>
      <c r="E1020" s="69" t="s">
        <v>2450</v>
      </c>
      <c r="F1020" s="57" t="s">
        <v>379</v>
      </c>
      <c r="G1020" s="88"/>
      <c r="H1020" s="88"/>
      <c r="I1020" s="88"/>
      <c r="J1020" s="72" t="s">
        <v>2386</v>
      </c>
      <c r="K1020" s="171"/>
      <c r="L1020" s="168"/>
      <c r="M1020" s="171"/>
      <c r="N1020" s="171"/>
      <c r="O1020" s="171"/>
      <c r="P1020" s="88" t="s">
        <v>5070</v>
      </c>
    </row>
    <row r="1021" spans="1:16" x14ac:dyDescent="0.25">
      <c r="A1021" s="5">
        <v>68</v>
      </c>
      <c r="B1021" s="60"/>
      <c r="C1021" s="66">
        <f>'Baru NIS'!C10</f>
        <v>102519533</v>
      </c>
      <c r="D1021" s="61"/>
      <c r="E1021" s="67" t="s">
        <v>2451</v>
      </c>
      <c r="F1021" s="68" t="s">
        <v>381</v>
      </c>
      <c r="G1021" s="88"/>
      <c r="H1021" s="88"/>
      <c r="I1021" s="88"/>
      <c r="J1021" s="72" t="s">
        <v>2386</v>
      </c>
      <c r="K1021" s="171"/>
      <c r="L1021" s="168"/>
      <c r="M1021" s="171"/>
      <c r="N1021" s="171"/>
      <c r="O1021" s="171"/>
      <c r="P1021" s="88" t="s">
        <v>5070</v>
      </c>
    </row>
    <row r="1022" spans="1:16" x14ac:dyDescent="0.25">
      <c r="A1022" s="5">
        <v>69</v>
      </c>
      <c r="B1022" s="60"/>
      <c r="C1022" s="66">
        <f>'Baru NIS'!C358</f>
        <v>102519881</v>
      </c>
      <c r="D1022" s="61"/>
      <c r="E1022" s="73" t="s">
        <v>2452</v>
      </c>
      <c r="F1022" s="74" t="s">
        <v>379</v>
      </c>
      <c r="G1022" s="88"/>
      <c r="H1022" s="88"/>
      <c r="I1022" s="88"/>
      <c r="J1022" s="72" t="s">
        <v>2402</v>
      </c>
      <c r="K1022" s="171"/>
      <c r="L1022" s="168"/>
      <c r="M1022" s="171"/>
      <c r="N1022" s="171"/>
      <c r="O1022" s="171"/>
      <c r="P1022" s="88" t="s">
        <v>5070</v>
      </c>
    </row>
    <row r="1023" spans="1:16" x14ac:dyDescent="0.25">
      <c r="A1023" s="5">
        <v>70</v>
      </c>
      <c r="B1023" s="60"/>
      <c r="C1023" s="66">
        <f>'Baru NIS'!C149</f>
        <v>102519672</v>
      </c>
      <c r="D1023" s="61"/>
      <c r="E1023" s="75" t="s">
        <v>2453</v>
      </c>
      <c r="F1023" s="76" t="s">
        <v>379</v>
      </c>
      <c r="G1023" s="88"/>
      <c r="H1023" s="88"/>
      <c r="I1023" s="88"/>
      <c r="J1023" s="72" t="s">
        <v>2399</v>
      </c>
      <c r="K1023" s="171"/>
      <c r="L1023" s="168"/>
      <c r="M1023" s="171"/>
      <c r="N1023" s="171"/>
      <c r="O1023" s="171"/>
      <c r="P1023" s="88" t="s">
        <v>5070</v>
      </c>
    </row>
    <row r="1024" spans="1:16" x14ac:dyDescent="0.25">
      <c r="A1024" s="5">
        <v>71</v>
      </c>
      <c r="B1024" s="60"/>
      <c r="C1024" s="66">
        <f>'Baru NIS'!C295</f>
        <v>102519778</v>
      </c>
      <c r="D1024" s="61"/>
      <c r="E1024" s="58" t="s">
        <v>2454</v>
      </c>
      <c r="F1024" s="5" t="s">
        <v>379</v>
      </c>
      <c r="G1024" s="88"/>
      <c r="H1024" s="88"/>
      <c r="I1024" s="88"/>
      <c r="J1024" s="72" t="s">
        <v>2375</v>
      </c>
      <c r="K1024" s="171"/>
      <c r="L1024" s="168"/>
      <c r="M1024" s="171"/>
      <c r="N1024" s="171"/>
      <c r="O1024" s="171"/>
      <c r="P1024" s="88" t="s">
        <v>5070</v>
      </c>
    </row>
    <row r="1025" spans="1:16" x14ac:dyDescent="0.25">
      <c r="A1025" s="5">
        <v>72</v>
      </c>
      <c r="B1025" s="60"/>
      <c r="C1025" s="66">
        <f>'Baru NIS'!C150</f>
        <v>102519673</v>
      </c>
      <c r="D1025" s="61"/>
      <c r="E1025" s="77" t="s">
        <v>2455</v>
      </c>
      <c r="F1025" s="78" t="s">
        <v>381</v>
      </c>
      <c r="G1025" s="88"/>
      <c r="H1025" s="88"/>
      <c r="I1025" s="88"/>
      <c r="J1025" s="72" t="s">
        <v>2399</v>
      </c>
      <c r="K1025" s="171"/>
      <c r="L1025" s="168"/>
      <c r="M1025" s="171"/>
      <c r="N1025" s="171"/>
      <c r="O1025" s="171"/>
      <c r="P1025" s="88" t="s">
        <v>5070</v>
      </c>
    </row>
    <row r="1026" spans="1:16" x14ac:dyDescent="0.25">
      <c r="A1026" s="5">
        <v>73</v>
      </c>
      <c r="B1026" s="60"/>
      <c r="C1026" s="66">
        <f>'Baru NIS'!C326</f>
        <v>102519849</v>
      </c>
      <c r="D1026" s="61"/>
      <c r="E1026" s="73" t="s">
        <v>2456</v>
      </c>
      <c r="F1026" s="74" t="s">
        <v>379</v>
      </c>
      <c r="G1026" s="88"/>
      <c r="H1026" s="88"/>
      <c r="I1026" s="88"/>
      <c r="J1026" s="72" t="s">
        <v>2383</v>
      </c>
      <c r="K1026" s="171"/>
      <c r="L1026" s="168"/>
      <c r="M1026" s="171"/>
      <c r="N1026" s="171"/>
      <c r="O1026" s="171"/>
      <c r="P1026" s="88" t="s">
        <v>5070</v>
      </c>
    </row>
    <row r="1027" spans="1:16" x14ac:dyDescent="0.25">
      <c r="A1027" s="5">
        <v>74</v>
      </c>
      <c r="B1027" s="60"/>
      <c r="C1027" s="66">
        <f>'Baru NIS'!C255</f>
        <v>102519818</v>
      </c>
      <c r="D1027" s="61"/>
      <c r="E1027" s="73" t="s">
        <v>2457</v>
      </c>
      <c r="F1027" s="74" t="s">
        <v>379</v>
      </c>
      <c r="G1027" s="88"/>
      <c r="H1027" s="88"/>
      <c r="I1027" s="88"/>
      <c r="J1027" s="72" t="s">
        <v>2377</v>
      </c>
      <c r="K1027" s="171"/>
      <c r="L1027" s="168"/>
      <c r="M1027" s="171"/>
      <c r="N1027" s="171"/>
      <c r="O1027" s="171"/>
      <c r="P1027" s="88" t="s">
        <v>5070</v>
      </c>
    </row>
    <row r="1028" spans="1:16" x14ac:dyDescent="0.25">
      <c r="A1028" s="5">
        <v>75</v>
      </c>
      <c r="B1028" s="60"/>
      <c r="C1028" s="66">
        <f>'Baru NIS'!C116</f>
        <v>102519639</v>
      </c>
      <c r="D1028" s="61"/>
      <c r="E1028" s="67" t="s">
        <v>2458</v>
      </c>
      <c r="F1028" s="68" t="s">
        <v>379</v>
      </c>
      <c r="G1028" s="88"/>
      <c r="H1028" s="88"/>
      <c r="I1028" s="88"/>
      <c r="J1028" s="72" t="s">
        <v>2371</v>
      </c>
      <c r="K1028" s="171"/>
      <c r="L1028" s="168"/>
      <c r="M1028" s="171"/>
      <c r="N1028" s="171"/>
      <c r="O1028" s="171"/>
      <c r="P1028" s="88" t="s">
        <v>5070</v>
      </c>
    </row>
    <row r="1029" spans="1:16" x14ac:dyDescent="0.25">
      <c r="A1029" s="5">
        <v>76</v>
      </c>
      <c r="B1029" s="60"/>
      <c r="C1029" s="66">
        <f>'Baru NIS'!C359</f>
        <v>102519882</v>
      </c>
      <c r="D1029" s="61"/>
      <c r="E1029" s="58" t="s">
        <v>2459</v>
      </c>
      <c r="F1029" s="5" t="s">
        <v>379</v>
      </c>
      <c r="G1029" s="88"/>
      <c r="H1029" s="88"/>
      <c r="I1029" s="88"/>
      <c r="J1029" s="72" t="s">
        <v>2402</v>
      </c>
      <c r="K1029" s="171"/>
      <c r="L1029" s="168"/>
      <c r="M1029" s="171"/>
      <c r="N1029" s="171"/>
      <c r="O1029" s="171"/>
      <c r="P1029" s="88" t="s">
        <v>5070</v>
      </c>
    </row>
    <row r="1030" spans="1:16" x14ac:dyDescent="0.25">
      <c r="A1030" s="5">
        <v>77</v>
      </c>
      <c r="B1030" s="60"/>
      <c r="C1030" s="66">
        <f>'Baru NIS'!C11</f>
        <v>102519534</v>
      </c>
      <c r="D1030" s="61"/>
      <c r="E1030" s="69" t="s">
        <v>2460</v>
      </c>
      <c r="F1030" s="57" t="s">
        <v>379</v>
      </c>
      <c r="G1030" s="88"/>
      <c r="H1030" s="88"/>
      <c r="I1030" s="88"/>
      <c r="J1030" s="72" t="s">
        <v>2386</v>
      </c>
      <c r="K1030" s="171"/>
      <c r="L1030" s="168"/>
      <c r="M1030" s="171"/>
      <c r="N1030" s="171"/>
      <c r="O1030" s="171"/>
      <c r="P1030" s="88" t="s">
        <v>5070</v>
      </c>
    </row>
    <row r="1031" spans="1:16" x14ac:dyDescent="0.25">
      <c r="A1031" s="5">
        <v>78</v>
      </c>
      <c r="B1031" s="60"/>
      <c r="C1031" s="66">
        <f>'Baru NIS'!C78</f>
        <v>102519601</v>
      </c>
      <c r="D1031" s="61"/>
      <c r="E1031" s="69" t="s">
        <v>2461</v>
      </c>
      <c r="F1031" s="57" t="s">
        <v>379</v>
      </c>
      <c r="G1031" s="88"/>
      <c r="H1031" s="88"/>
      <c r="I1031" s="88"/>
      <c r="J1031" s="72" t="s">
        <v>2389</v>
      </c>
      <c r="K1031" s="171"/>
      <c r="L1031" s="168"/>
      <c r="M1031" s="171"/>
      <c r="N1031" s="171"/>
      <c r="O1031" s="171"/>
      <c r="P1031" s="88" t="s">
        <v>5070</v>
      </c>
    </row>
    <row r="1032" spans="1:16" x14ac:dyDescent="0.25">
      <c r="A1032" s="5">
        <v>79</v>
      </c>
      <c r="B1032" s="60"/>
      <c r="C1032" s="66">
        <f>'Baru NIS'!C360</f>
        <v>102519883</v>
      </c>
      <c r="D1032" s="61"/>
      <c r="E1032" s="73" t="s">
        <v>2462</v>
      </c>
      <c r="F1032" s="74" t="s">
        <v>379</v>
      </c>
      <c r="G1032" s="88"/>
      <c r="H1032" s="88"/>
      <c r="I1032" s="88"/>
      <c r="J1032" s="72" t="s">
        <v>2402</v>
      </c>
      <c r="K1032" s="171"/>
      <c r="L1032" s="168"/>
      <c r="M1032" s="171"/>
      <c r="N1032" s="171"/>
      <c r="O1032" s="171"/>
      <c r="P1032" s="88" t="s">
        <v>5070</v>
      </c>
    </row>
    <row r="1033" spans="1:16" x14ac:dyDescent="0.25">
      <c r="A1033" s="5">
        <v>80</v>
      </c>
      <c r="B1033" s="60"/>
      <c r="C1033" s="66">
        <f>'Baru NIS'!C45</f>
        <v>102519568</v>
      </c>
      <c r="D1033" s="61"/>
      <c r="E1033" s="69" t="s">
        <v>2463</v>
      </c>
      <c r="F1033" s="57" t="s">
        <v>381</v>
      </c>
      <c r="G1033" s="88"/>
      <c r="H1033" s="88"/>
      <c r="I1033" s="88"/>
      <c r="J1033" s="72" t="s">
        <v>2397</v>
      </c>
      <c r="K1033" s="171"/>
      <c r="L1033" s="168"/>
      <c r="M1033" s="171"/>
      <c r="N1033" s="171"/>
      <c r="O1033" s="171"/>
      <c r="P1033" s="88" t="s">
        <v>5070</v>
      </c>
    </row>
    <row r="1034" spans="1:16" x14ac:dyDescent="0.25">
      <c r="A1034" s="5">
        <v>81</v>
      </c>
      <c r="B1034" s="60"/>
      <c r="C1034" s="66">
        <f>'Baru NIS'!C188</f>
        <v>102519711</v>
      </c>
      <c r="D1034" s="61"/>
      <c r="E1034" s="67" t="s">
        <v>2464</v>
      </c>
      <c r="F1034" s="68" t="s">
        <v>381</v>
      </c>
      <c r="G1034" s="88"/>
      <c r="H1034" s="88"/>
      <c r="I1034" s="88"/>
      <c r="J1034" s="72" t="s">
        <v>2373</v>
      </c>
      <c r="K1034" s="171"/>
      <c r="L1034" s="168"/>
      <c r="M1034" s="171"/>
      <c r="N1034" s="171"/>
      <c r="O1034" s="171"/>
      <c r="P1034" s="88" t="s">
        <v>2465</v>
      </c>
    </row>
    <row r="1035" spans="1:16" x14ac:dyDescent="0.25">
      <c r="A1035" s="5">
        <v>82</v>
      </c>
      <c r="B1035" s="60"/>
      <c r="C1035" s="66">
        <f>'Baru NIS'!C327</f>
        <v>102519850</v>
      </c>
      <c r="D1035" s="61"/>
      <c r="E1035" s="73" t="s">
        <v>2466</v>
      </c>
      <c r="F1035" s="74" t="s">
        <v>379</v>
      </c>
      <c r="G1035" s="88"/>
      <c r="H1035" s="88"/>
      <c r="I1035" s="88"/>
      <c r="J1035" s="72" t="s">
        <v>2383</v>
      </c>
      <c r="K1035" s="171"/>
      <c r="L1035" s="168"/>
      <c r="M1035" s="171"/>
      <c r="N1035" s="171"/>
      <c r="O1035" s="171"/>
      <c r="P1035" s="88" t="s">
        <v>5070</v>
      </c>
    </row>
    <row r="1036" spans="1:16" x14ac:dyDescent="0.25">
      <c r="A1036" s="5">
        <v>83</v>
      </c>
      <c r="B1036" s="60"/>
      <c r="C1036" s="66">
        <f>'Baru NIS'!C361</f>
        <v>102519884</v>
      </c>
      <c r="D1036" s="61"/>
      <c r="E1036" s="73" t="s">
        <v>2467</v>
      </c>
      <c r="F1036" s="74" t="s">
        <v>379</v>
      </c>
      <c r="G1036" s="88"/>
      <c r="H1036" s="88"/>
      <c r="I1036" s="88"/>
      <c r="J1036" s="72" t="s">
        <v>2402</v>
      </c>
      <c r="K1036" s="171"/>
      <c r="L1036" s="168"/>
      <c r="M1036" s="171"/>
      <c r="N1036" s="171"/>
      <c r="O1036" s="171"/>
      <c r="P1036" s="88" t="s">
        <v>5070</v>
      </c>
    </row>
    <row r="1037" spans="1:16" x14ac:dyDescent="0.25">
      <c r="A1037" s="5">
        <v>84</v>
      </c>
      <c r="B1037" s="60"/>
      <c r="C1037" s="66">
        <f>'Baru NIS'!C12</f>
        <v>102519535</v>
      </c>
      <c r="D1037" s="61"/>
      <c r="E1037" s="67" t="s">
        <v>2468</v>
      </c>
      <c r="F1037" s="68" t="s">
        <v>381</v>
      </c>
      <c r="G1037" s="88"/>
      <c r="H1037" s="88"/>
      <c r="I1037" s="88"/>
      <c r="J1037" s="72" t="s">
        <v>2386</v>
      </c>
      <c r="K1037" s="171"/>
      <c r="L1037" s="168"/>
      <c r="M1037" s="171"/>
      <c r="N1037" s="171"/>
      <c r="O1037" s="171"/>
      <c r="P1037" s="88" t="s">
        <v>5070</v>
      </c>
    </row>
    <row r="1038" spans="1:16" x14ac:dyDescent="0.25">
      <c r="A1038" s="5">
        <v>85</v>
      </c>
      <c r="B1038" s="60"/>
      <c r="C1038" s="66">
        <f>'Baru NIS'!C79</f>
        <v>102519602</v>
      </c>
      <c r="D1038" s="61"/>
      <c r="E1038" s="69" t="s">
        <v>2469</v>
      </c>
      <c r="F1038" s="57" t="s">
        <v>379</v>
      </c>
      <c r="G1038" s="88"/>
      <c r="H1038" s="88"/>
      <c r="I1038" s="88"/>
      <c r="J1038" s="72" t="s">
        <v>2389</v>
      </c>
      <c r="K1038" s="171"/>
      <c r="L1038" s="168"/>
      <c r="M1038" s="171"/>
      <c r="N1038" s="171"/>
      <c r="O1038" s="171"/>
      <c r="P1038" s="88" t="s">
        <v>5070</v>
      </c>
    </row>
    <row r="1039" spans="1:16" x14ac:dyDescent="0.25">
      <c r="A1039" s="5">
        <v>86</v>
      </c>
      <c r="B1039" s="60"/>
      <c r="C1039" s="66">
        <f>'Baru NIS'!C256</f>
        <v>102519819</v>
      </c>
      <c r="D1039" s="61"/>
      <c r="E1039" s="73" t="s">
        <v>2470</v>
      </c>
      <c r="F1039" s="74" t="s">
        <v>379</v>
      </c>
      <c r="G1039" s="88"/>
      <c r="H1039" s="88"/>
      <c r="I1039" s="88"/>
      <c r="J1039" s="72" t="s">
        <v>2377</v>
      </c>
      <c r="K1039" s="171"/>
      <c r="L1039" s="168"/>
      <c r="M1039" s="171"/>
      <c r="N1039" s="171"/>
      <c r="O1039" s="171"/>
      <c r="P1039" s="88" t="s">
        <v>5070</v>
      </c>
    </row>
    <row r="1040" spans="1:16" x14ac:dyDescent="0.25">
      <c r="A1040" s="5">
        <v>87</v>
      </c>
      <c r="B1040" s="60"/>
      <c r="C1040" s="66">
        <f>'Baru NIS'!C46</f>
        <v>102519569</v>
      </c>
      <c r="D1040" s="61"/>
      <c r="E1040" s="67" t="s">
        <v>2471</v>
      </c>
      <c r="F1040" s="68" t="s">
        <v>381</v>
      </c>
      <c r="G1040" s="88"/>
      <c r="H1040" s="88"/>
      <c r="I1040" s="88"/>
      <c r="J1040" s="72" t="s">
        <v>2397</v>
      </c>
      <c r="K1040" s="171"/>
      <c r="L1040" s="168"/>
      <c r="M1040" s="171"/>
      <c r="N1040" s="171"/>
      <c r="O1040" s="171"/>
      <c r="P1040" s="88" t="s">
        <v>5070</v>
      </c>
    </row>
    <row r="1041" spans="1:16" x14ac:dyDescent="0.25">
      <c r="A1041" s="5">
        <v>88</v>
      </c>
      <c r="B1041" s="60"/>
      <c r="C1041" s="66">
        <f>'Baru NIS'!C220</f>
        <v>102519743</v>
      </c>
      <c r="D1041" s="61"/>
      <c r="E1041" s="73" t="s">
        <v>2472</v>
      </c>
      <c r="F1041" s="74" t="s">
        <v>379</v>
      </c>
      <c r="G1041" s="88"/>
      <c r="H1041" s="88"/>
      <c r="I1041" s="88"/>
      <c r="J1041" s="72" t="s">
        <v>2379</v>
      </c>
      <c r="K1041" s="171"/>
      <c r="L1041" s="168"/>
      <c r="M1041" s="171"/>
      <c r="N1041" s="171"/>
      <c r="O1041" s="171"/>
      <c r="P1041" s="88" t="s">
        <v>5070</v>
      </c>
    </row>
    <row r="1042" spans="1:16" x14ac:dyDescent="0.25">
      <c r="A1042" s="5">
        <v>89</v>
      </c>
      <c r="B1042" s="60"/>
      <c r="C1042" s="66">
        <f>'Baru NIS'!C13</f>
        <v>102519536</v>
      </c>
      <c r="D1042" s="61"/>
      <c r="E1042" s="69" t="s">
        <v>2473</v>
      </c>
      <c r="F1042" s="57" t="s">
        <v>381</v>
      </c>
      <c r="G1042" s="88"/>
      <c r="H1042" s="88"/>
      <c r="I1042" s="88"/>
      <c r="J1042" s="72" t="s">
        <v>2386</v>
      </c>
      <c r="K1042" s="171"/>
      <c r="L1042" s="168"/>
      <c r="M1042" s="171"/>
      <c r="N1042" s="171"/>
      <c r="O1042" s="171"/>
      <c r="P1042" s="88" t="s">
        <v>5070</v>
      </c>
    </row>
    <row r="1043" spans="1:16" x14ac:dyDescent="0.25">
      <c r="A1043" s="5">
        <v>90</v>
      </c>
      <c r="B1043" s="60"/>
      <c r="C1043" s="66">
        <f>'Baru NIS'!C80</f>
        <v>102519603</v>
      </c>
      <c r="D1043" s="61"/>
      <c r="E1043" s="67" t="s">
        <v>2474</v>
      </c>
      <c r="F1043" s="68" t="s">
        <v>381</v>
      </c>
      <c r="G1043" s="88"/>
      <c r="H1043" s="88"/>
      <c r="I1043" s="88"/>
      <c r="J1043" s="72" t="s">
        <v>2389</v>
      </c>
      <c r="K1043" s="171"/>
      <c r="L1043" s="168"/>
      <c r="M1043" s="171"/>
      <c r="N1043" s="171"/>
      <c r="O1043" s="171"/>
      <c r="P1043" s="88" t="s">
        <v>5070</v>
      </c>
    </row>
    <row r="1044" spans="1:16" x14ac:dyDescent="0.25">
      <c r="A1044" s="5">
        <v>91</v>
      </c>
      <c r="B1044" s="60"/>
      <c r="C1044" s="66">
        <f>'Baru NIS'!C328</f>
        <v>102519851</v>
      </c>
      <c r="D1044" s="61"/>
      <c r="E1044" s="73" t="s">
        <v>2475</v>
      </c>
      <c r="F1044" s="74" t="s">
        <v>379</v>
      </c>
      <c r="G1044" s="88"/>
      <c r="H1044" s="88"/>
      <c r="I1044" s="88"/>
      <c r="J1044" s="72" t="s">
        <v>2383</v>
      </c>
      <c r="K1044" s="171"/>
      <c r="L1044" s="168"/>
      <c r="M1044" s="171"/>
      <c r="N1044" s="171"/>
      <c r="O1044" s="171"/>
      <c r="P1044" s="88" t="s">
        <v>5070</v>
      </c>
    </row>
    <row r="1045" spans="1:16" x14ac:dyDescent="0.25">
      <c r="A1045" s="5">
        <v>92</v>
      </c>
      <c r="B1045" s="60"/>
      <c r="C1045" s="66">
        <f>'Baru NIS'!C296</f>
        <v>102519779</v>
      </c>
      <c r="D1045" s="61"/>
      <c r="E1045" s="73" t="s">
        <v>2476</v>
      </c>
      <c r="F1045" s="74" t="s">
        <v>379</v>
      </c>
      <c r="G1045" s="88"/>
      <c r="H1045" s="88"/>
      <c r="I1045" s="88"/>
      <c r="J1045" s="72" t="s">
        <v>2375</v>
      </c>
      <c r="K1045" s="171"/>
      <c r="L1045" s="168"/>
      <c r="M1045" s="171"/>
      <c r="N1045" s="171"/>
      <c r="O1045" s="171"/>
      <c r="P1045" s="88" t="s">
        <v>5070</v>
      </c>
    </row>
    <row r="1046" spans="1:16" x14ac:dyDescent="0.25">
      <c r="A1046" s="5">
        <v>93</v>
      </c>
      <c r="B1046" s="60"/>
      <c r="C1046" s="66">
        <f>'Baru NIS'!C297</f>
        <v>102519780</v>
      </c>
      <c r="D1046" s="61"/>
      <c r="E1046" s="73" t="s">
        <v>2477</v>
      </c>
      <c r="F1046" s="74" t="s">
        <v>379</v>
      </c>
      <c r="G1046" s="88"/>
      <c r="H1046" s="88"/>
      <c r="I1046" s="88"/>
      <c r="J1046" s="72" t="s">
        <v>2375</v>
      </c>
      <c r="K1046" s="171"/>
      <c r="L1046" s="168"/>
      <c r="M1046" s="171"/>
      <c r="N1046" s="171"/>
      <c r="O1046" s="171"/>
      <c r="P1046" s="88" t="s">
        <v>5070</v>
      </c>
    </row>
    <row r="1047" spans="1:16" x14ac:dyDescent="0.25">
      <c r="A1047" s="5">
        <v>94</v>
      </c>
      <c r="B1047" s="60"/>
      <c r="C1047" s="66">
        <f>'Baru NIS'!C81</f>
        <v>102519604</v>
      </c>
      <c r="D1047" s="61"/>
      <c r="E1047" s="67" t="s">
        <v>2478</v>
      </c>
      <c r="F1047" s="68" t="s">
        <v>381</v>
      </c>
      <c r="G1047" s="88"/>
      <c r="H1047" s="88"/>
      <c r="I1047" s="88"/>
      <c r="J1047" s="72" t="s">
        <v>2389</v>
      </c>
      <c r="K1047" s="171"/>
      <c r="L1047" s="168"/>
      <c r="M1047" s="171"/>
      <c r="N1047" s="171"/>
      <c r="O1047" s="171"/>
      <c r="P1047" s="88" t="s">
        <v>5070</v>
      </c>
    </row>
    <row r="1048" spans="1:16" x14ac:dyDescent="0.25">
      <c r="A1048" s="5">
        <v>95</v>
      </c>
      <c r="B1048" s="60"/>
      <c r="C1048" s="66">
        <f>'Baru NIS'!C257</f>
        <v>102519820</v>
      </c>
      <c r="D1048" s="61"/>
      <c r="E1048" s="58" t="s">
        <v>2479</v>
      </c>
      <c r="F1048" s="5" t="s">
        <v>379</v>
      </c>
      <c r="G1048" s="88"/>
      <c r="H1048" s="88"/>
      <c r="I1048" s="88"/>
      <c r="J1048" s="72" t="s">
        <v>2377</v>
      </c>
      <c r="K1048" s="171"/>
      <c r="L1048" s="168"/>
      <c r="M1048" s="171"/>
      <c r="N1048" s="171"/>
      <c r="O1048" s="171"/>
      <c r="P1048" s="88" t="s">
        <v>5070</v>
      </c>
    </row>
    <row r="1049" spans="1:16" x14ac:dyDescent="0.25">
      <c r="A1049" s="5">
        <v>96</v>
      </c>
      <c r="B1049" s="60"/>
      <c r="C1049" s="66">
        <f>'Baru NIS'!C117</f>
        <v>102519640</v>
      </c>
      <c r="D1049" s="61"/>
      <c r="E1049" s="67" t="s">
        <v>2480</v>
      </c>
      <c r="F1049" s="68" t="s">
        <v>381</v>
      </c>
      <c r="G1049" s="88"/>
      <c r="H1049" s="88"/>
      <c r="I1049" s="88"/>
      <c r="J1049" s="72" t="s">
        <v>2371</v>
      </c>
      <c r="K1049" s="171"/>
      <c r="L1049" s="168"/>
      <c r="M1049" s="171"/>
      <c r="N1049" s="171"/>
      <c r="O1049" s="171"/>
      <c r="P1049" s="88" t="s">
        <v>5070</v>
      </c>
    </row>
    <row r="1050" spans="1:16" x14ac:dyDescent="0.25">
      <c r="A1050" s="5">
        <v>97</v>
      </c>
      <c r="B1050" s="60"/>
      <c r="C1050" s="66">
        <f>'Baru NIS'!C189</f>
        <v>102519712</v>
      </c>
      <c r="D1050" s="61"/>
      <c r="E1050" s="67" t="s">
        <v>2481</v>
      </c>
      <c r="F1050" s="68" t="s">
        <v>381</v>
      </c>
      <c r="G1050" s="88"/>
      <c r="H1050" s="88"/>
      <c r="I1050" s="88"/>
      <c r="J1050" s="72" t="s">
        <v>2373</v>
      </c>
      <c r="K1050" s="171"/>
      <c r="L1050" s="168"/>
      <c r="M1050" s="171"/>
      <c r="N1050" s="171"/>
      <c r="O1050" s="171"/>
      <c r="P1050" s="88" t="s">
        <v>5070</v>
      </c>
    </row>
    <row r="1051" spans="1:16" x14ac:dyDescent="0.25">
      <c r="A1051" s="5">
        <v>98</v>
      </c>
      <c r="B1051" s="60"/>
      <c r="C1051" s="66">
        <f>'Baru NIS'!C118</f>
        <v>102519641</v>
      </c>
      <c r="D1051" s="61"/>
      <c r="E1051" s="69" t="s">
        <v>2482</v>
      </c>
      <c r="F1051" s="57" t="s">
        <v>379</v>
      </c>
      <c r="G1051" s="88"/>
      <c r="H1051" s="88"/>
      <c r="I1051" s="88"/>
      <c r="J1051" s="72" t="s">
        <v>2371</v>
      </c>
      <c r="K1051" s="171"/>
      <c r="L1051" s="168"/>
      <c r="M1051" s="171"/>
      <c r="N1051" s="171"/>
      <c r="O1051" s="171"/>
      <c r="P1051" s="88" t="s">
        <v>5070</v>
      </c>
    </row>
    <row r="1052" spans="1:16" x14ac:dyDescent="0.25">
      <c r="A1052" s="5">
        <v>99</v>
      </c>
      <c r="B1052" s="60"/>
      <c r="C1052" s="66">
        <f>'Baru NIS'!C362</f>
        <v>102519885</v>
      </c>
      <c r="D1052" s="61"/>
      <c r="E1052" s="73" t="s">
        <v>2483</v>
      </c>
      <c r="F1052" s="74" t="s">
        <v>379</v>
      </c>
      <c r="G1052" s="88"/>
      <c r="H1052" s="88"/>
      <c r="I1052" s="88"/>
      <c r="J1052" s="72" t="s">
        <v>2402</v>
      </c>
      <c r="K1052" s="171"/>
      <c r="L1052" s="168"/>
      <c r="M1052" s="171"/>
      <c r="N1052" s="171"/>
      <c r="O1052" s="171"/>
      <c r="P1052" s="88" t="s">
        <v>5070</v>
      </c>
    </row>
    <row r="1053" spans="1:16" x14ac:dyDescent="0.25">
      <c r="A1053" s="5">
        <v>100</v>
      </c>
      <c r="B1053" s="60"/>
      <c r="C1053" s="66">
        <f>'Baru NIS'!C329</f>
        <v>102519852</v>
      </c>
      <c r="D1053" s="61"/>
      <c r="E1053" s="73" t="s">
        <v>2484</v>
      </c>
      <c r="F1053" s="74" t="s">
        <v>379</v>
      </c>
      <c r="G1053" s="88"/>
      <c r="H1053" s="88"/>
      <c r="I1053" s="88"/>
      <c r="J1053" s="72" t="s">
        <v>2383</v>
      </c>
      <c r="K1053" s="171"/>
      <c r="L1053" s="168"/>
      <c r="M1053" s="171"/>
      <c r="N1053" s="171"/>
      <c r="O1053" s="171"/>
      <c r="P1053" s="88" t="s">
        <v>5070</v>
      </c>
    </row>
    <row r="1054" spans="1:16" x14ac:dyDescent="0.25">
      <c r="A1054" s="5">
        <v>101</v>
      </c>
      <c r="B1054" s="60"/>
      <c r="C1054" s="66" t="e">
        <f>'Baru NIS'!#REF!</f>
        <v>#REF!</v>
      </c>
      <c r="D1054" s="61"/>
      <c r="E1054" s="73" t="s">
        <v>2485</v>
      </c>
      <c r="F1054" s="80" t="s">
        <v>381</v>
      </c>
      <c r="G1054" s="88"/>
      <c r="H1054" s="88"/>
      <c r="I1054" s="88"/>
      <c r="J1054" s="72" t="s">
        <v>2375</v>
      </c>
      <c r="K1054" s="171"/>
      <c r="L1054" s="168"/>
      <c r="M1054" s="171"/>
      <c r="N1054" s="171"/>
      <c r="O1054" s="171"/>
      <c r="P1054" s="88" t="s">
        <v>5070</v>
      </c>
    </row>
    <row r="1055" spans="1:16" x14ac:dyDescent="0.25">
      <c r="A1055" s="5">
        <v>102</v>
      </c>
      <c r="B1055" s="60"/>
      <c r="C1055" s="66">
        <f>'Baru NIS'!C47</f>
        <v>102519570</v>
      </c>
      <c r="D1055" s="61"/>
      <c r="E1055" s="67" t="s">
        <v>2486</v>
      </c>
      <c r="F1055" s="68" t="s">
        <v>379</v>
      </c>
      <c r="G1055" s="88"/>
      <c r="H1055" s="88"/>
      <c r="I1055" s="88"/>
      <c r="J1055" s="72" t="s">
        <v>2397</v>
      </c>
      <c r="K1055" s="171"/>
      <c r="L1055" s="168"/>
      <c r="M1055" s="171"/>
      <c r="N1055" s="171"/>
      <c r="O1055" s="171"/>
      <c r="P1055" s="88" t="s">
        <v>5070</v>
      </c>
    </row>
    <row r="1056" spans="1:16" x14ac:dyDescent="0.25">
      <c r="A1056" s="5">
        <v>103</v>
      </c>
      <c r="B1056" s="60"/>
      <c r="C1056" s="66">
        <f>'Baru NIS'!C151</f>
        <v>102519674</v>
      </c>
      <c r="D1056" s="61"/>
      <c r="E1056" s="75" t="s">
        <v>2487</v>
      </c>
      <c r="F1056" s="76" t="s">
        <v>381</v>
      </c>
      <c r="G1056" s="88"/>
      <c r="H1056" s="88"/>
      <c r="I1056" s="88"/>
      <c r="J1056" s="72" t="s">
        <v>2399</v>
      </c>
      <c r="K1056" s="171"/>
      <c r="L1056" s="168"/>
      <c r="M1056" s="171"/>
      <c r="N1056" s="171"/>
      <c r="O1056" s="171"/>
      <c r="P1056" s="88" t="s">
        <v>5070</v>
      </c>
    </row>
    <row r="1057" spans="1:16" x14ac:dyDescent="0.25">
      <c r="A1057" s="5">
        <v>104</v>
      </c>
      <c r="B1057" s="60"/>
      <c r="C1057" s="66">
        <f>'Baru NIS'!C82</f>
        <v>102519605</v>
      </c>
      <c r="D1057" s="61"/>
      <c r="E1057" s="73" t="s">
        <v>2488</v>
      </c>
      <c r="F1057" s="74" t="s">
        <v>381</v>
      </c>
      <c r="G1057" s="88"/>
      <c r="H1057" s="88"/>
      <c r="I1057" s="88"/>
      <c r="J1057" s="72" t="s">
        <v>2389</v>
      </c>
      <c r="K1057" s="171"/>
      <c r="L1057" s="168"/>
      <c r="M1057" s="171"/>
      <c r="N1057" s="171"/>
      <c r="O1057" s="171"/>
      <c r="P1057" s="88" t="s">
        <v>5070</v>
      </c>
    </row>
    <row r="1058" spans="1:16" x14ac:dyDescent="0.25">
      <c r="A1058" s="5">
        <v>105</v>
      </c>
      <c r="B1058" s="60"/>
      <c r="C1058" s="66">
        <f>'Baru NIS'!C119</f>
        <v>102519642</v>
      </c>
      <c r="D1058" s="61"/>
      <c r="E1058" s="69" t="s">
        <v>2489</v>
      </c>
      <c r="F1058" s="57" t="s">
        <v>379</v>
      </c>
      <c r="G1058" s="88"/>
      <c r="H1058" s="88"/>
      <c r="I1058" s="88"/>
      <c r="J1058" s="72" t="s">
        <v>2371</v>
      </c>
      <c r="K1058" s="171"/>
      <c r="L1058" s="168"/>
      <c r="M1058" s="171"/>
      <c r="N1058" s="171"/>
      <c r="O1058" s="171"/>
      <c r="P1058" s="88" t="s">
        <v>5070</v>
      </c>
    </row>
    <row r="1059" spans="1:16" x14ac:dyDescent="0.25">
      <c r="A1059" s="5">
        <v>106</v>
      </c>
      <c r="B1059" s="60"/>
      <c r="C1059" s="66">
        <f>'Baru NIS'!C152</f>
        <v>102519675</v>
      </c>
      <c r="D1059" s="61"/>
      <c r="E1059" s="75" t="s">
        <v>2490</v>
      </c>
      <c r="F1059" s="76" t="s">
        <v>379</v>
      </c>
      <c r="G1059" s="88"/>
      <c r="H1059" s="88"/>
      <c r="I1059" s="88"/>
      <c r="J1059" s="72" t="s">
        <v>2399</v>
      </c>
      <c r="K1059" s="171"/>
      <c r="L1059" s="168"/>
      <c r="M1059" s="171"/>
      <c r="N1059" s="171"/>
      <c r="O1059" s="171"/>
      <c r="P1059" s="88" t="s">
        <v>5070</v>
      </c>
    </row>
    <row r="1060" spans="1:16" x14ac:dyDescent="0.25">
      <c r="A1060" s="5">
        <v>107</v>
      </c>
      <c r="B1060" s="60"/>
      <c r="C1060" s="66">
        <f>'Baru NIS'!C258</f>
        <v>102519821</v>
      </c>
      <c r="D1060" s="61"/>
      <c r="E1060" s="58" t="s">
        <v>2491</v>
      </c>
      <c r="F1060" s="5" t="s">
        <v>379</v>
      </c>
      <c r="G1060" s="88"/>
      <c r="H1060" s="88"/>
      <c r="I1060" s="88"/>
      <c r="J1060" s="72" t="s">
        <v>2377</v>
      </c>
      <c r="K1060" s="171"/>
      <c r="L1060" s="168"/>
      <c r="M1060" s="171"/>
      <c r="N1060" s="171"/>
      <c r="O1060" s="171"/>
      <c r="P1060" s="88" t="s">
        <v>5070</v>
      </c>
    </row>
    <row r="1061" spans="1:16" x14ac:dyDescent="0.25">
      <c r="A1061" s="5">
        <v>108</v>
      </c>
      <c r="B1061" s="60"/>
      <c r="C1061" s="66">
        <f>'Baru NIS'!C259</f>
        <v>102519822</v>
      </c>
      <c r="D1061" s="61"/>
      <c r="E1061" s="73" t="s">
        <v>2492</v>
      </c>
      <c r="F1061" s="74" t="s">
        <v>379</v>
      </c>
      <c r="G1061" s="88"/>
      <c r="H1061" s="88"/>
      <c r="I1061" s="88"/>
      <c r="J1061" s="72" t="s">
        <v>2377</v>
      </c>
      <c r="K1061" s="171"/>
      <c r="L1061" s="168"/>
      <c r="M1061" s="171"/>
      <c r="N1061" s="171"/>
      <c r="O1061" s="171"/>
      <c r="P1061" s="88" t="s">
        <v>5070</v>
      </c>
    </row>
    <row r="1062" spans="1:16" x14ac:dyDescent="0.25">
      <c r="A1062" s="5">
        <v>109</v>
      </c>
      <c r="B1062" s="60"/>
      <c r="C1062" s="66">
        <f>'Baru NIS'!C363</f>
        <v>102519886</v>
      </c>
      <c r="D1062" s="61"/>
      <c r="E1062" s="58" t="s">
        <v>2493</v>
      </c>
      <c r="F1062" s="5" t="s">
        <v>379</v>
      </c>
      <c r="G1062" s="88"/>
      <c r="H1062" s="88"/>
      <c r="I1062" s="88"/>
      <c r="J1062" s="72" t="s">
        <v>2402</v>
      </c>
      <c r="K1062" s="171"/>
      <c r="L1062" s="168"/>
      <c r="M1062" s="171"/>
      <c r="N1062" s="171"/>
      <c r="O1062" s="171"/>
      <c r="P1062" s="88" t="s">
        <v>5070</v>
      </c>
    </row>
    <row r="1063" spans="1:16" x14ac:dyDescent="0.25">
      <c r="A1063" s="5">
        <v>110</v>
      </c>
      <c r="B1063" s="60"/>
      <c r="C1063" s="66" t="e">
        <f>'Baru NIS'!#REF!</f>
        <v>#REF!</v>
      </c>
      <c r="D1063" s="61"/>
      <c r="E1063" s="73" t="s">
        <v>2494</v>
      </c>
      <c r="F1063" s="74" t="s">
        <v>379</v>
      </c>
      <c r="G1063" s="88"/>
      <c r="H1063" s="88"/>
      <c r="I1063" s="88"/>
      <c r="J1063" s="72" t="s">
        <v>2402</v>
      </c>
      <c r="K1063" s="171"/>
      <c r="L1063" s="168"/>
      <c r="M1063" s="171"/>
      <c r="N1063" s="171"/>
      <c r="O1063" s="171"/>
      <c r="P1063" s="88" t="s">
        <v>5070</v>
      </c>
    </row>
    <row r="1064" spans="1:16" x14ac:dyDescent="0.25">
      <c r="A1064" s="5">
        <v>111</v>
      </c>
      <c r="B1064" s="60"/>
      <c r="C1064" s="66">
        <f>'Baru NIS'!C83</f>
        <v>102519606</v>
      </c>
      <c r="D1064" s="61"/>
      <c r="E1064" s="67" t="s">
        <v>2495</v>
      </c>
      <c r="F1064" s="68" t="s">
        <v>381</v>
      </c>
      <c r="G1064" s="88"/>
      <c r="H1064" s="88"/>
      <c r="I1064" s="88"/>
      <c r="J1064" s="72" t="s">
        <v>2389</v>
      </c>
      <c r="K1064" s="171"/>
      <c r="L1064" s="168"/>
      <c r="M1064" s="171"/>
      <c r="N1064" s="171"/>
      <c r="O1064" s="171"/>
      <c r="P1064" s="88" t="s">
        <v>5070</v>
      </c>
    </row>
    <row r="1065" spans="1:16" x14ac:dyDescent="0.25">
      <c r="A1065" s="5">
        <v>112</v>
      </c>
      <c r="B1065" s="60"/>
      <c r="C1065" s="66">
        <f>'Baru NIS'!C153</f>
        <v>102519676</v>
      </c>
      <c r="D1065" s="61"/>
      <c r="E1065" s="75" t="s">
        <v>2496</v>
      </c>
      <c r="F1065" s="76" t="s">
        <v>379</v>
      </c>
      <c r="G1065" s="88"/>
      <c r="H1065" s="88"/>
      <c r="I1065" s="88"/>
      <c r="J1065" s="72" t="s">
        <v>2399</v>
      </c>
      <c r="K1065" s="171"/>
      <c r="L1065" s="168"/>
      <c r="M1065" s="171"/>
      <c r="N1065" s="171"/>
      <c r="O1065" s="171"/>
      <c r="P1065" s="88" t="s">
        <v>5070</v>
      </c>
    </row>
    <row r="1066" spans="1:16" x14ac:dyDescent="0.25">
      <c r="A1066" s="5">
        <v>113</v>
      </c>
      <c r="B1066" s="60"/>
      <c r="C1066" s="66">
        <f>'Baru NIS'!C14</f>
        <v>102519537</v>
      </c>
      <c r="D1066" s="61"/>
      <c r="E1066" s="67" t="s">
        <v>2497</v>
      </c>
      <c r="F1066" s="68" t="s">
        <v>379</v>
      </c>
      <c r="G1066" s="88"/>
      <c r="H1066" s="88"/>
      <c r="I1066" s="88"/>
      <c r="J1066" s="72" t="s">
        <v>2386</v>
      </c>
      <c r="K1066" s="171"/>
      <c r="L1066" s="168"/>
      <c r="M1066" s="171"/>
      <c r="N1066" s="171"/>
      <c r="O1066" s="171"/>
      <c r="P1066" s="88" t="s">
        <v>5070</v>
      </c>
    </row>
    <row r="1067" spans="1:16" x14ac:dyDescent="0.25">
      <c r="A1067" s="5">
        <v>114</v>
      </c>
      <c r="B1067" s="60"/>
      <c r="C1067" s="66">
        <f>'Baru NIS'!C48</f>
        <v>102519571</v>
      </c>
      <c r="D1067" s="61"/>
      <c r="E1067" s="67" t="s">
        <v>2498</v>
      </c>
      <c r="F1067" s="68" t="s">
        <v>381</v>
      </c>
      <c r="G1067" s="88"/>
      <c r="H1067" s="88"/>
      <c r="I1067" s="88"/>
      <c r="J1067" s="72" t="s">
        <v>2397</v>
      </c>
      <c r="K1067" s="171"/>
      <c r="L1067" s="168"/>
      <c r="M1067" s="171"/>
      <c r="N1067" s="171"/>
      <c r="O1067" s="171"/>
      <c r="P1067" s="88" t="s">
        <v>5070</v>
      </c>
    </row>
    <row r="1068" spans="1:16" x14ac:dyDescent="0.25">
      <c r="A1068" s="5">
        <v>115</v>
      </c>
      <c r="B1068" s="60"/>
      <c r="C1068" s="66">
        <f>'Baru NIS'!C364</f>
        <v>102519887</v>
      </c>
      <c r="D1068" s="61"/>
      <c r="E1068" s="73" t="s">
        <v>2499</v>
      </c>
      <c r="F1068" s="74" t="s">
        <v>379</v>
      </c>
      <c r="G1068" s="88"/>
      <c r="H1068" s="88"/>
      <c r="I1068" s="88"/>
      <c r="J1068" s="72" t="s">
        <v>2402</v>
      </c>
      <c r="K1068" s="171"/>
      <c r="L1068" s="168"/>
      <c r="M1068" s="171"/>
      <c r="N1068" s="171"/>
      <c r="O1068" s="171"/>
      <c r="P1068" s="88" t="s">
        <v>5070</v>
      </c>
    </row>
    <row r="1069" spans="1:16" x14ac:dyDescent="0.25">
      <c r="A1069" s="5">
        <v>116</v>
      </c>
      <c r="B1069" s="60"/>
      <c r="C1069" s="66">
        <f>'Baru NIS'!C84</f>
        <v>102519607</v>
      </c>
      <c r="D1069" s="61"/>
      <c r="E1069" s="69" t="s">
        <v>2500</v>
      </c>
      <c r="F1069" s="57" t="s">
        <v>381</v>
      </c>
      <c r="G1069" s="88"/>
      <c r="H1069" s="88"/>
      <c r="I1069" s="88"/>
      <c r="J1069" s="72" t="s">
        <v>2389</v>
      </c>
      <c r="K1069" s="171"/>
      <c r="L1069" s="168"/>
      <c r="M1069" s="171"/>
      <c r="N1069" s="171"/>
      <c r="O1069" s="171"/>
      <c r="P1069" s="88" t="s">
        <v>5070</v>
      </c>
    </row>
    <row r="1070" spans="1:16" x14ac:dyDescent="0.25">
      <c r="A1070" s="5">
        <v>117</v>
      </c>
      <c r="B1070" s="60"/>
      <c r="C1070" s="66">
        <f>'Baru NIS'!C15</f>
        <v>102519538</v>
      </c>
      <c r="D1070" s="61"/>
      <c r="E1070" s="67" t="s">
        <v>2501</v>
      </c>
      <c r="F1070" s="68" t="s">
        <v>379</v>
      </c>
      <c r="G1070" s="88"/>
      <c r="H1070" s="88"/>
      <c r="I1070" s="88"/>
      <c r="J1070" s="72" t="s">
        <v>2386</v>
      </c>
      <c r="K1070" s="171"/>
      <c r="L1070" s="168"/>
      <c r="M1070" s="171"/>
      <c r="N1070" s="171"/>
      <c r="O1070" s="171"/>
      <c r="P1070" s="88" t="s">
        <v>5070</v>
      </c>
    </row>
    <row r="1071" spans="1:16" x14ac:dyDescent="0.25">
      <c r="A1071" s="5">
        <v>118</v>
      </c>
      <c r="B1071" s="60"/>
      <c r="C1071" s="66">
        <f>'Baru NIS'!C298</f>
        <v>102519781</v>
      </c>
      <c r="D1071" s="61"/>
      <c r="E1071" s="73" t="s">
        <v>2502</v>
      </c>
      <c r="F1071" s="74" t="s">
        <v>379</v>
      </c>
      <c r="G1071" s="88"/>
      <c r="H1071" s="88"/>
      <c r="I1071" s="88"/>
      <c r="J1071" s="72" t="s">
        <v>2375</v>
      </c>
      <c r="K1071" s="171"/>
      <c r="L1071" s="168"/>
      <c r="M1071" s="171"/>
      <c r="N1071" s="171"/>
      <c r="O1071" s="171"/>
      <c r="P1071" s="88" t="s">
        <v>5070</v>
      </c>
    </row>
    <row r="1072" spans="1:16" x14ac:dyDescent="0.25">
      <c r="A1072" s="5">
        <v>119</v>
      </c>
      <c r="B1072" s="60"/>
      <c r="C1072" s="66">
        <f>'Baru NIS'!C299</f>
        <v>102519782</v>
      </c>
      <c r="D1072" s="61"/>
      <c r="E1072" s="58" t="s">
        <v>2503</v>
      </c>
      <c r="F1072" s="5" t="s">
        <v>381</v>
      </c>
      <c r="G1072" s="88"/>
      <c r="H1072" s="88"/>
      <c r="I1072" s="88"/>
      <c r="J1072" s="72" t="s">
        <v>2375</v>
      </c>
      <c r="K1072" s="171"/>
      <c r="L1072" s="168"/>
      <c r="M1072" s="171"/>
      <c r="N1072" s="171"/>
      <c r="O1072" s="171"/>
      <c r="P1072" s="88" t="s">
        <v>5070</v>
      </c>
    </row>
    <row r="1073" spans="1:16" x14ac:dyDescent="0.25">
      <c r="A1073" s="5">
        <v>120</v>
      </c>
      <c r="B1073" s="60"/>
      <c r="C1073" s="66">
        <f>'Baru NIS'!C330</f>
        <v>102519853</v>
      </c>
      <c r="D1073" s="61"/>
      <c r="E1073" s="73" t="s">
        <v>2504</v>
      </c>
      <c r="F1073" s="74" t="s">
        <v>379</v>
      </c>
      <c r="G1073" s="88"/>
      <c r="H1073" s="88"/>
      <c r="I1073" s="88"/>
      <c r="J1073" s="72" t="s">
        <v>2383</v>
      </c>
      <c r="K1073" s="171"/>
      <c r="L1073" s="168"/>
      <c r="M1073" s="171"/>
      <c r="N1073" s="171"/>
      <c r="O1073" s="171"/>
      <c r="P1073" s="88" t="s">
        <v>5070</v>
      </c>
    </row>
    <row r="1074" spans="1:16" x14ac:dyDescent="0.25">
      <c r="A1074" s="5">
        <v>121</v>
      </c>
      <c r="B1074" s="60"/>
      <c r="C1074" s="66">
        <f>'Baru NIS'!C190</f>
        <v>102519713</v>
      </c>
      <c r="D1074" s="61"/>
      <c r="E1074" s="67" t="s">
        <v>2505</v>
      </c>
      <c r="F1074" s="68" t="s">
        <v>381</v>
      </c>
      <c r="G1074" s="88"/>
      <c r="H1074" s="88"/>
      <c r="I1074" s="88"/>
      <c r="J1074" s="72" t="s">
        <v>2373</v>
      </c>
      <c r="K1074" s="171"/>
      <c r="L1074" s="168"/>
      <c r="M1074" s="171"/>
      <c r="N1074" s="171"/>
      <c r="O1074" s="171"/>
      <c r="P1074" s="88" t="s">
        <v>5070</v>
      </c>
    </row>
    <row r="1075" spans="1:16" x14ac:dyDescent="0.25">
      <c r="A1075" s="5">
        <v>122</v>
      </c>
      <c r="B1075" s="60"/>
      <c r="C1075" s="66">
        <f>'Baru NIS'!C121</f>
        <v>102519644</v>
      </c>
      <c r="D1075" s="61"/>
      <c r="E1075" s="67" t="s">
        <v>2506</v>
      </c>
      <c r="F1075" s="68" t="s">
        <v>381</v>
      </c>
      <c r="G1075" s="88"/>
      <c r="H1075" s="88"/>
      <c r="I1075" s="88"/>
      <c r="J1075" s="72" t="s">
        <v>2371</v>
      </c>
      <c r="K1075" s="171"/>
      <c r="L1075" s="168"/>
      <c r="M1075" s="171"/>
      <c r="N1075" s="171"/>
      <c r="O1075" s="171"/>
      <c r="P1075" s="88" t="s">
        <v>5070</v>
      </c>
    </row>
    <row r="1076" spans="1:16" x14ac:dyDescent="0.25">
      <c r="A1076" s="5">
        <v>123</v>
      </c>
      <c r="B1076" s="60"/>
      <c r="C1076" s="66">
        <f>'Baru NIS'!C154</f>
        <v>102519677</v>
      </c>
      <c r="D1076" s="61"/>
      <c r="E1076" s="77" t="s">
        <v>2507</v>
      </c>
      <c r="F1076" s="78" t="s">
        <v>381</v>
      </c>
      <c r="G1076" s="88"/>
      <c r="H1076" s="88"/>
      <c r="I1076" s="88"/>
      <c r="J1076" s="72" t="s">
        <v>2399</v>
      </c>
      <c r="K1076" s="171"/>
      <c r="L1076" s="168"/>
      <c r="M1076" s="171"/>
      <c r="N1076" s="171"/>
      <c r="O1076" s="171"/>
      <c r="P1076" s="88" t="s">
        <v>5070</v>
      </c>
    </row>
    <row r="1077" spans="1:16" x14ac:dyDescent="0.25">
      <c r="A1077" s="5">
        <v>124</v>
      </c>
      <c r="B1077" s="60"/>
      <c r="C1077" s="66">
        <f>'Baru NIS'!C16</f>
        <v>102519539</v>
      </c>
      <c r="D1077" s="61"/>
      <c r="E1077" s="69" t="s">
        <v>2508</v>
      </c>
      <c r="F1077" s="57" t="s">
        <v>379</v>
      </c>
      <c r="G1077" s="88"/>
      <c r="H1077" s="88"/>
      <c r="I1077" s="88"/>
      <c r="J1077" s="72" t="s">
        <v>2386</v>
      </c>
      <c r="K1077" s="171"/>
      <c r="L1077" s="168"/>
      <c r="M1077" s="171"/>
      <c r="N1077" s="171"/>
      <c r="O1077" s="171"/>
      <c r="P1077" s="88" t="s">
        <v>5070</v>
      </c>
    </row>
    <row r="1078" spans="1:16" x14ac:dyDescent="0.25">
      <c r="A1078" s="5">
        <v>125</v>
      </c>
      <c r="B1078" s="60"/>
      <c r="C1078" s="66">
        <f>'Baru NIS'!C122</f>
        <v>102519645</v>
      </c>
      <c r="D1078" s="61"/>
      <c r="E1078" s="67" t="s">
        <v>2509</v>
      </c>
      <c r="F1078" s="68" t="s">
        <v>379</v>
      </c>
      <c r="G1078" s="88"/>
      <c r="H1078" s="88"/>
      <c r="I1078" s="88"/>
      <c r="J1078" s="72" t="s">
        <v>2371</v>
      </c>
      <c r="K1078" s="171"/>
      <c r="L1078" s="168"/>
      <c r="M1078" s="171"/>
      <c r="N1078" s="171"/>
      <c r="O1078" s="171"/>
      <c r="P1078" s="88" t="s">
        <v>5070</v>
      </c>
    </row>
    <row r="1079" spans="1:16" x14ac:dyDescent="0.25">
      <c r="A1079" s="5">
        <v>126</v>
      </c>
      <c r="B1079" s="60"/>
      <c r="C1079" s="66">
        <f>'Baru NIS'!C300</f>
        <v>102519783</v>
      </c>
      <c r="D1079" s="61"/>
      <c r="E1079" s="58" t="s">
        <v>2510</v>
      </c>
      <c r="F1079" s="5" t="s">
        <v>379</v>
      </c>
      <c r="G1079" s="88"/>
      <c r="H1079" s="88"/>
      <c r="I1079" s="88"/>
      <c r="J1079" s="72" t="s">
        <v>2375</v>
      </c>
      <c r="K1079" s="171"/>
      <c r="L1079" s="168"/>
      <c r="M1079" s="171"/>
      <c r="N1079" s="171"/>
      <c r="O1079" s="171"/>
      <c r="P1079" s="88" t="s">
        <v>5070</v>
      </c>
    </row>
    <row r="1080" spans="1:16" x14ac:dyDescent="0.25">
      <c r="A1080" s="5">
        <v>127</v>
      </c>
      <c r="B1080" s="60"/>
      <c r="C1080" s="66">
        <f>'Baru NIS'!C301</f>
        <v>102519784</v>
      </c>
      <c r="D1080" s="61"/>
      <c r="E1080" s="73" t="s">
        <v>2511</v>
      </c>
      <c r="F1080" s="74" t="s">
        <v>379</v>
      </c>
      <c r="G1080" s="88"/>
      <c r="H1080" s="88"/>
      <c r="I1080" s="88"/>
      <c r="J1080" s="72" t="s">
        <v>2375</v>
      </c>
      <c r="K1080" s="171"/>
      <c r="L1080" s="168"/>
      <c r="M1080" s="171"/>
      <c r="N1080" s="171"/>
      <c r="O1080" s="171"/>
      <c r="P1080" s="88" t="s">
        <v>5070</v>
      </c>
    </row>
    <row r="1081" spans="1:16" x14ac:dyDescent="0.25">
      <c r="A1081" s="5">
        <v>128</v>
      </c>
      <c r="B1081" s="60"/>
      <c r="C1081" s="66">
        <f>'Baru NIS'!C85</f>
        <v>102519608</v>
      </c>
      <c r="D1081" s="61"/>
      <c r="E1081" s="67" t="s">
        <v>2512</v>
      </c>
      <c r="F1081" s="68" t="s">
        <v>381</v>
      </c>
      <c r="G1081" s="88"/>
      <c r="H1081" s="88"/>
      <c r="I1081" s="88"/>
      <c r="J1081" s="72" t="s">
        <v>2389</v>
      </c>
      <c r="K1081" s="171"/>
      <c r="L1081" s="168"/>
      <c r="M1081" s="171"/>
      <c r="N1081" s="171"/>
      <c r="O1081" s="171"/>
      <c r="P1081" s="88" t="s">
        <v>5070</v>
      </c>
    </row>
    <row r="1082" spans="1:16" x14ac:dyDescent="0.25">
      <c r="A1082" s="5">
        <v>129</v>
      </c>
      <c r="B1082" s="60"/>
      <c r="C1082" s="66">
        <f>'Baru NIS'!C49</f>
        <v>102519572</v>
      </c>
      <c r="D1082" s="61"/>
      <c r="E1082" s="67" t="s">
        <v>2513</v>
      </c>
      <c r="F1082" s="68" t="s">
        <v>379</v>
      </c>
      <c r="G1082" s="88"/>
      <c r="H1082" s="88"/>
      <c r="I1082" s="88"/>
      <c r="J1082" s="72" t="s">
        <v>2397</v>
      </c>
      <c r="K1082" s="171"/>
      <c r="L1082" s="168"/>
      <c r="M1082" s="171"/>
      <c r="N1082" s="171"/>
      <c r="O1082" s="171"/>
      <c r="P1082" s="88" t="s">
        <v>5070</v>
      </c>
    </row>
    <row r="1083" spans="1:16" x14ac:dyDescent="0.25">
      <c r="A1083" s="5">
        <v>130</v>
      </c>
      <c r="B1083" s="60"/>
      <c r="C1083" s="66">
        <f>'Baru NIS'!C50</f>
        <v>102519573</v>
      </c>
      <c r="D1083" s="61"/>
      <c r="E1083" s="69" t="s">
        <v>2514</v>
      </c>
      <c r="F1083" s="57" t="s">
        <v>381</v>
      </c>
      <c r="G1083" s="88"/>
      <c r="H1083" s="88"/>
      <c r="I1083" s="88"/>
      <c r="J1083" s="72" t="s">
        <v>2397</v>
      </c>
      <c r="K1083" s="171"/>
      <c r="L1083" s="168"/>
      <c r="M1083" s="171"/>
      <c r="N1083" s="171"/>
      <c r="O1083" s="171"/>
      <c r="P1083" s="88" t="s">
        <v>5070</v>
      </c>
    </row>
    <row r="1084" spans="1:16" x14ac:dyDescent="0.25">
      <c r="A1084" s="5">
        <v>131</v>
      </c>
      <c r="B1084" s="60"/>
      <c r="C1084" s="66">
        <f>'Baru NIS'!C365</f>
        <v>102519888</v>
      </c>
      <c r="D1084" s="61"/>
      <c r="E1084" s="73" t="s">
        <v>2515</v>
      </c>
      <c r="F1084" s="74" t="s">
        <v>379</v>
      </c>
      <c r="G1084" s="88"/>
      <c r="H1084" s="88"/>
      <c r="I1084" s="88"/>
      <c r="J1084" s="72" t="s">
        <v>2402</v>
      </c>
      <c r="K1084" s="171"/>
      <c r="L1084" s="168"/>
      <c r="M1084" s="171"/>
      <c r="N1084" s="171"/>
      <c r="O1084" s="171"/>
      <c r="P1084" s="88" t="s">
        <v>5070</v>
      </c>
    </row>
    <row r="1085" spans="1:16" x14ac:dyDescent="0.25">
      <c r="A1085" s="5">
        <v>132</v>
      </c>
      <c r="B1085" s="60"/>
      <c r="C1085" s="66">
        <f>'Baru NIS'!C331</f>
        <v>102519854</v>
      </c>
      <c r="D1085" s="61"/>
      <c r="E1085" s="73" t="s">
        <v>2516</v>
      </c>
      <c r="F1085" s="74" t="s">
        <v>379</v>
      </c>
      <c r="G1085" s="88"/>
      <c r="H1085" s="88"/>
      <c r="I1085" s="88"/>
      <c r="J1085" s="72" t="s">
        <v>2383</v>
      </c>
      <c r="K1085" s="171"/>
      <c r="L1085" s="168"/>
      <c r="M1085" s="171"/>
      <c r="N1085" s="171"/>
      <c r="O1085" s="171"/>
      <c r="P1085" s="88" t="s">
        <v>5070</v>
      </c>
    </row>
    <row r="1086" spans="1:16" x14ac:dyDescent="0.25">
      <c r="A1086" s="5">
        <v>133</v>
      </c>
      <c r="B1086" s="60"/>
      <c r="C1086" s="66">
        <f>'Baru NIS'!C191</f>
        <v>102519714</v>
      </c>
      <c r="D1086" s="61"/>
      <c r="E1086" s="67" t="s">
        <v>2517</v>
      </c>
      <c r="F1086" s="68" t="s">
        <v>381</v>
      </c>
      <c r="G1086" s="88"/>
      <c r="H1086" s="88"/>
      <c r="I1086" s="88"/>
      <c r="J1086" s="72" t="s">
        <v>2373</v>
      </c>
      <c r="K1086" s="171"/>
      <c r="L1086" s="168"/>
      <c r="M1086" s="171"/>
      <c r="N1086" s="171"/>
      <c r="O1086" s="171"/>
      <c r="P1086" s="88" t="s">
        <v>5070</v>
      </c>
    </row>
    <row r="1087" spans="1:16" x14ac:dyDescent="0.25">
      <c r="A1087" s="5">
        <v>134</v>
      </c>
      <c r="B1087" s="60"/>
      <c r="C1087" s="66">
        <f>'Baru NIS'!C221</f>
        <v>102519744</v>
      </c>
      <c r="D1087" s="61"/>
      <c r="E1087" s="73" t="s">
        <v>2518</v>
      </c>
      <c r="F1087" s="74" t="s">
        <v>381</v>
      </c>
      <c r="G1087" s="88"/>
      <c r="H1087" s="88"/>
      <c r="I1087" s="88"/>
      <c r="J1087" s="72" t="s">
        <v>2379</v>
      </c>
      <c r="K1087" s="171"/>
      <c r="L1087" s="168"/>
      <c r="M1087" s="171"/>
      <c r="N1087" s="171"/>
      <c r="O1087" s="171"/>
      <c r="P1087" s="88" t="s">
        <v>5070</v>
      </c>
    </row>
    <row r="1088" spans="1:16" x14ac:dyDescent="0.25">
      <c r="A1088" s="5">
        <v>135</v>
      </c>
      <c r="B1088" s="60"/>
      <c r="C1088" s="66">
        <f>'Baru NIS'!C51</f>
        <v>102519574</v>
      </c>
      <c r="D1088" s="61"/>
      <c r="E1088" s="67" t="s">
        <v>403</v>
      </c>
      <c r="F1088" s="68" t="s">
        <v>379</v>
      </c>
      <c r="G1088" s="88"/>
      <c r="H1088" s="88"/>
      <c r="I1088" s="88"/>
      <c r="J1088" s="72" t="s">
        <v>2397</v>
      </c>
      <c r="K1088" s="171"/>
      <c r="L1088" s="168"/>
      <c r="M1088" s="171"/>
      <c r="N1088" s="171"/>
      <c r="O1088" s="171"/>
      <c r="P1088" s="88" t="s">
        <v>5070</v>
      </c>
    </row>
    <row r="1089" spans="1:16" x14ac:dyDescent="0.25">
      <c r="A1089" s="5">
        <v>136</v>
      </c>
      <c r="B1089" s="60"/>
      <c r="C1089" s="66">
        <f>'Baru NIS'!C222</f>
        <v>102519745</v>
      </c>
      <c r="D1089" s="61"/>
      <c r="E1089" s="73" t="s">
        <v>2519</v>
      </c>
      <c r="F1089" s="74" t="s">
        <v>379</v>
      </c>
      <c r="G1089" s="88"/>
      <c r="H1089" s="88"/>
      <c r="I1089" s="88"/>
      <c r="J1089" s="72" t="s">
        <v>2379</v>
      </c>
      <c r="K1089" s="171"/>
      <c r="L1089" s="168"/>
      <c r="M1089" s="171"/>
      <c r="N1089" s="171"/>
      <c r="O1089" s="171"/>
      <c r="P1089" s="88" t="s">
        <v>5070</v>
      </c>
    </row>
    <row r="1090" spans="1:16" x14ac:dyDescent="0.25">
      <c r="A1090" s="5">
        <v>137</v>
      </c>
      <c r="B1090" s="60"/>
      <c r="C1090" s="66">
        <f>'Baru NIS'!C366</f>
        <v>102519889</v>
      </c>
      <c r="D1090" s="61"/>
      <c r="E1090" s="58" t="s">
        <v>2520</v>
      </c>
      <c r="F1090" s="5" t="s">
        <v>381</v>
      </c>
      <c r="G1090" s="88"/>
      <c r="H1090" s="88"/>
      <c r="I1090" s="88"/>
      <c r="J1090" s="72" t="s">
        <v>2402</v>
      </c>
      <c r="K1090" s="171"/>
      <c r="L1090" s="168"/>
      <c r="M1090" s="171"/>
      <c r="N1090" s="171"/>
      <c r="O1090" s="171"/>
      <c r="P1090" s="88" t="s">
        <v>5070</v>
      </c>
    </row>
    <row r="1091" spans="1:16" x14ac:dyDescent="0.25">
      <c r="A1091" s="5">
        <v>138</v>
      </c>
      <c r="B1091" s="60"/>
      <c r="C1091" s="66">
        <f>'Baru NIS'!C367</f>
        <v>102519890</v>
      </c>
      <c r="D1091" s="61"/>
      <c r="E1091" s="73" t="s">
        <v>2521</v>
      </c>
      <c r="F1091" s="74" t="s">
        <v>379</v>
      </c>
      <c r="G1091" s="88"/>
      <c r="H1091" s="88"/>
      <c r="I1091" s="88"/>
      <c r="J1091" s="72" t="s">
        <v>2402</v>
      </c>
      <c r="K1091" s="171"/>
      <c r="L1091" s="168"/>
      <c r="M1091" s="171"/>
      <c r="N1091" s="171"/>
      <c r="O1091" s="171"/>
      <c r="P1091" s="88" t="s">
        <v>5070</v>
      </c>
    </row>
    <row r="1092" spans="1:16" x14ac:dyDescent="0.25">
      <c r="A1092" s="5">
        <v>139</v>
      </c>
      <c r="B1092" s="60"/>
      <c r="C1092" s="66">
        <f>'Baru NIS'!C302</f>
        <v>102519785</v>
      </c>
      <c r="D1092" s="61"/>
      <c r="E1092" s="73" t="s">
        <v>2522</v>
      </c>
      <c r="F1092" s="74" t="s">
        <v>379</v>
      </c>
      <c r="G1092" s="88"/>
      <c r="H1092" s="88"/>
      <c r="I1092" s="88"/>
      <c r="J1092" s="72" t="s">
        <v>2375</v>
      </c>
      <c r="K1092" s="171"/>
      <c r="L1092" s="168"/>
      <c r="M1092" s="171"/>
      <c r="N1092" s="171"/>
      <c r="O1092" s="171"/>
      <c r="P1092" s="88" t="s">
        <v>5070</v>
      </c>
    </row>
    <row r="1093" spans="1:16" x14ac:dyDescent="0.25">
      <c r="A1093" s="5">
        <v>140</v>
      </c>
      <c r="B1093" s="60"/>
      <c r="C1093" s="66">
        <f>'Baru NIS'!C192</f>
        <v>102519715</v>
      </c>
      <c r="D1093" s="61"/>
      <c r="E1093" s="69" t="s">
        <v>2523</v>
      </c>
      <c r="F1093" s="57" t="s">
        <v>379</v>
      </c>
      <c r="G1093" s="88"/>
      <c r="H1093" s="88"/>
      <c r="I1093" s="88"/>
      <c r="J1093" s="72" t="s">
        <v>2373</v>
      </c>
      <c r="K1093" s="171"/>
      <c r="L1093" s="168"/>
      <c r="M1093" s="171"/>
      <c r="N1093" s="171"/>
      <c r="O1093" s="171"/>
      <c r="P1093" s="88" t="s">
        <v>5070</v>
      </c>
    </row>
    <row r="1094" spans="1:16" x14ac:dyDescent="0.25">
      <c r="A1094" s="5">
        <v>141</v>
      </c>
      <c r="B1094" s="60"/>
      <c r="C1094" s="66">
        <f>'Baru NIS'!C260</f>
        <v>102519823</v>
      </c>
      <c r="D1094" s="61"/>
      <c r="E1094" s="73" t="s">
        <v>2524</v>
      </c>
      <c r="F1094" s="74" t="s">
        <v>379</v>
      </c>
      <c r="G1094" s="88"/>
      <c r="H1094" s="88"/>
      <c r="I1094" s="88"/>
      <c r="J1094" s="72" t="s">
        <v>2377</v>
      </c>
      <c r="K1094" s="171"/>
      <c r="L1094" s="168"/>
      <c r="M1094" s="171"/>
      <c r="N1094" s="171"/>
      <c r="O1094" s="171"/>
      <c r="P1094" s="88" t="s">
        <v>5070</v>
      </c>
    </row>
    <row r="1095" spans="1:16" x14ac:dyDescent="0.25">
      <c r="A1095" s="5">
        <v>142</v>
      </c>
      <c r="B1095" s="60"/>
      <c r="C1095" s="66">
        <f>'Baru NIS'!C87</f>
        <v>102519610</v>
      </c>
      <c r="D1095" s="61"/>
      <c r="E1095" s="67" t="s">
        <v>2525</v>
      </c>
      <c r="F1095" s="68" t="s">
        <v>379</v>
      </c>
      <c r="G1095" s="88"/>
      <c r="H1095" s="88"/>
      <c r="I1095" s="88"/>
      <c r="J1095" s="72" t="s">
        <v>2389</v>
      </c>
      <c r="K1095" s="171"/>
      <c r="L1095" s="168"/>
      <c r="M1095" s="171"/>
      <c r="N1095" s="171"/>
      <c r="O1095" s="171"/>
      <c r="P1095" s="88" t="s">
        <v>5070</v>
      </c>
    </row>
    <row r="1096" spans="1:16" x14ac:dyDescent="0.25">
      <c r="A1096" s="5">
        <v>143</v>
      </c>
      <c r="B1096" s="60"/>
      <c r="C1096" s="66">
        <f>'Baru NIS'!C123</f>
        <v>102519646</v>
      </c>
      <c r="D1096" s="61"/>
      <c r="E1096" s="67" t="s">
        <v>2526</v>
      </c>
      <c r="F1096" s="68" t="s">
        <v>381</v>
      </c>
      <c r="G1096" s="88"/>
      <c r="H1096" s="88"/>
      <c r="I1096" s="88"/>
      <c r="J1096" s="72" t="s">
        <v>2371</v>
      </c>
      <c r="K1096" s="171"/>
      <c r="L1096" s="168"/>
      <c r="M1096" s="171"/>
      <c r="N1096" s="171"/>
      <c r="O1096" s="171"/>
      <c r="P1096" s="88" t="s">
        <v>5070</v>
      </c>
    </row>
    <row r="1097" spans="1:16" x14ac:dyDescent="0.25">
      <c r="A1097" s="5">
        <v>144</v>
      </c>
      <c r="B1097" s="60"/>
      <c r="C1097" s="66">
        <f>'Baru NIS'!C155</f>
        <v>102519678</v>
      </c>
      <c r="D1097" s="61"/>
      <c r="E1097" s="75" t="s">
        <v>2527</v>
      </c>
      <c r="F1097" s="76" t="s">
        <v>381</v>
      </c>
      <c r="G1097" s="88"/>
      <c r="H1097" s="88"/>
      <c r="I1097" s="88"/>
      <c r="J1097" s="72" t="s">
        <v>2399</v>
      </c>
      <c r="K1097" s="171"/>
      <c r="L1097" s="168"/>
      <c r="M1097" s="171"/>
      <c r="N1097" s="171"/>
      <c r="O1097" s="171"/>
      <c r="P1097" s="88" t="s">
        <v>5070</v>
      </c>
    </row>
    <row r="1098" spans="1:16" x14ac:dyDescent="0.25">
      <c r="A1098" s="5">
        <v>145</v>
      </c>
      <c r="B1098" s="60"/>
      <c r="C1098" s="66">
        <f>'Baru NIS'!C261</f>
        <v>102519824</v>
      </c>
      <c r="D1098" s="61"/>
      <c r="E1098" s="73" t="s">
        <v>2528</v>
      </c>
      <c r="F1098" s="74" t="s">
        <v>381</v>
      </c>
      <c r="G1098" s="88"/>
      <c r="H1098" s="88"/>
      <c r="I1098" s="88"/>
      <c r="J1098" s="72" t="s">
        <v>2377</v>
      </c>
      <c r="K1098" s="171"/>
      <c r="L1098" s="168"/>
      <c r="M1098" s="171"/>
      <c r="N1098" s="171"/>
      <c r="O1098" s="171"/>
      <c r="P1098" s="88" t="s">
        <v>5070</v>
      </c>
    </row>
    <row r="1099" spans="1:16" x14ac:dyDescent="0.25">
      <c r="A1099" s="5">
        <v>146</v>
      </c>
      <c r="B1099" s="60"/>
      <c r="C1099" s="66">
        <f>'Baru NIS'!C17</f>
        <v>102519540</v>
      </c>
      <c r="D1099" s="61"/>
      <c r="E1099" s="67" t="s">
        <v>2529</v>
      </c>
      <c r="F1099" s="68" t="s">
        <v>381</v>
      </c>
      <c r="G1099" s="88"/>
      <c r="H1099" s="88"/>
      <c r="I1099" s="88"/>
      <c r="J1099" s="72" t="s">
        <v>2386</v>
      </c>
      <c r="K1099" s="171"/>
      <c r="L1099" s="168"/>
      <c r="M1099" s="171"/>
      <c r="N1099" s="171"/>
      <c r="O1099" s="171"/>
      <c r="P1099" s="88" t="s">
        <v>5070</v>
      </c>
    </row>
    <row r="1100" spans="1:16" x14ac:dyDescent="0.25">
      <c r="A1100" s="5">
        <v>147</v>
      </c>
      <c r="B1100" s="60"/>
      <c r="C1100" s="66">
        <f>'Baru NIS'!C223</f>
        <v>102519746</v>
      </c>
      <c r="D1100" s="61"/>
      <c r="E1100" s="73" t="s">
        <v>2530</v>
      </c>
      <c r="F1100" s="74" t="s">
        <v>381</v>
      </c>
      <c r="G1100" s="88"/>
      <c r="H1100" s="88"/>
      <c r="I1100" s="88"/>
      <c r="J1100" s="72" t="s">
        <v>2379</v>
      </c>
      <c r="K1100" s="171"/>
      <c r="L1100" s="168"/>
      <c r="M1100" s="171"/>
      <c r="N1100" s="171"/>
      <c r="O1100" s="171"/>
      <c r="P1100" s="88" t="s">
        <v>5070</v>
      </c>
    </row>
    <row r="1101" spans="1:16" x14ac:dyDescent="0.25">
      <c r="A1101" s="5">
        <v>148</v>
      </c>
      <c r="B1101" s="60"/>
      <c r="C1101" s="66">
        <f>'Baru NIS'!C303</f>
        <v>102519786</v>
      </c>
      <c r="D1101" s="61"/>
      <c r="E1101" s="58" t="s">
        <v>2531</v>
      </c>
      <c r="F1101" s="5" t="s">
        <v>379</v>
      </c>
      <c r="G1101" s="88"/>
      <c r="H1101" s="88"/>
      <c r="I1101" s="88"/>
      <c r="J1101" s="72" t="s">
        <v>2375</v>
      </c>
      <c r="K1101" s="171"/>
      <c r="L1101" s="168"/>
      <c r="M1101" s="171"/>
      <c r="N1101" s="171"/>
      <c r="O1101" s="171"/>
      <c r="P1101" s="88" t="s">
        <v>5070</v>
      </c>
    </row>
    <row r="1102" spans="1:16" x14ac:dyDescent="0.25">
      <c r="A1102" s="5">
        <v>149</v>
      </c>
      <c r="B1102" s="60"/>
      <c r="C1102" s="66">
        <f>'Baru NIS'!C156</f>
        <v>102519679</v>
      </c>
      <c r="D1102" s="61"/>
      <c r="E1102" s="77" t="s">
        <v>2532</v>
      </c>
      <c r="F1102" s="78" t="s">
        <v>381</v>
      </c>
      <c r="G1102" s="88"/>
      <c r="H1102" s="88"/>
      <c r="I1102" s="88"/>
      <c r="J1102" s="72" t="s">
        <v>2399</v>
      </c>
      <c r="K1102" s="171"/>
      <c r="L1102" s="168"/>
      <c r="M1102" s="171"/>
      <c r="N1102" s="171"/>
      <c r="O1102" s="171"/>
      <c r="P1102" s="88" t="s">
        <v>5070</v>
      </c>
    </row>
    <row r="1103" spans="1:16" x14ac:dyDescent="0.25">
      <c r="A1103" s="5">
        <v>150</v>
      </c>
      <c r="B1103" s="60"/>
      <c r="C1103" s="66">
        <f>'Baru NIS'!C157</f>
        <v>102519680</v>
      </c>
      <c r="D1103" s="61"/>
      <c r="E1103" s="77" t="s">
        <v>2533</v>
      </c>
      <c r="F1103" s="78" t="s">
        <v>381</v>
      </c>
      <c r="G1103" s="88"/>
      <c r="H1103" s="88"/>
      <c r="I1103" s="88"/>
      <c r="J1103" s="72" t="s">
        <v>2399</v>
      </c>
      <c r="K1103" s="171"/>
      <c r="L1103" s="168"/>
      <c r="M1103" s="171"/>
      <c r="N1103" s="171"/>
      <c r="O1103" s="171"/>
      <c r="P1103" s="88" t="s">
        <v>5070</v>
      </c>
    </row>
    <row r="1104" spans="1:16" x14ac:dyDescent="0.25">
      <c r="A1104" s="5">
        <v>151</v>
      </c>
      <c r="B1104" s="60"/>
      <c r="C1104" s="66">
        <f>'Baru NIS'!C52</f>
        <v>102519575</v>
      </c>
      <c r="D1104" s="61"/>
      <c r="E1104" s="67" t="s">
        <v>2534</v>
      </c>
      <c r="F1104" s="68" t="s">
        <v>381</v>
      </c>
      <c r="G1104" s="88"/>
      <c r="H1104" s="88"/>
      <c r="I1104" s="88"/>
      <c r="J1104" s="72" t="s">
        <v>2397</v>
      </c>
      <c r="K1104" s="171"/>
      <c r="L1104" s="168"/>
      <c r="M1104" s="171"/>
      <c r="N1104" s="171"/>
      <c r="O1104" s="171"/>
      <c r="P1104" s="88" t="s">
        <v>5070</v>
      </c>
    </row>
    <row r="1105" spans="1:16" x14ac:dyDescent="0.25">
      <c r="A1105" s="5">
        <v>152</v>
      </c>
      <c r="B1105" s="60"/>
      <c r="C1105" s="66">
        <f>'Baru NIS'!C88</f>
        <v>102519611</v>
      </c>
      <c r="D1105" s="61"/>
      <c r="E1105" s="67" t="s">
        <v>2535</v>
      </c>
      <c r="F1105" s="68" t="s">
        <v>381</v>
      </c>
      <c r="G1105" s="88"/>
      <c r="H1105" s="88"/>
      <c r="I1105" s="88"/>
      <c r="J1105" s="72" t="s">
        <v>2389</v>
      </c>
      <c r="K1105" s="171"/>
      <c r="L1105" s="168"/>
      <c r="M1105" s="171"/>
      <c r="N1105" s="171"/>
      <c r="O1105" s="171"/>
      <c r="P1105" s="88" t="s">
        <v>5070</v>
      </c>
    </row>
    <row r="1106" spans="1:16" x14ac:dyDescent="0.25">
      <c r="A1106" s="5">
        <v>153</v>
      </c>
      <c r="B1106" s="60"/>
      <c r="C1106" s="66">
        <f>'Baru NIS'!C368</f>
        <v>102519891</v>
      </c>
      <c r="D1106" s="61"/>
      <c r="E1106" s="73" t="s">
        <v>2536</v>
      </c>
      <c r="F1106" s="74" t="s">
        <v>381</v>
      </c>
      <c r="G1106" s="88"/>
      <c r="H1106" s="88"/>
      <c r="I1106" s="88"/>
      <c r="J1106" s="72" t="s">
        <v>2402</v>
      </c>
      <c r="K1106" s="171"/>
      <c r="L1106" s="168"/>
      <c r="M1106" s="171"/>
      <c r="N1106" s="171"/>
      <c r="O1106" s="171"/>
      <c r="P1106" s="88" t="s">
        <v>5070</v>
      </c>
    </row>
    <row r="1107" spans="1:16" x14ac:dyDescent="0.25">
      <c r="A1107" s="5">
        <v>154</v>
      </c>
      <c r="B1107" s="60"/>
      <c r="C1107" s="66" t="e">
        <f>'Baru NIS'!#REF!</f>
        <v>#REF!</v>
      </c>
      <c r="D1107" s="61"/>
      <c r="E1107" s="73" t="s">
        <v>2537</v>
      </c>
      <c r="F1107" s="74" t="s">
        <v>379</v>
      </c>
      <c r="G1107" s="88"/>
      <c r="H1107" s="88"/>
      <c r="I1107" s="88"/>
      <c r="J1107" s="72" t="s">
        <v>2402</v>
      </c>
      <c r="K1107" s="171"/>
      <c r="L1107" s="168"/>
      <c r="M1107" s="171"/>
      <c r="N1107" s="171"/>
      <c r="O1107" s="171"/>
      <c r="P1107" s="88" t="s">
        <v>2538</v>
      </c>
    </row>
    <row r="1108" spans="1:16" x14ac:dyDescent="0.25">
      <c r="A1108" s="5">
        <v>155</v>
      </c>
      <c r="B1108" s="60"/>
      <c r="C1108" s="66">
        <f>'Baru NIS'!C124</f>
        <v>102519647</v>
      </c>
      <c r="D1108" s="61"/>
      <c r="E1108" s="67" t="s">
        <v>2539</v>
      </c>
      <c r="F1108" s="68" t="s">
        <v>381</v>
      </c>
      <c r="G1108" s="88"/>
      <c r="H1108" s="88"/>
      <c r="I1108" s="88"/>
      <c r="J1108" s="72" t="s">
        <v>2371</v>
      </c>
      <c r="K1108" s="171"/>
      <c r="L1108" s="168"/>
      <c r="M1108" s="171"/>
      <c r="N1108" s="171"/>
      <c r="O1108" s="171"/>
      <c r="P1108" s="88" t="s">
        <v>5070</v>
      </c>
    </row>
    <row r="1109" spans="1:16" x14ac:dyDescent="0.25">
      <c r="A1109" s="5">
        <v>156</v>
      </c>
      <c r="B1109" s="60"/>
      <c r="C1109" s="66">
        <f>'Baru NIS'!C125</f>
        <v>102519648</v>
      </c>
      <c r="D1109" s="61"/>
      <c r="E1109" s="69" t="s">
        <v>2540</v>
      </c>
      <c r="F1109" s="57" t="s">
        <v>381</v>
      </c>
      <c r="G1109" s="88"/>
      <c r="H1109" s="88"/>
      <c r="I1109" s="88"/>
      <c r="J1109" s="72" t="s">
        <v>2371</v>
      </c>
      <c r="K1109" s="171"/>
      <c r="L1109" s="168"/>
      <c r="M1109" s="171"/>
      <c r="N1109" s="171"/>
      <c r="O1109" s="171"/>
      <c r="P1109" s="88" t="s">
        <v>5070</v>
      </c>
    </row>
    <row r="1110" spans="1:16" x14ac:dyDescent="0.25">
      <c r="A1110" s="5">
        <v>157</v>
      </c>
      <c r="B1110" s="60"/>
      <c r="C1110" s="66">
        <f>'Baru NIS'!C369</f>
        <v>102519892</v>
      </c>
      <c r="D1110" s="61"/>
      <c r="E1110" s="73" t="s">
        <v>2541</v>
      </c>
      <c r="F1110" s="74" t="s">
        <v>379</v>
      </c>
      <c r="G1110" s="88"/>
      <c r="H1110" s="88"/>
      <c r="I1110" s="88"/>
      <c r="J1110" s="72" t="s">
        <v>2402</v>
      </c>
      <c r="K1110" s="171"/>
      <c r="L1110" s="168"/>
      <c r="M1110" s="171"/>
      <c r="N1110" s="171"/>
      <c r="O1110" s="171"/>
      <c r="P1110" s="88" t="s">
        <v>5070</v>
      </c>
    </row>
    <row r="1111" spans="1:16" x14ac:dyDescent="0.25">
      <c r="A1111" s="5">
        <v>158</v>
      </c>
      <c r="B1111" s="60"/>
      <c r="C1111" s="66">
        <f>'Baru NIS'!C126</f>
        <v>102519649</v>
      </c>
      <c r="D1111" s="61"/>
      <c r="E1111" s="69" t="s">
        <v>2542</v>
      </c>
      <c r="F1111" s="57" t="s">
        <v>379</v>
      </c>
      <c r="G1111" s="88"/>
      <c r="H1111" s="88"/>
      <c r="I1111" s="88"/>
      <c r="J1111" s="72" t="s">
        <v>2371</v>
      </c>
      <c r="K1111" s="171"/>
      <c r="L1111" s="168"/>
      <c r="M1111" s="171"/>
      <c r="N1111" s="171"/>
      <c r="O1111" s="171"/>
      <c r="P1111" s="88" t="s">
        <v>5070</v>
      </c>
    </row>
    <row r="1112" spans="1:16" x14ac:dyDescent="0.25">
      <c r="A1112" s="5">
        <v>159</v>
      </c>
      <c r="B1112" s="60"/>
      <c r="C1112" s="66">
        <f>'Baru NIS'!C89</f>
        <v>102519612</v>
      </c>
      <c r="D1112" s="61"/>
      <c r="E1112" s="67" t="s">
        <v>2543</v>
      </c>
      <c r="F1112" s="68" t="s">
        <v>381</v>
      </c>
      <c r="G1112" s="88"/>
      <c r="H1112" s="88"/>
      <c r="I1112" s="88"/>
      <c r="J1112" s="72" t="s">
        <v>2389</v>
      </c>
      <c r="K1112" s="171"/>
      <c r="L1112" s="168"/>
      <c r="M1112" s="171"/>
      <c r="N1112" s="171"/>
      <c r="O1112" s="171"/>
      <c r="P1112" s="88" t="s">
        <v>5070</v>
      </c>
    </row>
    <row r="1113" spans="1:16" x14ac:dyDescent="0.25">
      <c r="A1113" s="5">
        <v>160</v>
      </c>
      <c r="B1113" s="60"/>
      <c r="C1113" s="66">
        <f>'Baru NIS'!C262</f>
        <v>102519825</v>
      </c>
      <c r="D1113" s="61"/>
      <c r="E1113" s="73" t="s">
        <v>2544</v>
      </c>
      <c r="F1113" s="74" t="s">
        <v>379</v>
      </c>
      <c r="G1113" s="88"/>
      <c r="H1113" s="88"/>
      <c r="I1113" s="88"/>
      <c r="J1113" s="72" t="s">
        <v>2377</v>
      </c>
      <c r="K1113" s="171"/>
      <c r="L1113" s="168"/>
      <c r="M1113" s="171"/>
      <c r="N1113" s="171"/>
      <c r="O1113" s="171"/>
      <c r="P1113" s="88" t="s">
        <v>5070</v>
      </c>
    </row>
    <row r="1114" spans="1:16" x14ac:dyDescent="0.25">
      <c r="A1114" s="5">
        <v>161</v>
      </c>
      <c r="B1114" s="60"/>
      <c r="C1114" s="66">
        <f>'Baru NIS'!C53</f>
        <v>102519576</v>
      </c>
      <c r="D1114" s="61"/>
      <c r="E1114" s="67" t="s">
        <v>2545</v>
      </c>
      <c r="F1114" s="68" t="s">
        <v>381</v>
      </c>
      <c r="G1114" s="88"/>
      <c r="H1114" s="88"/>
      <c r="I1114" s="88"/>
      <c r="J1114" s="72" t="s">
        <v>2397</v>
      </c>
      <c r="K1114" s="171"/>
      <c r="L1114" s="168"/>
      <c r="M1114" s="171"/>
      <c r="N1114" s="171"/>
      <c r="O1114" s="171"/>
      <c r="P1114" s="88" t="s">
        <v>5070</v>
      </c>
    </row>
    <row r="1115" spans="1:16" x14ac:dyDescent="0.25">
      <c r="A1115" s="5">
        <v>162</v>
      </c>
      <c r="B1115" s="60"/>
      <c r="C1115" s="66">
        <f>'Baru NIS'!C370</f>
        <v>102519893</v>
      </c>
      <c r="D1115" s="61"/>
      <c r="E1115" s="73" t="s">
        <v>2546</v>
      </c>
      <c r="F1115" s="74" t="s">
        <v>381</v>
      </c>
      <c r="G1115" s="88"/>
      <c r="H1115" s="88"/>
      <c r="I1115" s="88"/>
      <c r="J1115" s="72" t="s">
        <v>2402</v>
      </c>
      <c r="K1115" s="171"/>
      <c r="L1115" s="168"/>
      <c r="M1115" s="171"/>
      <c r="N1115" s="171"/>
      <c r="O1115" s="171"/>
      <c r="P1115" s="88" t="s">
        <v>5070</v>
      </c>
    </row>
    <row r="1116" spans="1:16" x14ac:dyDescent="0.25">
      <c r="A1116" s="5">
        <v>163</v>
      </c>
      <c r="B1116" s="60"/>
      <c r="C1116" s="66" t="e">
        <f>'Baru NIS'!#REF!</f>
        <v>#REF!</v>
      </c>
      <c r="D1116" s="61"/>
      <c r="E1116" s="67" t="s">
        <v>2547</v>
      </c>
      <c r="F1116" s="68" t="s">
        <v>381</v>
      </c>
      <c r="G1116" s="88"/>
      <c r="H1116" s="88"/>
      <c r="I1116" s="88"/>
      <c r="J1116" s="72" t="s">
        <v>2371</v>
      </c>
      <c r="K1116" s="171"/>
      <c r="L1116" s="168"/>
      <c r="M1116" s="171"/>
      <c r="N1116" s="171"/>
      <c r="O1116" s="171"/>
      <c r="P1116" s="88" t="s">
        <v>5070</v>
      </c>
    </row>
    <row r="1117" spans="1:16" x14ac:dyDescent="0.25">
      <c r="A1117" s="5">
        <v>164</v>
      </c>
      <c r="B1117" s="60"/>
      <c r="C1117" s="66">
        <f>'Baru NIS'!C263</f>
        <v>102519826</v>
      </c>
      <c r="D1117" s="61"/>
      <c r="E1117" s="73" t="s">
        <v>2548</v>
      </c>
      <c r="F1117" s="74" t="s">
        <v>381</v>
      </c>
      <c r="G1117" s="88"/>
      <c r="H1117" s="88"/>
      <c r="I1117" s="88"/>
      <c r="J1117" s="72" t="s">
        <v>2377</v>
      </c>
      <c r="K1117" s="171"/>
      <c r="L1117" s="168"/>
      <c r="M1117" s="171"/>
      <c r="N1117" s="171"/>
      <c r="O1117" s="171"/>
      <c r="P1117" s="88" t="s">
        <v>5070</v>
      </c>
    </row>
    <row r="1118" spans="1:16" x14ac:dyDescent="0.25">
      <c r="A1118" s="5">
        <v>165</v>
      </c>
      <c r="B1118" s="60"/>
      <c r="C1118" s="66">
        <f>'Baru NIS'!C158</f>
        <v>102519681</v>
      </c>
      <c r="D1118" s="61"/>
      <c r="E1118" s="77" t="s">
        <v>2549</v>
      </c>
      <c r="F1118" s="78" t="s">
        <v>379</v>
      </c>
      <c r="G1118" s="88"/>
      <c r="H1118" s="88"/>
      <c r="I1118" s="88"/>
      <c r="J1118" s="72" t="s">
        <v>2399</v>
      </c>
      <c r="K1118" s="171"/>
      <c r="L1118" s="168"/>
      <c r="M1118" s="171"/>
      <c r="N1118" s="171"/>
      <c r="O1118" s="171"/>
      <c r="P1118" s="88" t="s">
        <v>5070</v>
      </c>
    </row>
    <row r="1119" spans="1:16" x14ac:dyDescent="0.25">
      <c r="A1119" s="5">
        <v>166</v>
      </c>
      <c r="B1119" s="60"/>
      <c r="C1119" s="66">
        <f>'Baru NIS'!C54</f>
        <v>102519577</v>
      </c>
      <c r="D1119" s="61"/>
      <c r="E1119" s="69" t="s">
        <v>2550</v>
      </c>
      <c r="F1119" s="57" t="s">
        <v>381</v>
      </c>
      <c r="G1119" s="88"/>
      <c r="H1119" s="88"/>
      <c r="I1119" s="88"/>
      <c r="J1119" s="72" t="s">
        <v>2397</v>
      </c>
      <c r="K1119" s="171"/>
      <c r="L1119" s="168"/>
      <c r="M1119" s="171"/>
      <c r="N1119" s="171"/>
      <c r="O1119" s="171"/>
      <c r="P1119" s="88" t="s">
        <v>5070</v>
      </c>
    </row>
    <row r="1120" spans="1:16" ht="15" customHeight="1" x14ac:dyDescent="0.25">
      <c r="A1120" s="5">
        <v>167</v>
      </c>
      <c r="B1120" s="60"/>
      <c r="C1120" s="66">
        <f>'Baru NIS'!C193</f>
        <v>102519716</v>
      </c>
      <c r="D1120" s="61"/>
      <c r="E1120" s="67" t="s">
        <v>2551</v>
      </c>
      <c r="F1120" s="68" t="s">
        <v>381</v>
      </c>
      <c r="G1120" s="88"/>
      <c r="H1120" s="88"/>
      <c r="I1120" s="88"/>
      <c r="J1120" s="72" t="s">
        <v>2373</v>
      </c>
      <c r="K1120" s="171"/>
      <c r="L1120" s="168"/>
      <c r="M1120" s="171"/>
      <c r="N1120" s="171"/>
      <c r="O1120" s="171"/>
      <c r="P1120" s="88" t="s">
        <v>5070</v>
      </c>
    </row>
    <row r="1121" spans="1:16" x14ac:dyDescent="0.25">
      <c r="A1121" s="5">
        <v>168</v>
      </c>
      <c r="B1121" s="60"/>
      <c r="C1121" s="66">
        <f>'Baru NIS'!C194</f>
        <v>102519717</v>
      </c>
      <c r="D1121" s="61"/>
      <c r="E1121" s="69" t="s">
        <v>2552</v>
      </c>
      <c r="F1121" s="57" t="s">
        <v>379</v>
      </c>
      <c r="G1121" s="88"/>
      <c r="H1121" s="88"/>
      <c r="I1121" s="88"/>
      <c r="J1121" s="72" t="s">
        <v>2373</v>
      </c>
      <c r="K1121" s="171"/>
      <c r="L1121" s="168"/>
      <c r="M1121" s="171"/>
      <c r="N1121" s="171"/>
      <c r="O1121" s="171"/>
      <c r="P1121" s="88" t="s">
        <v>5070</v>
      </c>
    </row>
    <row r="1122" spans="1:16" x14ac:dyDescent="0.25">
      <c r="A1122" s="5">
        <v>169</v>
      </c>
      <c r="B1122" s="60"/>
      <c r="C1122" s="66">
        <f>'Baru NIS'!C55</f>
        <v>102519578</v>
      </c>
      <c r="D1122" s="61"/>
      <c r="E1122" s="67" t="s">
        <v>2553</v>
      </c>
      <c r="F1122" s="68" t="s">
        <v>379</v>
      </c>
      <c r="G1122" s="88"/>
      <c r="H1122" s="88"/>
      <c r="I1122" s="88"/>
      <c r="J1122" s="72" t="s">
        <v>2397</v>
      </c>
      <c r="K1122" s="171"/>
      <c r="L1122" s="168"/>
      <c r="M1122" s="171"/>
      <c r="N1122" s="171"/>
      <c r="O1122" s="171"/>
      <c r="P1122" s="88" t="s">
        <v>5070</v>
      </c>
    </row>
    <row r="1123" spans="1:16" x14ac:dyDescent="0.25">
      <c r="A1123" s="5">
        <v>170</v>
      </c>
      <c r="B1123" s="60"/>
      <c r="C1123" s="66">
        <f>'Baru NIS'!C127</f>
        <v>102519650</v>
      </c>
      <c r="D1123" s="61"/>
      <c r="E1123" s="67" t="s">
        <v>2554</v>
      </c>
      <c r="F1123" s="68" t="s">
        <v>381</v>
      </c>
      <c r="G1123" s="88"/>
      <c r="H1123" s="88"/>
      <c r="I1123" s="88"/>
      <c r="J1123" s="72" t="s">
        <v>2371</v>
      </c>
      <c r="K1123" s="171"/>
      <c r="L1123" s="168"/>
      <c r="M1123" s="171"/>
      <c r="N1123" s="171"/>
      <c r="O1123" s="171"/>
      <c r="P1123" s="88" t="s">
        <v>5070</v>
      </c>
    </row>
    <row r="1124" spans="1:16" x14ac:dyDescent="0.25">
      <c r="A1124" s="5">
        <v>171</v>
      </c>
      <c r="B1124" s="60"/>
      <c r="C1124" s="66">
        <f>'Baru NIS'!C304</f>
        <v>102519787</v>
      </c>
      <c r="D1124" s="61"/>
      <c r="E1124" s="58" t="s">
        <v>2555</v>
      </c>
      <c r="F1124" s="5" t="s">
        <v>379</v>
      </c>
      <c r="G1124" s="88"/>
      <c r="H1124" s="88"/>
      <c r="I1124" s="88"/>
      <c r="J1124" s="72" t="s">
        <v>2375</v>
      </c>
      <c r="K1124" s="171"/>
      <c r="L1124" s="168"/>
      <c r="M1124" s="171"/>
      <c r="N1124" s="171"/>
      <c r="O1124" s="171"/>
      <c r="P1124" s="88" t="s">
        <v>5070</v>
      </c>
    </row>
    <row r="1125" spans="1:16" x14ac:dyDescent="0.25">
      <c r="A1125" s="5">
        <v>172</v>
      </c>
      <c r="B1125" s="60"/>
      <c r="C1125" s="66">
        <f>'Baru NIS'!C264</f>
        <v>102519827</v>
      </c>
      <c r="D1125" s="61"/>
      <c r="E1125" s="73" t="s">
        <v>2556</v>
      </c>
      <c r="F1125" s="74" t="s">
        <v>379</v>
      </c>
      <c r="G1125" s="88"/>
      <c r="H1125" s="88"/>
      <c r="I1125" s="88"/>
      <c r="J1125" s="72" t="s">
        <v>2377</v>
      </c>
      <c r="K1125" s="171"/>
      <c r="L1125" s="168"/>
      <c r="M1125" s="171"/>
      <c r="N1125" s="171"/>
      <c r="O1125" s="171"/>
      <c r="P1125" s="88" t="s">
        <v>5070</v>
      </c>
    </row>
    <row r="1126" spans="1:16" x14ac:dyDescent="0.25">
      <c r="A1126" s="5">
        <v>173</v>
      </c>
      <c r="B1126" s="60"/>
      <c r="C1126" s="66">
        <f>'Baru NIS'!C195</f>
        <v>102519718</v>
      </c>
      <c r="D1126" s="61"/>
      <c r="E1126" s="67" t="s">
        <v>2557</v>
      </c>
      <c r="F1126" s="68" t="s">
        <v>379</v>
      </c>
      <c r="G1126" s="88"/>
      <c r="H1126" s="88"/>
      <c r="I1126" s="88"/>
      <c r="J1126" s="72" t="s">
        <v>2373</v>
      </c>
      <c r="K1126" s="171"/>
      <c r="L1126" s="168"/>
      <c r="M1126" s="171"/>
      <c r="N1126" s="171"/>
      <c r="O1126" s="171"/>
      <c r="P1126" s="88" t="s">
        <v>5070</v>
      </c>
    </row>
    <row r="1127" spans="1:16" x14ac:dyDescent="0.25">
      <c r="A1127" s="5">
        <v>174</v>
      </c>
      <c r="B1127" s="60"/>
      <c r="C1127" s="66">
        <f>'Baru NIS'!C332</f>
        <v>102519855</v>
      </c>
      <c r="D1127" s="61"/>
      <c r="E1127" s="58" t="s">
        <v>2558</v>
      </c>
      <c r="F1127" s="5" t="s">
        <v>379</v>
      </c>
      <c r="G1127" s="88"/>
      <c r="H1127" s="88"/>
      <c r="I1127" s="88"/>
      <c r="J1127" s="72" t="s">
        <v>2383</v>
      </c>
      <c r="K1127" s="171"/>
      <c r="L1127" s="168"/>
      <c r="M1127" s="171"/>
      <c r="N1127" s="171"/>
      <c r="O1127" s="171"/>
      <c r="P1127" s="88" t="s">
        <v>5070</v>
      </c>
    </row>
    <row r="1128" spans="1:16" x14ac:dyDescent="0.25">
      <c r="A1128" s="5">
        <v>175</v>
      </c>
      <c r="B1128" s="60"/>
      <c r="C1128" s="66">
        <f>'Baru NIS'!C90</f>
        <v>102519613</v>
      </c>
      <c r="D1128" s="61"/>
      <c r="E1128" s="67" t="s">
        <v>2559</v>
      </c>
      <c r="F1128" s="68" t="s">
        <v>381</v>
      </c>
      <c r="G1128" s="88"/>
      <c r="H1128" s="88"/>
      <c r="I1128" s="88"/>
      <c r="J1128" s="72" t="s">
        <v>2389</v>
      </c>
      <c r="K1128" s="171"/>
      <c r="L1128" s="168"/>
      <c r="M1128" s="171"/>
      <c r="N1128" s="171"/>
      <c r="O1128" s="171"/>
      <c r="P1128" s="88" t="s">
        <v>5070</v>
      </c>
    </row>
    <row r="1129" spans="1:16" x14ac:dyDescent="0.25">
      <c r="A1129" s="5">
        <v>176</v>
      </c>
      <c r="B1129" s="60"/>
      <c r="C1129" s="66">
        <f>'Baru NIS'!C56</f>
        <v>102519579</v>
      </c>
      <c r="D1129" s="61"/>
      <c r="E1129" s="69" t="s">
        <v>2560</v>
      </c>
      <c r="F1129" s="57" t="s">
        <v>381</v>
      </c>
      <c r="G1129" s="88"/>
      <c r="H1129" s="88"/>
      <c r="I1129" s="88"/>
      <c r="J1129" s="72" t="s">
        <v>2397</v>
      </c>
      <c r="K1129" s="171"/>
      <c r="L1129" s="168"/>
      <c r="M1129" s="171"/>
      <c r="N1129" s="171"/>
      <c r="O1129" s="171"/>
      <c r="P1129" s="88" t="s">
        <v>5070</v>
      </c>
    </row>
    <row r="1130" spans="1:16" x14ac:dyDescent="0.25">
      <c r="A1130" s="5">
        <v>177</v>
      </c>
      <c r="B1130" s="60"/>
      <c r="C1130" s="66">
        <f>'Baru NIS'!C377</f>
        <v>102519900</v>
      </c>
      <c r="D1130" s="61"/>
      <c r="E1130" s="67" t="s">
        <v>2561</v>
      </c>
      <c r="F1130" s="68" t="s">
        <v>381</v>
      </c>
      <c r="G1130" s="88"/>
      <c r="H1130" s="88"/>
      <c r="I1130" s="88"/>
      <c r="J1130" s="72" t="s">
        <v>2397</v>
      </c>
      <c r="K1130" s="171"/>
      <c r="L1130" s="168"/>
      <c r="M1130" s="171"/>
      <c r="N1130" s="171"/>
      <c r="O1130" s="171"/>
      <c r="P1130" s="88" t="s">
        <v>5070</v>
      </c>
    </row>
    <row r="1131" spans="1:16" x14ac:dyDescent="0.25">
      <c r="A1131" s="5">
        <v>178</v>
      </c>
      <c r="B1131" s="60"/>
      <c r="C1131" s="66">
        <f>'Baru NIS'!C18</f>
        <v>102519541</v>
      </c>
      <c r="D1131" s="61"/>
      <c r="E1131" s="67" t="s">
        <v>2562</v>
      </c>
      <c r="F1131" s="68" t="s">
        <v>381</v>
      </c>
      <c r="G1131" s="88"/>
      <c r="H1131" s="88"/>
      <c r="I1131" s="88"/>
      <c r="J1131" s="72" t="s">
        <v>2386</v>
      </c>
      <c r="K1131" s="171"/>
      <c r="L1131" s="168"/>
      <c r="M1131" s="171"/>
      <c r="N1131" s="171"/>
      <c r="O1131" s="171"/>
      <c r="P1131" s="88" t="s">
        <v>5070</v>
      </c>
    </row>
    <row r="1132" spans="1:16" x14ac:dyDescent="0.25">
      <c r="A1132" s="5">
        <v>179</v>
      </c>
      <c r="B1132" s="60"/>
      <c r="C1132" s="66">
        <f>'Baru NIS'!C19</f>
        <v>102519542</v>
      </c>
      <c r="D1132" s="61"/>
      <c r="E1132" s="69" t="s">
        <v>2563</v>
      </c>
      <c r="F1132" s="57" t="s">
        <v>379</v>
      </c>
      <c r="G1132" s="88"/>
      <c r="H1132" s="88"/>
      <c r="I1132" s="88"/>
      <c r="J1132" s="72" t="s">
        <v>2386</v>
      </c>
      <c r="K1132" s="171"/>
      <c r="L1132" s="168"/>
      <c r="M1132" s="171"/>
      <c r="N1132" s="171"/>
      <c r="O1132" s="171"/>
      <c r="P1132" s="88" t="s">
        <v>5070</v>
      </c>
    </row>
    <row r="1133" spans="1:16" x14ac:dyDescent="0.25">
      <c r="A1133" s="5">
        <v>180</v>
      </c>
      <c r="B1133" s="60"/>
      <c r="C1133" s="66">
        <f>'Baru NIS'!C305</f>
        <v>102519788</v>
      </c>
      <c r="D1133" s="61"/>
      <c r="E1133" s="69" t="s">
        <v>2564</v>
      </c>
      <c r="F1133" s="5" t="s">
        <v>379</v>
      </c>
      <c r="G1133" s="88"/>
      <c r="H1133" s="88"/>
      <c r="I1133" s="88"/>
      <c r="J1133" s="72" t="s">
        <v>2375</v>
      </c>
      <c r="K1133" s="171"/>
      <c r="L1133" s="168"/>
      <c r="M1133" s="171"/>
      <c r="N1133" s="171"/>
      <c r="O1133" s="171"/>
      <c r="P1133" s="88" t="s">
        <v>5070</v>
      </c>
    </row>
    <row r="1134" spans="1:16" x14ac:dyDescent="0.25">
      <c r="A1134" s="5">
        <v>181</v>
      </c>
      <c r="B1134" s="60"/>
      <c r="C1134" s="66">
        <f>'Baru NIS'!C371</f>
        <v>102519894</v>
      </c>
      <c r="D1134" s="61"/>
      <c r="E1134" s="73" t="s">
        <v>2565</v>
      </c>
      <c r="F1134" s="74" t="s">
        <v>381</v>
      </c>
      <c r="G1134" s="88"/>
      <c r="H1134" s="88"/>
      <c r="I1134" s="88"/>
      <c r="J1134" s="72" t="s">
        <v>2402</v>
      </c>
      <c r="K1134" s="171"/>
      <c r="L1134" s="168"/>
      <c r="M1134" s="171"/>
      <c r="N1134" s="171"/>
      <c r="O1134" s="171"/>
      <c r="P1134" s="88" t="s">
        <v>5070</v>
      </c>
    </row>
    <row r="1135" spans="1:16" x14ac:dyDescent="0.25">
      <c r="A1135" s="5">
        <v>182</v>
      </c>
      <c r="B1135" s="60"/>
      <c r="C1135" s="66">
        <f>'Baru NIS'!C333</f>
        <v>102519856</v>
      </c>
      <c r="D1135" s="61"/>
      <c r="E1135" s="73" t="s">
        <v>2566</v>
      </c>
      <c r="F1135" s="74" t="s">
        <v>381</v>
      </c>
      <c r="G1135" s="88"/>
      <c r="H1135" s="88"/>
      <c r="I1135" s="88"/>
      <c r="J1135" s="72" t="s">
        <v>2383</v>
      </c>
      <c r="K1135" s="171"/>
      <c r="L1135" s="168"/>
      <c r="M1135" s="171"/>
      <c r="N1135" s="171"/>
      <c r="O1135" s="171"/>
      <c r="P1135" s="88" t="s">
        <v>5070</v>
      </c>
    </row>
    <row r="1136" spans="1:16" x14ac:dyDescent="0.25">
      <c r="A1136" s="5">
        <v>183</v>
      </c>
      <c r="B1136" s="60"/>
      <c r="C1136" s="66">
        <f>'Baru NIS'!C196</f>
        <v>102519719</v>
      </c>
      <c r="D1136" s="61"/>
      <c r="E1136" s="67" t="s">
        <v>2567</v>
      </c>
      <c r="F1136" s="68" t="s">
        <v>381</v>
      </c>
      <c r="G1136" s="88"/>
      <c r="H1136" s="88"/>
      <c r="I1136" s="88"/>
      <c r="J1136" s="72" t="s">
        <v>2373</v>
      </c>
      <c r="K1136" s="171"/>
      <c r="L1136" s="168"/>
      <c r="M1136" s="171"/>
      <c r="N1136" s="171"/>
      <c r="O1136" s="171"/>
      <c r="P1136" s="88" t="s">
        <v>5070</v>
      </c>
    </row>
    <row r="1137" spans="1:16" x14ac:dyDescent="0.25">
      <c r="A1137" s="5">
        <v>184</v>
      </c>
      <c r="B1137" s="60"/>
      <c r="C1137" s="66">
        <f>'Baru NIS'!C20</f>
        <v>102519543</v>
      </c>
      <c r="D1137" s="61"/>
      <c r="E1137" s="67" t="s">
        <v>2568</v>
      </c>
      <c r="F1137" s="68" t="s">
        <v>381</v>
      </c>
      <c r="G1137" s="88"/>
      <c r="H1137" s="88"/>
      <c r="I1137" s="88"/>
      <c r="J1137" s="72" t="s">
        <v>2386</v>
      </c>
      <c r="K1137" s="171"/>
      <c r="L1137" s="168"/>
      <c r="M1137" s="171"/>
      <c r="N1137" s="171"/>
      <c r="O1137" s="171"/>
      <c r="P1137" s="88" t="s">
        <v>5070</v>
      </c>
    </row>
    <row r="1138" spans="1:16" x14ac:dyDescent="0.25">
      <c r="A1138" s="5">
        <v>185</v>
      </c>
      <c r="B1138" s="60"/>
      <c r="C1138" s="66">
        <f>'Baru NIS'!C265</f>
        <v>102519828</v>
      </c>
      <c r="D1138" s="61"/>
      <c r="E1138" s="73" t="s">
        <v>2569</v>
      </c>
      <c r="F1138" s="74" t="s">
        <v>381</v>
      </c>
      <c r="G1138" s="88"/>
      <c r="H1138" s="88"/>
      <c r="I1138" s="88"/>
      <c r="J1138" s="72" t="s">
        <v>2377</v>
      </c>
      <c r="K1138" s="171"/>
      <c r="L1138" s="168"/>
      <c r="M1138" s="171"/>
      <c r="N1138" s="171"/>
      <c r="O1138" s="171"/>
      <c r="P1138" s="88" t="s">
        <v>5070</v>
      </c>
    </row>
    <row r="1139" spans="1:16" x14ac:dyDescent="0.25">
      <c r="A1139" s="5">
        <v>186</v>
      </c>
      <c r="B1139" s="60"/>
      <c r="C1139" s="66">
        <f>'Baru NIS'!C21</f>
        <v>102519544</v>
      </c>
      <c r="D1139" s="61"/>
      <c r="E1139" s="67" t="s">
        <v>2570</v>
      </c>
      <c r="F1139" s="68" t="s">
        <v>381</v>
      </c>
      <c r="G1139" s="88"/>
      <c r="H1139" s="88"/>
      <c r="I1139" s="88"/>
      <c r="J1139" s="72" t="s">
        <v>2386</v>
      </c>
      <c r="K1139" s="171"/>
      <c r="L1139" s="168"/>
      <c r="M1139" s="171"/>
      <c r="N1139" s="171"/>
      <c r="O1139" s="171"/>
      <c r="P1139" s="88" t="s">
        <v>5070</v>
      </c>
    </row>
    <row r="1140" spans="1:16" x14ac:dyDescent="0.25">
      <c r="A1140" s="5">
        <v>187</v>
      </c>
      <c r="B1140" s="60"/>
      <c r="C1140" s="66">
        <f>'Baru NIS'!C224</f>
        <v>102519747</v>
      </c>
      <c r="D1140" s="61"/>
      <c r="E1140" s="73" t="s">
        <v>2571</v>
      </c>
      <c r="F1140" s="74" t="s">
        <v>381</v>
      </c>
      <c r="G1140" s="88"/>
      <c r="H1140" s="88"/>
      <c r="I1140" s="88"/>
      <c r="J1140" s="72" t="s">
        <v>2379</v>
      </c>
      <c r="K1140" s="171"/>
      <c r="L1140" s="168"/>
      <c r="M1140" s="171"/>
      <c r="N1140" s="171"/>
      <c r="O1140" s="171"/>
      <c r="P1140" s="88" t="s">
        <v>5070</v>
      </c>
    </row>
    <row r="1141" spans="1:16" x14ac:dyDescent="0.25">
      <c r="A1141" s="5">
        <v>188</v>
      </c>
      <c r="B1141" s="60"/>
      <c r="C1141" s="66">
        <f>'Baru NIS'!C197</f>
        <v>102519720</v>
      </c>
      <c r="D1141" s="61"/>
      <c r="E1141" s="67" t="s">
        <v>2572</v>
      </c>
      <c r="F1141" s="68" t="s">
        <v>379</v>
      </c>
      <c r="G1141" s="88"/>
      <c r="H1141" s="88"/>
      <c r="I1141" s="88"/>
      <c r="J1141" s="72" t="s">
        <v>2373</v>
      </c>
      <c r="K1141" s="171"/>
      <c r="L1141" s="168"/>
      <c r="M1141" s="171"/>
      <c r="N1141" s="171"/>
      <c r="O1141" s="171"/>
      <c r="P1141" s="88" t="s">
        <v>5070</v>
      </c>
    </row>
    <row r="1142" spans="1:16" x14ac:dyDescent="0.25">
      <c r="A1142" s="5">
        <v>189</v>
      </c>
      <c r="B1142" s="60"/>
      <c r="C1142" s="66">
        <f>'Baru NIS'!C306</f>
        <v>102519789</v>
      </c>
      <c r="D1142" s="61"/>
      <c r="E1142" s="73" t="s">
        <v>2573</v>
      </c>
      <c r="F1142" s="74" t="s">
        <v>379</v>
      </c>
      <c r="G1142" s="88"/>
      <c r="H1142" s="88"/>
      <c r="I1142" s="88"/>
      <c r="J1142" s="72" t="s">
        <v>2375</v>
      </c>
      <c r="K1142" s="171"/>
      <c r="L1142" s="168"/>
      <c r="M1142" s="171"/>
      <c r="N1142" s="171"/>
      <c r="O1142" s="171"/>
      <c r="P1142" s="88" t="s">
        <v>5070</v>
      </c>
    </row>
    <row r="1143" spans="1:16" x14ac:dyDescent="0.25">
      <c r="A1143" s="5">
        <v>190</v>
      </c>
      <c r="B1143" s="60"/>
      <c r="C1143" s="66">
        <f>'Baru NIS'!C334</f>
        <v>102519857</v>
      </c>
      <c r="D1143" s="61"/>
      <c r="E1143" s="73" t="s">
        <v>2574</v>
      </c>
      <c r="F1143" s="74" t="s">
        <v>379</v>
      </c>
      <c r="G1143" s="88"/>
      <c r="H1143" s="88"/>
      <c r="I1143" s="88"/>
      <c r="J1143" s="72" t="s">
        <v>2383</v>
      </c>
      <c r="K1143" s="171"/>
      <c r="L1143" s="168"/>
      <c r="M1143" s="171"/>
      <c r="N1143" s="171"/>
      <c r="O1143" s="171"/>
      <c r="P1143" s="88" t="s">
        <v>5070</v>
      </c>
    </row>
    <row r="1144" spans="1:16" x14ac:dyDescent="0.25">
      <c r="A1144" s="5">
        <v>191</v>
      </c>
      <c r="B1144" s="60"/>
      <c r="C1144" s="66">
        <f>'Baru NIS'!C225</f>
        <v>102519748</v>
      </c>
      <c r="D1144" s="61"/>
      <c r="E1144" s="73" t="s">
        <v>2575</v>
      </c>
      <c r="F1144" s="74" t="s">
        <v>379</v>
      </c>
      <c r="G1144" s="88"/>
      <c r="H1144" s="88"/>
      <c r="I1144" s="88"/>
      <c r="J1144" s="72" t="s">
        <v>2379</v>
      </c>
      <c r="K1144" s="171"/>
      <c r="L1144" s="168"/>
      <c r="M1144" s="171"/>
      <c r="N1144" s="171"/>
      <c r="O1144" s="171"/>
      <c r="P1144" s="88" t="s">
        <v>5070</v>
      </c>
    </row>
    <row r="1145" spans="1:16" x14ac:dyDescent="0.25">
      <c r="A1145" s="5">
        <v>192</v>
      </c>
      <c r="B1145" s="60"/>
      <c r="C1145" s="66">
        <f>'Baru NIS'!C226</f>
        <v>102519749</v>
      </c>
      <c r="D1145" s="61"/>
      <c r="E1145" s="73" t="s">
        <v>2576</v>
      </c>
      <c r="F1145" s="74" t="s">
        <v>379</v>
      </c>
      <c r="G1145" s="88"/>
      <c r="H1145" s="88"/>
      <c r="I1145" s="88"/>
      <c r="J1145" s="72" t="s">
        <v>2379</v>
      </c>
      <c r="K1145" s="171"/>
      <c r="L1145" s="168"/>
      <c r="M1145" s="171"/>
      <c r="N1145" s="171"/>
      <c r="O1145" s="171"/>
      <c r="P1145" s="88" t="s">
        <v>5070</v>
      </c>
    </row>
    <row r="1146" spans="1:16" x14ac:dyDescent="0.25">
      <c r="A1146" s="5">
        <v>193</v>
      </c>
      <c r="B1146" s="60"/>
      <c r="C1146" s="66">
        <f>'Baru NIS'!C198</f>
        <v>102519721</v>
      </c>
      <c r="D1146" s="61"/>
      <c r="E1146" s="67" t="s">
        <v>2577</v>
      </c>
      <c r="F1146" s="68" t="s">
        <v>379</v>
      </c>
      <c r="G1146" s="88"/>
      <c r="H1146" s="88"/>
      <c r="I1146" s="88"/>
      <c r="J1146" s="72" t="s">
        <v>2373</v>
      </c>
      <c r="K1146" s="171"/>
      <c r="L1146" s="168"/>
      <c r="M1146" s="171"/>
      <c r="N1146" s="171"/>
      <c r="O1146" s="171"/>
      <c r="P1146" s="88" t="s">
        <v>5070</v>
      </c>
    </row>
    <row r="1147" spans="1:16" x14ac:dyDescent="0.25">
      <c r="A1147" s="5">
        <v>194</v>
      </c>
      <c r="B1147" s="60"/>
      <c r="C1147" s="66">
        <f>'Baru NIS'!C335</f>
        <v>102519858</v>
      </c>
      <c r="D1147" s="61"/>
      <c r="E1147" s="73" t="s">
        <v>2578</v>
      </c>
      <c r="F1147" s="74" t="s">
        <v>379</v>
      </c>
      <c r="G1147" s="88"/>
      <c r="H1147" s="88"/>
      <c r="I1147" s="88"/>
      <c r="J1147" s="72" t="s">
        <v>2383</v>
      </c>
      <c r="K1147" s="171"/>
      <c r="L1147" s="168"/>
      <c r="M1147" s="171"/>
      <c r="N1147" s="171"/>
      <c r="O1147" s="171"/>
      <c r="P1147" s="88" t="s">
        <v>5070</v>
      </c>
    </row>
    <row r="1148" spans="1:16" x14ac:dyDescent="0.25">
      <c r="A1148" s="5">
        <v>195</v>
      </c>
      <c r="B1148" s="60"/>
      <c r="C1148" s="66" t="e">
        <f>'Baru NIS'!#REF!</f>
        <v>#REF!</v>
      </c>
      <c r="D1148" s="61"/>
      <c r="E1148" s="58" t="s">
        <v>2579</v>
      </c>
      <c r="F1148" s="5" t="s">
        <v>379</v>
      </c>
      <c r="G1148" s="88"/>
      <c r="H1148" s="88"/>
      <c r="I1148" s="88"/>
      <c r="J1148" s="72" t="s">
        <v>2383</v>
      </c>
      <c r="K1148" s="171"/>
      <c r="L1148" s="168"/>
      <c r="M1148" s="171"/>
      <c r="N1148" s="171"/>
      <c r="O1148" s="171"/>
      <c r="P1148" s="88" t="s">
        <v>5070</v>
      </c>
    </row>
    <row r="1149" spans="1:16" x14ac:dyDescent="0.25">
      <c r="A1149" s="5">
        <v>196</v>
      </c>
      <c r="B1149" s="60"/>
      <c r="C1149" s="66">
        <f>'Baru NIS'!C22</f>
        <v>102519545</v>
      </c>
      <c r="D1149" s="61"/>
      <c r="E1149" s="69" t="s">
        <v>2580</v>
      </c>
      <c r="F1149" s="57" t="s">
        <v>379</v>
      </c>
      <c r="G1149" s="88"/>
      <c r="H1149" s="88"/>
      <c r="I1149" s="88"/>
      <c r="J1149" s="72" t="s">
        <v>2386</v>
      </c>
      <c r="K1149" s="171"/>
      <c r="L1149" s="168"/>
      <c r="M1149" s="171"/>
      <c r="N1149" s="171"/>
      <c r="O1149" s="171"/>
      <c r="P1149" s="88" t="s">
        <v>5070</v>
      </c>
    </row>
    <row r="1150" spans="1:16" x14ac:dyDescent="0.25">
      <c r="A1150" s="5">
        <v>197</v>
      </c>
      <c r="B1150" s="60"/>
      <c r="C1150" s="66">
        <f>'Baru NIS'!C372</f>
        <v>102519895</v>
      </c>
      <c r="D1150" s="61"/>
      <c r="E1150" s="58" t="s">
        <v>2581</v>
      </c>
      <c r="F1150" s="5" t="s">
        <v>379</v>
      </c>
      <c r="G1150" s="88"/>
      <c r="H1150" s="88"/>
      <c r="I1150" s="88"/>
      <c r="J1150" s="72" t="s">
        <v>2402</v>
      </c>
      <c r="K1150" s="171"/>
      <c r="L1150" s="168"/>
      <c r="M1150" s="171"/>
      <c r="N1150" s="171"/>
      <c r="O1150" s="171"/>
      <c r="P1150" s="88" t="s">
        <v>5070</v>
      </c>
    </row>
    <row r="1151" spans="1:16" x14ac:dyDescent="0.25">
      <c r="A1151" s="5">
        <v>198</v>
      </c>
      <c r="B1151" s="60"/>
      <c r="C1151" s="66">
        <f>'Baru NIS'!C307</f>
        <v>102519790</v>
      </c>
      <c r="D1151" s="61"/>
      <c r="E1151" s="73" t="s">
        <v>2582</v>
      </c>
      <c r="F1151" s="74" t="s">
        <v>379</v>
      </c>
      <c r="G1151" s="88"/>
      <c r="H1151" s="88"/>
      <c r="I1151" s="88"/>
      <c r="J1151" s="72" t="s">
        <v>2375</v>
      </c>
      <c r="K1151" s="171"/>
      <c r="L1151" s="168"/>
      <c r="M1151" s="171"/>
      <c r="N1151" s="171"/>
      <c r="O1151" s="171"/>
      <c r="P1151" s="88" t="s">
        <v>5070</v>
      </c>
    </row>
    <row r="1152" spans="1:16" x14ac:dyDescent="0.25">
      <c r="A1152" s="5">
        <v>199</v>
      </c>
      <c r="B1152" s="60"/>
      <c r="C1152" s="66">
        <f>'Baru NIS'!C159</f>
        <v>102519682</v>
      </c>
      <c r="D1152" s="61"/>
      <c r="E1152" s="77" t="s">
        <v>2583</v>
      </c>
      <c r="F1152" s="78" t="s">
        <v>379</v>
      </c>
      <c r="G1152" s="88"/>
      <c r="H1152" s="88"/>
      <c r="I1152" s="88"/>
      <c r="J1152" s="72" t="s">
        <v>2399</v>
      </c>
      <c r="K1152" s="171"/>
      <c r="L1152" s="168"/>
      <c r="M1152" s="171"/>
      <c r="N1152" s="171"/>
      <c r="O1152" s="171"/>
      <c r="P1152" s="88" t="s">
        <v>5070</v>
      </c>
    </row>
    <row r="1153" spans="1:16" x14ac:dyDescent="0.25">
      <c r="A1153" s="5">
        <v>200</v>
      </c>
      <c r="B1153" s="60"/>
      <c r="C1153" s="66">
        <f>'Baru NIS'!C308</f>
        <v>102519831</v>
      </c>
      <c r="D1153" s="61"/>
      <c r="E1153" s="73" t="s">
        <v>2584</v>
      </c>
      <c r="F1153" s="74" t="s">
        <v>379</v>
      </c>
      <c r="G1153" s="88"/>
      <c r="H1153" s="88"/>
      <c r="I1153" s="88"/>
      <c r="J1153" s="72" t="s">
        <v>2375</v>
      </c>
      <c r="K1153" s="171"/>
      <c r="L1153" s="168"/>
      <c r="M1153" s="171"/>
      <c r="N1153" s="171"/>
      <c r="O1153" s="171"/>
      <c r="P1153" s="88" t="s">
        <v>5070</v>
      </c>
    </row>
    <row r="1154" spans="1:16" x14ac:dyDescent="0.25">
      <c r="A1154" s="5">
        <v>201</v>
      </c>
      <c r="B1154" s="60"/>
      <c r="C1154" s="66">
        <f>'Baru NIS'!C373</f>
        <v>102519896</v>
      </c>
      <c r="D1154" s="61"/>
      <c r="E1154" s="73" t="s">
        <v>2585</v>
      </c>
      <c r="F1154" s="74" t="s">
        <v>379</v>
      </c>
      <c r="G1154" s="88"/>
      <c r="H1154" s="88"/>
      <c r="I1154" s="88"/>
      <c r="J1154" s="72" t="s">
        <v>2402</v>
      </c>
      <c r="K1154" s="171"/>
      <c r="L1154" s="168"/>
      <c r="M1154" s="171"/>
      <c r="N1154" s="171"/>
      <c r="O1154" s="171"/>
      <c r="P1154" s="88" t="s">
        <v>5070</v>
      </c>
    </row>
    <row r="1155" spans="1:16" x14ac:dyDescent="0.25">
      <c r="A1155" s="5">
        <v>202</v>
      </c>
      <c r="B1155" s="60"/>
      <c r="C1155" s="66">
        <f>'Baru NIS'!C309</f>
        <v>102519832</v>
      </c>
      <c r="D1155" s="61"/>
      <c r="E1155" s="73" t="s">
        <v>2586</v>
      </c>
      <c r="F1155" s="74" t="s">
        <v>379</v>
      </c>
      <c r="G1155" s="88"/>
      <c r="H1155" s="88"/>
      <c r="I1155" s="88"/>
      <c r="J1155" s="72" t="s">
        <v>2375</v>
      </c>
      <c r="K1155" s="171"/>
      <c r="L1155" s="168"/>
      <c r="M1155" s="171"/>
      <c r="N1155" s="171"/>
      <c r="O1155" s="171"/>
      <c r="P1155" s="88" t="s">
        <v>5070</v>
      </c>
    </row>
    <row r="1156" spans="1:16" x14ac:dyDescent="0.25">
      <c r="A1156" s="5">
        <v>203</v>
      </c>
      <c r="B1156" s="60"/>
      <c r="C1156" s="66">
        <f>'Baru NIS'!C266</f>
        <v>102519829</v>
      </c>
      <c r="D1156" s="61"/>
      <c r="E1156" s="73" t="s">
        <v>2587</v>
      </c>
      <c r="F1156" s="74" t="s">
        <v>379</v>
      </c>
      <c r="G1156" s="88"/>
      <c r="H1156" s="88"/>
      <c r="I1156" s="88"/>
      <c r="J1156" s="72" t="s">
        <v>2377</v>
      </c>
      <c r="K1156" s="171"/>
      <c r="L1156" s="168"/>
      <c r="M1156" s="171"/>
      <c r="N1156" s="171"/>
      <c r="O1156" s="171"/>
      <c r="P1156" s="88" t="s">
        <v>5070</v>
      </c>
    </row>
    <row r="1157" spans="1:16" x14ac:dyDescent="0.25">
      <c r="A1157" s="5">
        <v>204</v>
      </c>
      <c r="B1157" s="60"/>
      <c r="C1157" s="66">
        <f>'Baru NIS'!C310</f>
        <v>102519833</v>
      </c>
      <c r="D1157" s="61"/>
      <c r="E1157" s="73" t="s">
        <v>2588</v>
      </c>
      <c r="F1157" s="74" t="s">
        <v>379</v>
      </c>
      <c r="G1157" s="88"/>
      <c r="H1157" s="88"/>
      <c r="I1157" s="88"/>
      <c r="J1157" s="72" t="s">
        <v>2375</v>
      </c>
      <c r="K1157" s="171"/>
      <c r="L1157" s="168"/>
      <c r="M1157" s="171"/>
      <c r="N1157" s="171"/>
      <c r="O1157" s="171"/>
      <c r="P1157" s="88" t="s">
        <v>5070</v>
      </c>
    </row>
    <row r="1158" spans="1:16" x14ac:dyDescent="0.25">
      <c r="A1158" s="5">
        <v>205</v>
      </c>
      <c r="B1158" s="60"/>
      <c r="C1158" s="66">
        <f>'Baru NIS'!C23</f>
        <v>102519546</v>
      </c>
      <c r="D1158" s="61"/>
      <c r="E1158" s="67" t="s">
        <v>2589</v>
      </c>
      <c r="F1158" s="68" t="s">
        <v>379</v>
      </c>
      <c r="G1158" s="88"/>
      <c r="H1158" s="88"/>
      <c r="I1158" s="88"/>
      <c r="J1158" s="72" t="s">
        <v>2386</v>
      </c>
      <c r="K1158" s="171"/>
      <c r="L1158" s="168"/>
      <c r="M1158" s="171"/>
      <c r="N1158" s="171"/>
      <c r="O1158" s="171"/>
      <c r="P1158" s="88" t="s">
        <v>5070</v>
      </c>
    </row>
    <row r="1159" spans="1:16" x14ac:dyDescent="0.25">
      <c r="A1159" s="5">
        <v>206</v>
      </c>
      <c r="B1159" s="60"/>
      <c r="C1159" s="66">
        <f>'Baru NIS'!C160</f>
        <v>102519683</v>
      </c>
      <c r="D1159" s="61"/>
      <c r="E1159" s="77" t="s">
        <v>2590</v>
      </c>
      <c r="F1159" s="78" t="s">
        <v>379</v>
      </c>
      <c r="G1159" s="88"/>
      <c r="H1159" s="88"/>
      <c r="I1159" s="88"/>
      <c r="J1159" s="72" t="s">
        <v>2399</v>
      </c>
      <c r="K1159" s="171"/>
      <c r="L1159" s="168"/>
      <c r="M1159" s="171"/>
      <c r="N1159" s="171"/>
      <c r="O1159" s="171"/>
      <c r="P1159" s="88" t="s">
        <v>5070</v>
      </c>
    </row>
    <row r="1160" spans="1:16" x14ac:dyDescent="0.25">
      <c r="A1160" s="5">
        <v>207</v>
      </c>
      <c r="B1160" s="60"/>
      <c r="C1160" s="66">
        <f>'Baru NIS'!C374</f>
        <v>102519897</v>
      </c>
      <c r="D1160" s="61"/>
      <c r="E1160" s="58" t="s">
        <v>2591</v>
      </c>
      <c r="F1160" s="5" t="s">
        <v>379</v>
      </c>
      <c r="G1160" s="88"/>
      <c r="H1160" s="88"/>
      <c r="I1160" s="88"/>
      <c r="J1160" s="72" t="s">
        <v>2402</v>
      </c>
      <c r="K1160" s="171"/>
      <c r="L1160" s="168"/>
      <c r="M1160" s="171"/>
      <c r="N1160" s="171"/>
      <c r="O1160" s="171"/>
      <c r="P1160" s="88" t="s">
        <v>5070</v>
      </c>
    </row>
    <row r="1161" spans="1:16" x14ac:dyDescent="0.25">
      <c r="A1161" s="5">
        <v>208</v>
      </c>
      <c r="B1161" s="60"/>
      <c r="C1161" s="66">
        <f>'Baru NIS'!C161</f>
        <v>102519684</v>
      </c>
      <c r="D1161" s="61"/>
      <c r="E1161" s="77" t="s">
        <v>2592</v>
      </c>
      <c r="F1161" s="78" t="s">
        <v>381</v>
      </c>
      <c r="G1161" s="88"/>
      <c r="H1161" s="88"/>
      <c r="I1161" s="88"/>
      <c r="J1161" s="72" t="s">
        <v>2399</v>
      </c>
      <c r="K1161" s="171"/>
      <c r="L1161" s="168"/>
      <c r="M1161" s="171"/>
      <c r="N1161" s="171"/>
      <c r="O1161" s="171"/>
      <c r="P1161" s="88" t="s">
        <v>5070</v>
      </c>
    </row>
    <row r="1162" spans="1:16" x14ac:dyDescent="0.25">
      <c r="A1162" s="5">
        <v>209</v>
      </c>
      <c r="B1162" s="60"/>
      <c r="C1162" s="66">
        <f>'Baru NIS'!C336</f>
        <v>102519859</v>
      </c>
      <c r="D1162" s="61"/>
      <c r="E1162" s="58" t="s">
        <v>2593</v>
      </c>
      <c r="F1162" s="5" t="s">
        <v>379</v>
      </c>
      <c r="G1162" s="88"/>
      <c r="H1162" s="88"/>
      <c r="I1162" s="88"/>
      <c r="J1162" s="72" t="s">
        <v>2383</v>
      </c>
      <c r="K1162" s="171"/>
      <c r="L1162" s="168"/>
      <c r="M1162" s="171"/>
      <c r="N1162" s="171"/>
      <c r="O1162" s="171"/>
      <c r="P1162" s="88" t="s">
        <v>5070</v>
      </c>
    </row>
    <row r="1163" spans="1:16" x14ac:dyDescent="0.25">
      <c r="A1163" s="5">
        <v>210</v>
      </c>
      <c r="B1163" s="60"/>
      <c r="C1163" s="66">
        <f>'Baru NIS'!C267</f>
        <v>102519830</v>
      </c>
      <c r="D1163" s="61"/>
      <c r="E1163" s="73" t="s">
        <v>2594</v>
      </c>
      <c r="F1163" s="74" t="s">
        <v>379</v>
      </c>
      <c r="G1163" s="88"/>
      <c r="H1163" s="88"/>
      <c r="I1163" s="88"/>
      <c r="J1163" s="72" t="s">
        <v>2377</v>
      </c>
      <c r="K1163" s="171"/>
      <c r="L1163" s="168"/>
      <c r="M1163" s="171"/>
      <c r="N1163" s="171"/>
      <c r="O1163" s="171"/>
      <c r="P1163" s="88" t="s">
        <v>5070</v>
      </c>
    </row>
    <row r="1164" spans="1:16" x14ac:dyDescent="0.25">
      <c r="A1164" s="5">
        <v>211</v>
      </c>
      <c r="B1164" s="60"/>
      <c r="C1164" s="66">
        <f>'Baru NIS'!C337</f>
        <v>102519860</v>
      </c>
      <c r="D1164" s="61"/>
      <c r="E1164" s="58" t="s">
        <v>2595</v>
      </c>
      <c r="F1164" s="5" t="s">
        <v>379</v>
      </c>
      <c r="G1164" s="88"/>
      <c r="H1164" s="88"/>
      <c r="I1164" s="88"/>
      <c r="J1164" s="72" t="s">
        <v>2383</v>
      </c>
      <c r="K1164" s="171"/>
      <c r="L1164" s="168"/>
      <c r="M1164" s="171"/>
      <c r="N1164" s="171"/>
      <c r="O1164" s="171"/>
      <c r="P1164" s="88" t="s">
        <v>5070</v>
      </c>
    </row>
    <row r="1165" spans="1:16" x14ac:dyDescent="0.25">
      <c r="A1165" s="5">
        <v>212</v>
      </c>
      <c r="B1165" s="60"/>
      <c r="C1165" s="66">
        <f>'Baru NIS'!C268</f>
        <v>102519751</v>
      </c>
      <c r="D1165" s="61"/>
      <c r="E1165" s="58" t="s">
        <v>2596</v>
      </c>
      <c r="F1165" s="5" t="s">
        <v>379</v>
      </c>
      <c r="G1165" s="88"/>
      <c r="H1165" s="88"/>
      <c r="I1165" s="88"/>
      <c r="J1165" s="72" t="s">
        <v>2377</v>
      </c>
      <c r="K1165" s="171"/>
      <c r="L1165" s="168"/>
      <c r="M1165" s="171"/>
      <c r="N1165" s="171"/>
      <c r="O1165" s="171"/>
      <c r="P1165" s="88" t="s">
        <v>5070</v>
      </c>
    </row>
    <row r="1166" spans="1:16" x14ac:dyDescent="0.25">
      <c r="A1166" s="5">
        <v>213</v>
      </c>
      <c r="B1166" s="60"/>
      <c r="C1166" s="66">
        <f>'Baru NIS'!C162</f>
        <v>102519685</v>
      </c>
      <c r="D1166" s="61"/>
      <c r="E1166" s="77" t="s">
        <v>2597</v>
      </c>
      <c r="F1166" s="78" t="s">
        <v>379</v>
      </c>
      <c r="G1166" s="88"/>
      <c r="H1166" s="88"/>
      <c r="I1166" s="88"/>
      <c r="J1166" s="72" t="s">
        <v>2399</v>
      </c>
      <c r="K1166" s="171"/>
      <c r="L1166" s="168"/>
      <c r="M1166" s="171"/>
      <c r="N1166" s="171"/>
      <c r="O1166" s="171"/>
      <c r="P1166" s="88" t="s">
        <v>5070</v>
      </c>
    </row>
    <row r="1167" spans="1:16" x14ac:dyDescent="0.25">
      <c r="A1167" s="5">
        <v>214</v>
      </c>
      <c r="B1167" s="60"/>
      <c r="C1167" s="66">
        <f>'Baru NIS'!C227</f>
        <v>102519750</v>
      </c>
      <c r="D1167" s="61"/>
      <c r="E1167" s="73" t="s">
        <v>2598</v>
      </c>
      <c r="F1167" s="74" t="s">
        <v>379</v>
      </c>
      <c r="G1167" s="88"/>
      <c r="H1167" s="88"/>
      <c r="I1167" s="88"/>
      <c r="J1167" s="72" t="s">
        <v>2379</v>
      </c>
      <c r="K1167" s="171"/>
      <c r="L1167" s="168"/>
      <c r="M1167" s="171"/>
      <c r="N1167" s="171"/>
      <c r="O1167" s="171"/>
      <c r="P1167" s="88" t="s">
        <v>5070</v>
      </c>
    </row>
    <row r="1168" spans="1:16" x14ac:dyDescent="0.25">
      <c r="A1168" s="5">
        <v>215</v>
      </c>
      <c r="B1168" s="60"/>
      <c r="C1168" s="66">
        <f>'Baru NIS'!C338</f>
        <v>102519861</v>
      </c>
      <c r="D1168" s="61"/>
      <c r="E1168" s="73" t="s">
        <v>2599</v>
      </c>
      <c r="F1168" s="74" t="s">
        <v>379</v>
      </c>
      <c r="G1168" s="88"/>
      <c r="H1168" s="88"/>
      <c r="I1168" s="88"/>
      <c r="J1168" s="72" t="s">
        <v>2383</v>
      </c>
      <c r="K1168" s="171"/>
      <c r="L1168" s="168"/>
      <c r="M1168" s="171"/>
      <c r="N1168" s="171"/>
      <c r="O1168" s="171"/>
      <c r="P1168" s="88" t="s">
        <v>5070</v>
      </c>
    </row>
    <row r="1169" spans="1:16" x14ac:dyDescent="0.25">
      <c r="A1169" s="5">
        <v>216</v>
      </c>
      <c r="B1169" s="60"/>
      <c r="C1169" s="66">
        <f>'Baru NIS'!C339</f>
        <v>102519862</v>
      </c>
      <c r="D1169" s="61"/>
      <c r="E1169" s="73" t="s">
        <v>2600</v>
      </c>
      <c r="F1169" s="74" t="s">
        <v>379</v>
      </c>
      <c r="G1169" s="88"/>
      <c r="H1169" s="88"/>
      <c r="I1169" s="88"/>
      <c r="J1169" s="72" t="s">
        <v>2383</v>
      </c>
      <c r="K1169" s="171"/>
      <c r="L1169" s="168"/>
      <c r="M1169" s="171"/>
      <c r="N1169" s="171"/>
      <c r="O1169" s="171"/>
      <c r="P1169" s="88" t="s">
        <v>5070</v>
      </c>
    </row>
    <row r="1170" spans="1:16" x14ac:dyDescent="0.25">
      <c r="A1170" s="5">
        <v>217</v>
      </c>
      <c r="B1170" s="60"/>
      <c r="C1170" s="66">
        <f>'Baru NIS'!C228</f>
        <v>102519791</v>
      </c>
      <c r="D1170" s="61"/>
      <c r="E1170" s="73" t="s">
        <v>2601</v>
      </c>
      <c r="F1170" s="74" t="s">
        <v>379</v>
      </c>
      <c r="G1170" s="88"/>
      <c r="H1170" s="88"/>
      <c r="I1170" s="88"/>
      <c r="J1170" s="72" t="s">
        <v>2379</v>
      </c>
      <c r="K1170" s="171"/>
      <c r="L1170" s="168"/>
      <c r="M1170" s="171"/>
      <c r="N1170" s="171"/>
      <c r="O1170" s="171"/>
      <c r="P1170" s="88" t="s">
        <v>5070</v>
      </c>
    </row>
    <row r="1171" spans="1:16" x14ac:dyDescent="0.25">
      <c r="A1171" s="5">
        <v>218</v>
      </c>
      <c r="B1171" s="60"/>
      <c r="C1171" s="66">
        <f>'Baru NIS'!C229</f>
        <v>102519792</v>
      </c>
      <c r="D1171" s="61"/>
      <c r="E1171" s="73" t="s">
        <v>2602</v>
      </c>
      <c r="F1171" s="74" t="s">
        <v>379</v>
      </c>
      <c r="G1171" s="88"/>
      <c r="H1171" s="88"/>
      <c r="I1171" s="88"/>
      <c r="J1171" s="72" t="s">
        <v>2379</v>
      </c>
      <c r="K1171" s="171"/>
      <c r="L1171" s="168"/>
      <c r="M1171" s="171"/>
      <c r="N1171" s="171"/>
      <c r="O1171" s="171"/>
      <c r="P1171" s="88" t="s">
        <v>5070</v>
      </c>
    </row>
    <row r="1172" spans="1:16" x14ac:dyDescent="0.25">
      <c r="A1172" s="5">
        <v>219</v>
      </c>
      <c r="B1172" s="60"/>
      <c r="C1172" s="66">
        <f>'Baru NIS'!C340</f>
        <v>102519863</v>
      </c>
      <c r="D1172" s="61"/>
      <c r="E1172" s="73" t="s">
        <v>2603</v>
      </c>
      <c r="F1172" s="74" t="s">
        <v>379</v>
      </c>
      <c r="G1172" s="88"/>
      <c r="H1172" s="88"/>
      <c r="I1172" s="88"/>
      <c r="J1172" s="72" t="s">
        <v>2383</v>
      </c>
      <c r="K1172" s="171"/>
      <c r="L1172" s="168"/>
      <c r="M1172" s="171"/>
      <c r="N1172" s="171"/>
      <c r="O1172" s="171"/>
      <c r="P1172" s="88" t="s">
        <v>5070</v>
      </c>
    </row>
    <row r="1173" spans="1:16" x14ac:dyDescent="0.25">
      <c r="A1173" s="5">
        <v>220</v>
      </c>
      <c r="B1173" s="60"/>
      <c r="C1173" s="66">
        <f>'Baru NIS'!C57</f>
        <v>102519580</v>
      </c>
      <c r="D1173" s="61"/>
      <c r="E1173" s="69" t="s">
        <v>2604</v>
      </c>
      <c r="F1173" s="57" t="s">
        <v>379</v>
      </c>
      <c r="G1173" s="88"/>
      <c r="H1173" s="88"/>
      <c r="I1173" s="88"/>
      <c r="J1173" s="72" t="s">
        <v>2397</v>
      </c>
      <c r="K1173" s="171"/>
      <c r="L1173" s="168"/>
      <c r="M1173" s="171"/>
      <c r="N1173" s="171"/>
      <c r="O1173" s="171"/>
      <c r="P1173" s="88" t="s">
        <v>5070</v>
      </c>
    </row>
    <row r="1174" spans="1:16" x14ac:dyDescent="0.25">
      <c r="A1174" s="5">
        <v>221</v>
      </c>
      <c r="B1174" s="60"/>
      <c r="C1174" s="66">
        <f>'Baru NIS'!C91</f>
        <v>102519614</v>
      </c>
      <c r="D1174" s="61"/>
      <c r="E1174" s="67" t="s">
        <v>2605</v>
      </c>
      <c r="F1174" s="68" t="s">
        <v>379</v>
      </c>
      <c r="G1174" s="88"/>
      <c r="H1174" s="88"/>
      <c r="I1174" s="88"/>
      <c r="J1174" s="72" t="s">
        <v>2389</v>
      </c>
      <c r="K1174" s="171"/>
      <c r="L1174" s="168"/>
      <c r="M1174" s="171"/>
      <c r="N1174" s="171"/>
      <c r="O1174" s="171"/>
      <c r="P1174" s="88" t="s">
        <v>5070</v>
      </c>
    </row>
    <row r="1175" spans="1:16" x14ac:dyDescent="0.25">
      <c r="A1175" s="5">
        <v>222</v>
      </c>
      <c r="B1175" s="60"/>
      <c r="C1175" s="66">
        <f>'Baru NIS'!C199</f>
        <v>102519722</v>
      </c>
      <c r="D1175" s="61"/>
      <c r="E1175" s="67" t="s">
        <v>2606</v>
      </c>
      <c r="F1175" s="68" t="s">
        <v>379</v>
      </c>
      <c r="G1175" s="88"/>
      <c r="H1175" s="88"/>
      <c r="I1175" s="88"/>
      <c r="J1175" s="72" t="s">
        <v>2373</v>
      </c>
      <c r="K1175" s="171"/>
      <c r="L1175" s="168"/>
      <c r="M1175" s="171"/>
      <c r="N1175" s="171"/>
      <c r="O1175" s="171"/>
      <c r="P1175" s="88" t="s">
        <v>5070</v>
      </c>
    </row>
    <row r="1176" spans="1:16" x14ac:dyDescent="0.25">
      <c r="A1176" s="5">
        <v>223</v>
      </c>
      <c r="B1176" s="60"/>
      <c r="C1176" s="66">
        <f>'Baru NIS'!C163</f>
        <v>102519686</v>
      </c>
      <c r="D1176" s="61"/>
      <c r="E1176" s="77" t="s">
        <v>2607</v>
      </c>
      <c r="F1176" s="78" t="s">
        <v>379</v>
      </c>
      <c r="G1176" s="88"/>
      <c r="H1176" s="88"/>
      <c r="I1176" s="88"/>
      <c r="J1176" s="72" t="s">
        <v>2399</v>
      </c>
      <c r="K1176" s="171"/>
      <c r="L1176" s="168"/>
      <c r="M1176" s="171"/>
      <c r="N1176" s="171"/>
      <c r="O1176" s="171"/>
      <c r="P1176" s="88" t="s">
        <v>5070</v>
      </c>
    </row>
    <row r="1177" spans="1:16" x14ac:dyDescent="0.25">
      <c r="A1177" s="5">
        <v>224</v>
      </c>
      <c r="B1177" s="60"/>
      <c r="C1177" s="66">
        <f>'Baru NIS'!C341</f>
        <v>102519864</v>
      </c>
      <c r="D1177" s="61"/>
      <c r="E1177" s="73" t="s">
        <v>2608</v>
      </c>
      <c r="F1177" s="74" t="s">
        <v>379</v>
      </c>
      <c r="G1177" s="88"/>
      <c r="H1177" s="88"/>
      <c r="I1177" s="88"/>
      <c r="J1177" s="72" t="s">
        <v>2383</v>
      </c>
      <c r="K1177" s="171"/>
      <c r="L1177" s="168"/>
      <c r="M1177" s="171"/>
      <c r="N1177" s="171"/>
      <c r="O1177" s="171"/>
      <c r="P1177" s="88" t="s">
        <v>5070</v>
      </c>
    </row>
    <row r="1178" spans="1:16" x14ac:dyDescent="0.25">
      <c r="A1178" s="5">
        <v>225</v>
      </c>
      <c r="B1178" s="60"/>
      <c r="C1178" s="66">
        <f>'Baru NIS'!C375</f>
        <v>102519898</v>
      </c>
      <c r="D1178" s="61"/>
      <c r="E1178" s="73" t="s">
        <v>2609</v>
      </c>
      <c r="F1178" s="74" t="s">
        <v>379</v>
      </c>
      <c r="G1178" s="88"/>
      <c r="H1178" s="88"/>
      <c r="I1178" s="88"/>
      <c r="J1178" s="72" t="s">
        <v>2402</v>
      </c>
      <c r="K1178" s="171"/>
      <c r="L1178" s="168"/>
      <c r="M1178" s="171"/>
      <c r="N1178" s="171"/>
      <c r="O1178" s="171"/>
      <c r="P1178" s="88" t="s">
        <v>5070</v>
      </c>
    </row>
    <row r="1179" spans="1:16" x14ac:dyDescent="0.25">
      <c r="A1179" s="5">
        <v>226</v>
      </c>
      <c r="B1179" s="60"/>
      <c r="C1179" s="66">
        <f>'Baru NIS'!C376</f>
        <v>102519899</v>
      </c>
      <c r="D1179" s="61"/>
      <c r="E1179" s="58" t="s">
        <v>2610</v>
      </c>
      <c r="F1179" s="5" t="s">
        <v>379</v>
      </c>
      <c r="G1179" s="88"/>
      <c r="H1179" s="88"/>
      <c r="I1179" s="88"/>
      <c r="J1179" s="72" t="s">
        <v>2402</v>
      </c>
      <c r="K1179" s="171"/>
      <c r="L1179" s="168"/>
      <c r="M1179" s="171"/>
      <c r="N1179" s="171"/>
      <c r="O1179" s="171"/>
      <c r="P1179" s="88" t="s">
        <v>5070</v>
      </c>
    </row>
    <row r="1180" spans="1:16" x14ac:dyDescent="0.25">
      <c r="A1180" s="5">
        <v>227</v>
      </c>
      <c r="B1180" s="60"/>
      <c r="C1180" s="66">
        <f>'Baru NIS'!C200</f>
        <v>102519723</v>
      </c>
      <c r="D1180" s="61"/>
      <c r="E1180" s="67" t="s">
        <v>2611</v>
      </c>
      <c r="F1180" s="68" t="s">
        <v>379</v>
      </c>
      <c r="G1180" s="88"/>
      <c r="H1180" s="88"/>
      <c r="I1180" s="88"/>
      <c r="J1180" s="72" t="s">
        <v>2373</v>
      </c>
      <c r="K1180" s="171"/>
      <c r="L1180" s="168"/>
      <c r="M1180" s="171"/>
      <c r="N1180" s="171"/>
      <c r="O1180" s="171"/>
      <c r="P1180" s="88" t="s">
        <v>5070</v>
      </c>
    </row>
    <row r="1181" spans="1:16" x14ac:dyDescent="0.25">
      <c r="A1181" s="5">
        <v>228</v>
      </c>
      <c r="B1181" s="60"/>
      <c r="C1181" s="66">
        <f>'Baru NIS'!C58</f>
        <v>102519581</v>
      </c>
      <c r="D1181" s="61"/>
      <c r="E1181" s="67" t="s">
        <v>2612</v>
      </c>
      <c r="F1181" s="68" t="s">
        <v>381</v>
      </c>
      <c r="G1181" s="88"/>
      <c r="H1181" s="88"/>
      <c r="I1181" s="88"/>
      <c r="J1181" s="72" t="s">
        <v>2397</v>
      </c>
      <c r="K1181" s="171"/>
      <c r="L1181" s="168"/>
      <c r="M1181" s="171"/>
      <c r="N1181" s="171"/>
      <c r="O1181" s="171"/>
      <c r="P1181" s="88" t="s">
        <v>5070</v>
      </c>
    </row>
    <row r="1182" spans="1:16" x14ac:dyDescent="0.25">
      <c r="A1182" s="5">
        <v>229</v>
      </c>
      <c r="B1182" s="60"/>
      <c r="C1182" s="66">
        <f>'Baru NIS'!C128</f>
        <v>102519651</v>
      </c>
      <c r="D1182" s="61"/>
      <c r="E1182" s="67" t="s">
        <v>2613</v>
      </c>
      <c r="F1182" s="68" t="s">
        <v>381</v>
      </c>
      <c r="G1182" s="88"/>
      <c r="H1182" s="88"/>
      <c r="I1182" s="88"/>
      <c r="J1182" s="72" t="s">
        <v>2371</v>
      </c>
      <c r="K1182" s="171"/>
      <c r="L1182" s="168"/>
      <c r="M1182" s="171"/>
      <c r="N1182" s="171"/>
      <c r="O1182" s="171"/>
      <c r="P1182" s="88" t="s">
        <v>5070</v>
      </c>
    </row>
    <row r="1183" spans="1:16" x14ac:dyDescent="0.25">
      <c r="A1183" s="5">
        <v>230</v>
      </c>
      <c r="B1183" s="60"/>
      <c r="C1183" s="66">
        <f>'Baru NIS'!C24</f>
        <v>102519547</v>
      </c>
      <c r="D1183" s="61"/>
      <c r="E1183" s="67" t="s">
        <v>2614</v>
      </c>
      <c r="F1183" s="68" t="s">
        <v>381</v>
      </c>
      <c r="G1183" s="88"/>
      <c r="H1183" s="88"/>
      <c r="I1183" s="88"/>
      <c r="J1183" s="72" t="s">
        <v>2386</v>
      </c>
      <c r="K1183" s="171"/>
      <c r="L1183" s="168"/>
      <c r="M1183" s="171"/>
      <c r="N1183" s="171"/>
      <c r="O1183" s="171"/>
      <c r="P1183" s="88" t="s">
        <v>5070</v>
      </c>
    </row>
    <row r="1184" spans="1:16" x14ac:dyDescent="0.25">
      <c r="A1184" s="5">
        <v>231</v>
      </c>
      <c r="B1184" s="60"/>
      <c r="C1184" s="66">
        <f>'Baru NIS'!C129</f>
        <v>102519652</v>
      </c>
      <c r="D1184" s="61"/>
      <c r="E1184" s="67" t="s">
        <v>2615</v>
      </c>
      <c r="F1184" s="68" t="s">
        <v>381</v>
      </c>
      <c r="G1184" s="88"/>
      <c r="H1184" s="88"/>
      <c r="I1184" s="88"/>
      <c r="J1184" s="72" t="s">
        <v>2371</v>
      </c>
      <c r="K1184" s="171"/>
      <c r="L1184" s="168"/>
      <c r="M1184" s="171"/>
      <c r="N1184" s="171"/>
      <c r="O1184" s="171"/>
      <c r="P1184" s="88" t="s">
        <v>5070</v>
      </c>
    </row>
    <row r="1185" spans="1:16" x14ac:dyDescent="0.25">
      <c r="A1185" s="5">
        <v>232</v>
      </c>
      <c r="B1185" s="60"/>
      <c r="C1185" s="66">
        <f>'Baru NIS'!C59</f>
        <v>102519582</v>
      </c>
      <c r="D1185" s="61"/>
      <c r="E1185" s="67" t="s">
        <v>2616</v>
      </c>
      <c r="F1185" s="68" t="s">
        <v>381</v>
      </c>
      <c r="G1185" s="88"/>
      <c r="H1185" s="88"/>
      <c r="I1185" s="88"/>
      <c r="J1185" s="72" t="s">
        <v>2397</v>
      </c>
      <c r="K1185" s="171"/>
      <c r="L1185" s="168"/>
      <c r="M1185" s="171"/>
      <c r="N1185" s="171"/>
      <c r="O1185" s="171"/>
      <c r="P1185" s="88" t="s">
        <v>5070</v>
      </c>
    </row>
    <row r="1186" spans="1:16" x14ac:dyDescent="0.25">
      <c r="A1186" s="5">
        <v>233</v>
      </c>
      <c r="B1186" s="60"/>
      <c r="C1186" s="66">
        <f>'Baru NIS'!C164</f>
        <v>102519687</v>
      </c>
      <c r="D1186" s="61"/>
      <c r="E1186" s="77" t="s">
        <v>2617</v>
      </c>
      <c r="F1186" s="78" t="s">
        <v>381</v>
      </c>
      <c r="G1186" s="88"/>
      <c r="H1186" s="88"/>
      <c r="I1186" s="88"/>
      <c r="J1186" s="72" t="s">
        <v>2399</v>
      </c>
      <c r="K1186" s="171"/>
      <c r="L1186" s="168"/>
      <c r="M1186" s="171"/>
      <c r="N1186" s="171"/>
      <c r="O1186" s="171"/>
      <c r="P1186" s="88" t="s">
        <v>5070</v>
      </c>
    </row>
    <row r="1187" spans="1:16" x14ac:dyDescent="0.25">
      <c r="A1187" s="5">
        <v>234</v>
      </c>
      <c r="B1187" s="60"/>
      <c r="C1187" s="66">
        <f>'Baru NIS'!C60</f>
        <v>102519583</v>
      </c>
      <c r="D1187" s="61"/>
      <c r="E1187" s="67" t="s">
        <v>2618</v>
      </c>
      <c r="F1187" s="68" t="s">
        <v>381</v>
      </c>
      <c r="G1187" s="88"/>
      <c r="H1187" s="88"/>
      <c r="I1187" s="88"/>
      <c r="J1187" s="72" t="s">
        <v>2397</v>
      </c>
      <c r="K1187" s="171"/>
      <c r="L1187" s="168"/>
      <c r="M1187" s="171"/>
      <c r="N1187" s="171"/>
      <c r="O1187" s="171"/>
      <c r="P1187" s="88" t="s">
        <v>5070</v>
      </c>
    </row>
    <row r="1188" spans="1:16" x14ac:dyDescent="0.25">
      <c r="A1188" s="5">
        <v>235</v>
      </c>
      <c r="B1188" s="60"/>
      <c r="C1188" s="66">
        <f>'Baru NIS'!C130</f>
        <v>102519653</v>
      </c>
      <c r="D1188" s="61"/>
      <c r="E1188" s="67" t="s">
        <v>2619</v>
      </c>
      <c r="F1188" s="68" t="s">
        <v>381</v>
      </c>
      <c r="G1188" s="88"/>
      <c r="H1188" s="88"/>
      <c r="I1188" s="88"/>
      <c r="J1188" s="72" t="s">
        <v>2371</v>
      </c>
      <c r="K1188" s="171"/>
      <c r="L1188" s="168"/>
      <c r="M1188" s="171"/>
      <c r="N1188" s="171"/>
      <c r="O1188" s="171"/>
      <c r="P1188" s="88" t="s">
        <v>5070</v>
      </c>
    </row>
    <row r="1189" spans="1:16" x14ac:dyDescent="0.25">
      <c r="A1189" s="5">
        <v>236</v>
      </c>
      <c r="B1189" s="60"/>
      <c r="C1189" s="66">
        <f>'Baru NIS'!C201</f>
        <v>102519724</v>
      </c>
      <c r="D1189" s="61"/>
      <c r="E1189" s="67" t="s">
        <v>2620</v>
      </c>
      <c r="F1189" s="68" t="s">
        <v>381</v>
      </c>
      <c r="G1189" s="88"/>
      <c r="H1189" s="88"/>
      <c r="I1189" s="88"/>
      <c r="J1189" s="72" t="s">
        <v>2373</v>
      </c>
      <c r="K1189" s="171"/>
      <c r="L1189" s="168"/>
      <c r="M1189" s="171"/>
      <c r="N1189" s="171"/>
      <c r="O1189" s="171"/>
      <c r="P1189" s="88" t="s">
        <v>5070</v>
      </c>
    </row>
    <row r="1190" spans="1:16" x14ac:dyDescent="0.25">
      <c r="A1190" s="5">
        <v>237</v>
      </c>
      <c r="B1190" s="60"/>
      <c r="C1190" s="66">
        <f>'Baru NIS'!C92</f>
        <v>102519615</v>
      </c>
      <c r="D1190" s="61"/>
      <c r="E1190" s="67" t="s">
        <v>2621</v>
      </c>
      <c r="F1190" s="68" t="s">
        <v>381</v>
      </c>
      <c r="G1190" s="88"/>
      <c r="H1190" s="88"/>
      <c r="I1190" s="88"/>
      <c r="J1190" s="72" t="s">
        <v>2389</v>
      </c>
      <c r="K1190" s="171"/>
      <c r="L1190" s="168"/>
      <c r="M1190" s="171"/>
      <c r="N1190" s="171"/>
      <c r="O1190" s="171"/>
      <c r="P1190" s="88" t="s">
        <v>5070</v>
      </c>
    </row>
    <row r="1191" spans="1:16" x14ac:dyDescent="0.25">
      <c r="A1191" s="5">
        <v>238</v>
      </c>
      <c r="B1191" s="60"/>
      <c r="C1191" s="66">
        <f>'Baru NIS'!C61</f>
        <v>102519584</v>
      </c>
      <c r="D1191" s="61"/>
      <c r="E1191" s="69" t="s">
        <v>2622</v>
      </c>
      <c r="F1191" s="57" t="s">
        <v>379</v>
      </c>
      <c r="G1191" s="88"/>
      <c r="H1191" s="88"/>
      <c r="I1191" s="88"/>
      <c r="J1191" s="72" t="s">
        <v>2397</v>
      </c>
      <c r="K1191" s="171"/>
      <c r="L1191" s="168"/>
      <c r="M1191" s="171"/>
      <c r="N1191" s="171"/>
      <c r="O1191" s="171"/>
      <c r="P1191" s="88" t="s">
        <v>5070</v>
      </c>
    </row>
    <row r="1192" spans="1:16" x14ac:dyDescent="0.25">
      <c r="A1192" s="5">
        <v>239</v>
      </c>
      <c r="B1192" s="60"/>
      <c r="C1192" s="66">
        <f>'Baru NIS'!C269</f>
        <v>102519752</v>
      </c>
      <c r="D1192" s="61"/>
      <c r="E1192" s="73" t="s">
        <v>2623</v>
      </c>
      <c r="F1192" s="74" t="s">
        <v>381</v>
      </c>
      <c r="G1192" s="88"/>
      <c r="H1192" s="88"/>
      <c r="I1192" s="88"/>
      <c r="J1192" s="72" t="s">
        <v>2377</v>
      </c>
      <c r="K1192" s="171"/>
      <c r="L1192" s="168"/>
      <c r="M1192" s="171"/>
      <c r="N1192" s="171"/>
      <c r="O1192" s="171"/>
      <c r="P1192" s="88" t="s">
        <v>5070</v>
      </c>
    </row>
    <row r="1193" spans="1:16" x14ac:dyDescent="0.25">
      <c r="A1193" s="5">
        <v>240</v>
      </c>
      <c r="B1193" s="60"/>
      <c r="C1193" s="66">
        <f>'Baru NIS'!C62</f>
        <v>102519585</v>
      </c>
      <c r="D1193" s="61"/>
      <c r="E1193" s="67" t="s">
        <v>2624</v>
      </c>
      <c r="F1193" s="68" t="s">
        <v>381</v>
      </c>
      <c r="G1193" s="88"/>
      <c r="H1193" s="88"/>
      <c r="I1193" s="88"/>
      <c r="J1193" s="72" t="s">
        <v>2397</v>
      </c>
      <c r="K1193" s="171"/>
      <c r="L1193" s="168"/>
      <c r="M1193" s="171"/>
      <c r="N1193" s="171"/>
      <c r="O1193" s="171"/>
      <c r="P1193" s="88" t="s">
        <v>5070</v>
      </c>
    </row>
    <row r="1194" spans="1:16" x14ac:dyDescent="0.25">
      <c r="A1194" s="5">
        <v>241</v>
      </c>
      <c r="B1194" s="60"/>
      <c r="C1194" s="66">
        <f>'Baru NIS'!C165</f>
        <v>102519688</v>
      </c>
      <c r="D1194" s="61"/>
      <c r="E1194" s="77" t="s">
        <v>2625</v>
      </c>
      <c r="F1194" s="78" t="s">
        <v>379</v>
      </c>
      <c r="G1194" s="88"/>
      <c r="H1194" s="88"/>
      <c r="I1194" s="88"/>
      <c r="J1194" s="72" t="s">
        <v>2399</v>
      </c>
      <c r="K1194" s="171"/>
      <c r="L1194" s="168"/>
      <c r="M1194" s="171"/>
      <c r="N1194" s="171"/>
      <c r="O1194" s="171"/>
      <c r="P1194" s="88" t="s">
        <v>5070</v>
      </c>
    </row>
    <row r="1195" spans="1:16" x14ac:dyDescent="0.25">
      <c r="A1195" s="5">
        <v>242</v>
      </c>
      <c r="B1195" s="60"/>
      <c r="C1195" s="66">
        <f>'Baru NIS'!C270</f>
        <v>102519753</v>
      </c>
      <c r="D1195" s="61"/>
      <c r="E1195" s="58" t="s">
        <v>2626</v>
      </c>
      <c r="F1195" s="5" t="s">
        <v>381</v>
      </c>
      <c r="G1195" s="88"/>
      <c r="H1195" s="88"/>
      <c r="I1195" s="88"/>
      <c r="J1195" s="72" t="s">
        <v>2377</v>
      </c>
      <c r="K1195" s="171"/>
      <c r="L1195" s="168"/>
      <c r="M1195" s="171"/>
      <c r="N1195" s="171"/>
      <c r="O1195" s="171"/>
      <c r="P1195" s="88" t="s">
        <v>5070</v>
      </c>
    </row>
    <row r="1196" spans="1:16" x14ac:dyDescent="0.25">
      <c r="A1196" s="5">
        <v>243</v>
      </c>
      <c r="B1196" s="60"/>
      <c r="C1196" s="66">
        <f>'Baru NIS'!C230</f>
        <v>102519793</v>
      </c>
      <c r="D1196" s="61"/>
      <c r="E1196" s="58" t="s">
        <v>2627</v>
      </c>
      <c r="F1196" s="5" t="s">
        <v>379</v>
      </c>
      <c r="G1196" s="88"/>
      <c r="H1196" s="88"/>
      <c r="I1196" s="88"/>
      <c r="J1196" s="72" t="s">
        <v>2379</v>
      </c>
      <c r="K1196" s="171"/>
      <c r="L1196" s="168"/>
      <c r="M1196" s="171"/>
      <c r="N1196" s="171"/>
      <c r="O1196" s="171"/>
      <c r="P1196" s="88" t="s">
        <v>5070</v>
      </c>
    </row>
    <row r="1197" spans="1:16" x14ac:dyDescent="0.25">
      <c r="A1197" s="5">
        <v>244</v>
      </c>
      <c r="B1197" s="60"/>
      <c r="C1197" s="66">
        <f>'Baru NIS'!C131</f>
        <v>102519654</v>
      </c>
      <c r="D1197" s="61"/>
      <c r="E1197" s="69" t="s">
        <v>2628</v>
      </c>
      <c r="F1197" s="57" t="s">
        <v>379</v>
      </c>
      <c r="G1197" s="88"/>
      <c r="H1197" s="88"/>
      <c r="I1197" s="88"/>
      <c r="J1197" s="72" t="s">
        <v>2371</v>
      </c>
      <c r="K1197" s="171"/>
      <c r="L1197" s="168"/>
      <c r="M1197" s="171"/>
      <c r="N1197" s="171"/>
      <c r="O1197" s="171"/>
      <c r="P1197" s="88" t="s">
        <v>5070</v>
      </c>
    </row>
    <row r="1198" spans="1:16" x14ac:dyDescent="0.25">
      <c r="A1198" s="5">
        <v>245</v>
      </c>
      <c r="B1198" s="60"/>
      <c r="C1198" s="66">
        <f>'Baru NIS'!C378</f>
        <v>102519901</v>
      </c>
      <c r="D1198" s="61"/>
      <c r="E1198" s="58" t="s">
        <v>2629</v>
      </c>
      <c r="F1198" s="5" t="s">
        <v>381</v>
      </c>
      <c r="G1198" s="88"/>
      <c r="H1198" s="88"/>
      <c r="I1198" s="88"/>
      <c r="J1198" s="72" t="s">
        <v>2402</v>
      </c>
      <c r="K1198" s="171"/>
      <c r="L1198" s="168"/>
      <c r="M1198" s="171"/>
      <c r="N1198" s="171"/>
      <c r="O1198" s="171"/>
      <c r="P1198" s="88" t="s">
        <v>5070</v>
      </c>
    </row>
    <row r="1199" spans="1:16" x14ac:dyDescent="0.25">
      <c r="A1199" s="5">
        <v>246</v>
      </c>
      <c r="B1199" s="60"/>
      <c r="C1199" s="66">
        <f>'Baru NIS'!C25</f>
        <v>102519548</v>
      </c>
      <c r="D1199" s="61"/>
      <c r="E1199" s="67" t="s">
        <v>2630</v>
      </c>
      <c r="F1199" s="68" t="s">
        <v>381</v>
      </c>
      <c r="G1199" s="88"/>
      <c r="H1199" s="88"/>
      <c r="I1199" s="88"/>
      <c r="J1199" s="72" t="s">
        <v>2386</v>
      </c>
      <c r="K1199" s="171"/>
      <c r="L1199" s="168"/>
      <c r="M1199" s="171"/>
      <c r="N1199" s="171"/>
      <c r="O1199" s="171"/>
      <c r="P1199" s="88" t="s">
        <v>5070</v>
      </c>
    </row>
    <row r="1200" spans="1:16" x14ac:dyDescent="0.25">
      <c r="A1200" s="5">
        <v>247</v>
      </c>
      <c r="B1200" s="60"/>
      <c r="C1200" s="66">
        <f>'Baru NIS'!C26</f>
        <v>102519549</v>
      </c>
      <c r="D1200" s="61"/>
      <c r="E1200" s="67" t="s">
        <v>2631</v>
      </c>
      <c r="F1200" s="68" t="s">
        <v>381</v>
      </c>
      <c r="G1200" s="88"/>
      <c r="H1200" s="88"/>
      <c r="I1200" s="88"/>
      <c r="J1200" s="72" t="s">
        <v>2386</v>
      </c>
      <c r="K1200" s="171"/>
      <c r="L1200" s="168"/>
      <c r="M1200" s="171"/>
      <c r="N1200" s="171"/>
      <c r="O1200" s="171"/>
      <c r="P1200" s="88" t="s">
        <v>5070</v>
      </c>
    </row>
    <row r="1201" spans="1:16" x14ac:dyDescent="0.25">
      <c r="A1201" s="5">
        <v>248</v>
      </c>
      <c r="B1201" s="60"/>
      <c r="C1201" s="66">
        <f>'Baru NIS'!C311</f>
        <v>102519834</v>
      </c>
      <c r="D1201" s="61"/>
      <c r="E1201" s="73" t="s">
        <v>2632</v>
      </c>
      <c r="F1201" s="74" t="s">
        <v>381</v>
      </c>
      <c r="G1201" s="88"/>
      <c r="H1201" s="88"/>
      <c r="I1201" s="88"/>
      <c r="J1201" s="72" t="s">
        <v>2375</v>
      </c>
      <c r="K1201" s="171"/>
      <c r="L1201" s="168"/>
      <c r="M1201" s="171"/>
      <c r="N1201" s="171"/>
      <c r="O1201" s="171"/>
      <c r="P1201" s="88" t="s">
        <v>5070</v>
      </c>
    </row>
    <row r="1202" spans="1:16" x14ac:dyDescent="0.25">
      <c r="A1202" s="5">
        <v>249</v>
      </c>
      <c r="B1202" s="60"/>
      <c r="C1202" s="66">
        <f>'Baru NIS'!C93</f>
        <v>102519616</v>
      </c>
      <c r="D1202" s="61"/>
      <c r="E1202" s="67" t="s">
        <v>2633</v>
      </c>
      <c r="F1202" s="68" t="s">
        <v>381</v>
      </c>
      <c r="G1202" s="88"/>
      <c r="H1202" s="88"/>
      <c r="I1202" s="88"/>
      <c r="J1202" s="72" t="s">
        <v>2389</v>
      </c>
      <c r="K1202" s="171"/>
      <c r="L1202" s="168"/>
      <c r="M1202" s="171"/>
      <c r="N1202" s="171"/>
      <c r="O1202" s="171"/>
      <c r="P1202" s="88" t="s">
        <v>5070</v>
      </c>
    </row>
    <row r="1203" spans="1:16" x14ac:dyDescent="0.25">
      <c r="A1203" s="5">
        <v>250</v>
      </c>
      <c r="B1203" s="60"/>
      <c r="C1203" s="66">
        <f>'Baru NIS'!C202</f>
        <v>102519725</v>
      </c>
      <c r="D1203" s="61"/>
      <c r="E1203" s="69" t="s">
        <v>2634</v>
      </c>
      <c r="F1203" s="57" t="s">
        <v>381</v>
      </c>
      <c r="G1203" s="88"/>
      <c r="H1203" s="88"/>
      <c r="I1203" s="88"/>
      <c r="J1203" s="72" t="s">
        <v>2373</v>
      </c>
      <c r="K1203" s="171"/>
      <c r="L1203" s="168"/>
      <c r="M1203" s="171"/>
      <c r="N1203" s="171"/>
      <c r="O1203" s="171"/>
      <c r="P1203" s="88" t="s">
        <v>5070</v>
      </c>
    </row>
    <row r="1204" spans="1:16" x14ac:dyDescent="0.25">
      <c r="A1204" s="5">
        <v>251</v>
      </c>
      <c r="B1204" s="60"/>
      <c r="C1204" s="66">
        <f>'Baru NIS'!C379</f>
        <v>102519902</v>
      </c>
      <c r="D1204" s="61"/>
      <c r="E1204" s="58" t="s">
        <v>2635</v>
      </c>
      <c r="F1204" s="5" t="s">
        <v>381</v>
      </c>
      <c r="G1204" s="88"/>
      <c r="H1204" s="88"/>
      <c r="I1204" s="88"/>
      <c r="J1204" s="72" t="s">
        <v>2402</v>
      </c>
      <c r="K1204" s="171"/>
      <c r="L1204" s="168"/>
      <c r="M1204" s="171"/>
      <c r="N1204" s="171"/>
      <c r="O1204" s="171"/>
      <c r="P1204" s="88" t="s">
        <v>5070</v>
      </c>
    </row>
    <row r="1205" spans="1:16" x14ac:dyDescent="0.25">
      <c r="A1205" s="5">
        <v>252</v>
      </c>
      <c r="B1205" s="60"/>
      <c r="C1205" s="66">
        <f>'Baru NIS'!C203</f>
        <v>102519726</v>
      </c>
      <c r="D1205" s="61"/>
      <c r="E1205" s="67" t="s">
        <v>2636</v>
      </c>
      <c r="F1205" s="68" t="s">
        <v>381</v>
      </c>
      <c r="G1205" s="88"/>
      <c r="H1205" s="88"/>
      <c r="I1205" s="88"/>
      <c r="J1205" s="72" t="s">
        <v>2373</v>
      </c>
      <c r="K1205" s="171"/>
      <c r="L1205" s="168"/>
      <c r="M1205" s="171"/>
      <c r="N1205" s="171"/>
      <c r="O1205" s="171"/>
      <c r="P1205" s="88" t="s">
        <v>5070</v>
      </c>
    </row>
    <row r="1206" spans="1:16" x14ac:dyDescent="0.25">
      <c r="A1206" s="5">
        <v>253</v>
      </c>
      <c r="B1206" s="60"/>
      <c r="C1206" s="66">
        <f>'Baru NIS'!C231</f>
        <v>102519794</v>
      </c>
      <c r="D1206" s="61"/>
      <c r="E1206" s="73" t="s">
        <v>2637</v>
      </c>
      <c r="F1206" s="74" t="s">
        <v>381</v>
      </c>
      <c r="G1206" s="88"/>
      <c r="H1206" s="88"/>
      <c r="I1206" s="88"/>
      <c r="J1206" s="72" t="s">
        <v>2379</v>
      </c>
      <c r="K1206" s="171"/>
      <c r="L1206" s="168"/>
      <c r="M1206" s="171"/>
      <c r="N1206" s="171"/>
      <c r="O1206" s="171"/>
      <c r="P1206" s="88" t="s">
        <v>5070</v>
      </c>
    </row>
    <row r="1207" spans="1:16" x14ac:dyDescent="0.25">
      <c r="A1207" s="5">
        <v>254</v>
      </c>
      <c r="B1207" s="60"/>
      <c r="C1207" s="66">
        <f>'Baru NIS'!C342</f>
        <v>102519865</v>
      </c>
      <c r="D1207" s="61"/>
      <c r="E1207" s="58" t="s">
        <v>2638</v>
      </c>
      <c r="F1207" s="5" t="s">
        <v>379</v>
      </c>
      <c r="G1207" s="88"/>
      <c r="H1207" s="88"/>
      <c r="I1207" s="88"/>
      <c r="J1207" s="72" t="s">
        <v>2383</v>
      </c>
      <c r="K1207" s="171"/>
      <c r="L1207" s="168"/>
      <c r="M1207" s="171"/>
      <c r="N1207" s="171"/>
      <c r="O1207" s="171"/>
      <c r="P1207" s="88" t="s">
        <v>5070</v>
      </c>
    </row>
    <row r="1208" spans="1:16" x14ac:dyDescent="0.25">
      <c r="A1208" s="5">
        <v>255</v>
      </c>
      <c r="B1208" s="60"/>
      <c r="C1208" s="66">
        <f>'Baru NIS'!C94</f>
        <v>102519617</v>
      </c>
      <c r="D1208" s="61"/>
      <c r="E1208" s="67" t="s">
        <v>2639</v>
      </c>
      <c r="F1208" s="68" t="s">
        <v>381</v>
      </c>
      <c r="G1208" s="88"/>
      <c r="H1208" s="88"/>
      <c r="I1208" s="88"/>
      <c r="J1208" s="72" t="s">
        <v>2389</v>
      </c>
      <c r="K1208" s="171"/>
      <c r="L1208" s="168"/>
      <c r="M1208" s="171"/>
      <c r="N1208" s="171"/>
      <c r="O1208" s="171"/>
      <c r="P1208" s="88" t="s">
        <v>5070</v>
      </c>
    </row>
    <row r="1209" spans="1:16" x14ac:dyDescent="0.25">
      <c r="A1209" s="5">
        <v>256</v>
      </c>
      <c r="B1209" s="60"/>
      <c r="C1209" s="66">
        <f>'Baru NIS'!C95</f>
        <v>102519618</v>
      </c>
      <c r="D1209" s="61"/>
      <c r="E1209" s="67" t="s">
        <v>2640</v>
      </c>
      <c r="F1209" s="68" t="s">
        <v>381</v>
      </c>
      <c r="G1209" s="88"/>
      <c r="H1209" s="88"/>
      <c r="I1209" s="88"/>
      <c r="J1209" s="72" t="s">
        <v>2389</v>
      </c>
      <c r="K1209" s="171"/>
      <c r="L1209" s="168"/>
      <c r="M1209" s="171"/>
      <c r="N1209" s="171"/>
      <c r="O1209" s="171"/>
      <c r="P1209" s="88" t="s">
        <v>5070</v>
      </c>
    </row>
    <row r="1210" spans="1:16" x14ac:dyDescent="0.25">
      <c r="A1210" s="5">
        <v>257</v>
      </c>
      <c r="B1210" s="60"/>
      <c r="C1210" s="66">
        <f>'Baru NIS'!C27</f>
        <v>102519550</v>
      </c>
      <c r="D1210" s="61"/>
      <c r="E1210" s="67" t="s">
        <v>2641</v>
      </c>
      <c r="F1210" s="68" t="s">
        <v>381</v>
      </c>
      <c r="G1210" s="88"/>
      <c r="H1210" s="88"/>
      <c r="I1210" s="88"/>
      <c r="J1210" s="72" t="s">
        <v>2386</v>
      </c>
      <c r="K1210" s="171"/>
      <c r="L1210" s="168"/>
      <c r="M1210" s="171"/>
      <c r="N1210" s="171"/>
      <c r="O1210" s="171"/>
      <c r="P1210" s="88" t="s">
        <v>5070</v>
      </c>
    </row>
    <row r="1211" spans="1:16" x14ac:dyDescent="0.25">
      <c r="A1211" s="5">
        <v>258</v>
      </c>
      <c r="B1211" s="60"/>
      <c r="C1211" s="66">
        <f>'Baru NIS'!C166</f>
        <v>102519689</v>
      </c>
      <c r="D1211" s="61"/>
      <c r="E1211" s="75" t="s">
        <v>2642</v>
      </c>
      <c r="F1211" s="76" t="s">
        <v>379</v>
      </c>
      <c r="G1211" s="88"/>
      <c r="H1211" s="88"/>
      <c r="I1211" s="88"/>
      <c r="J1211" s="72" t="s">
        <v>2399</v>
      </c>
      <c r="K1211" s="171"/>
      <c r="L1211" s="168"/>
      <c r="M1211" s="171"/>
      <c r="N1211" s="171"/>
      <c r="O1211" s="171"/>
      <c r="P1211" s="88" t="s">
        <v>5070</v>
      </c>
    </row>
    <row r="1212" spans="1:16" x14ac:dyDescent="0.25">
      <c r="A1212" s="5">
        <v>259</v>
      </c>
      <c r="B1212" s="60"/>
      <c r="C1212" s="66">
        <f>'Baru NIS'!C132</f>
        <v>102519655</v>
      </c>
      <c r="D1212" s="61"/>
      <c r="E1212" s="67" t="s">
        <v>2643</v>
      </c>
      <c r="F1212" s="68" t="s">
        <v>381</v>
      </c>
      <c r="G1212" s="88"/>
      <c r="H1212" s="88"/>
      <c r="I1212" s="88"/>
      <c r="J1212" s="72" t="s">
        <v>2371</v>
      </c>
      <c r="K1212" s="171"/>
      <c r="L1212" s="168"/>
      <c r="M1212" s="171"/>
      <c r="N1212" s="171"/>
      <c r="O1212" s="171"/>
      <c r="P1212" s="88" t="s">
        <v>5070</v>
      </c>
    </row>
    <row r="1213" spans="1:16" x14ac:dyDescent="0.25">
      <c r="A1213" s="5">
        <v>260</v>
      </c>
      <c r="B1213" s="60"/>
      <c r="C1213" s="66">
        <f>'Baru NIS'!C271</f>
        <v>102519754</v>
      </c>
      <c r="D1213" s="61"/>
      <c r="E1213" s="58" t="s">
        <v>2644</v>
      </c>
      <c r="F1213" s="5" t="s">
        <v>381</v>
      </c>
      <c r="G1213" s="88"/>
      <c r="H1213" s="88"/>
      <c r="I1213" s="88"/>
      <c r="J1213" s="72" t="s">
        <v>2377</v>
      </c>
      <c r="K1213" s="171"/>
      <c r="L1213" s="168"/>
      <c r="M1213" s="171"/>
      <c r="N1213" s="171"/>
      <c r="O1213" s="171"/>
      <c r="P1213" s="88" t="s">
        <v>5070</v>
      </c>
    </row>
    <row r="1214" spans="1:16" x14ac:dyDescent="0.25">
      <c r="A1214" s="5">
        <v>261</v>
      </c>
      <c r="B1214" s="60"/>
      <c r="C1214" s="66">
        <f>'Baru NIS'!C204</f>
        <v>102519727</v>
      </c>
      <c r="D1214" s="61"/>
      <c r="E1214" s="67" t="s">
        <v>2645</v>
      </c>
      <c r="F1214" s="68" t="s">
        <v>381</v>
      </c>
      <c r="G1214" s="88"/>
      <c r="H1214" s="88"/>
      <c r="I1214" s="88"/>
      <c r="J1214" s="72" t="s">
        <v>2373</v>
      </c>
      <c r="K1214" s="171"/>
      <c r="L1214" s="168"/>
      <c r="M1214" s="171"/>
      <c r="N1214" s="171"/>
      <c r="O1214" s="171"/>
      <c r="P1214" s="88" t="s">
        <v>5070</v>
      </c>
    </row>
    <row r="1215" spans="1:16" x14ac:dyDescent="0.25">
      <c r="A1215" s="5">
        <v>262</v>
      </c>
      <c r="B1215" s="60"/>
      <c r="C1215" s="66">
        <f>'Baru NIS'!C63</f>
        <v>102519586</v>
      </c>
      <c r="D1215" s="61"/>
      <c r="E1215" s="67" t="s">
        <v>2646</v>
      </c>
      <c r="F1215" s="68" t="s">
        <v>381</v>
      </c>
      <c r="G1215" s="88"/>
      <c r="H1215" s="88"/>
      <c r="I1215" s="88"/>
      <c r="J1215" s="72" t="s">
        <v>2397</v>
      </c>
      <c r="K1215" s="171"/>
      <c r="L1215" s="168"/>
      <c r="M1215" s="171"/>
      <c r="N1215" s="171"/>
      <c r="O1215" s="171"/>
      <c r="P1215" s="88" t="s">
        <v>5070</v>
      </c>
    </row>
    <row r="1216" spans="1:16" x14ac:dyDescent="0.25">
      <c r="A1216" s="5">
        <v>263</v>
      </c>
      <c r="B1216" s="60"/>
      <c r="C1216" s="66">
        <f>'Baru NIS'!C312</f>
        <v>102519835</v>
      </c>
      <c r="D1216" s="61"/>
      <c r="E1216" s="73" t="s">
        <v>2647</v>
      </c>
      <c r="F1216" s="74" t="s">
        <v>379</v>
      </c>
      <c r="G1216" s="88"/>
      <c r="H1216" s="88"/>
      <c r="I1216" s="88"/>
      <c r="J1216" s="72" t="s">
        <v>2375</v>
      </c>
      <c r="K1216" s="171"/>
      <c r="L1216" s="168"/>
      <c r="M1216" s="171"/>
      <c r="N1216" s="171"/>
      <c r="O1216" s="171"/>
      <c r="P1216" s="88" t="s">
        <v>5070</v>
      </c>
    </row>
    <row r="1217" spans="1:16" x14ac:dyDescent="0.25">
      <c r="A1217" s="5">
        <v>264</v>
      </c>
      <c r="B1217" s="60"/>
      <c r="C1217" s="66">
        <f>'Baru NIS'!C272</f>
        <v>102519755</v>
      </c>
      <c r="D1217" s="61"/>
      <c r="E1217" s="58" t="s">
        <v>2648</v>
      </c>
      <c r="F1217" s="5" t="s">
        <v>379</v>
      </c>
      <c r="G1217" s="88"/>
      <c r="H1217" s="88"/>
      <c r="I1217" s="88"/>
      <c r="J1217" s="72" t="s">
        <v>2377</v>
      </c>
      <c r="K1217" s="171"/>
      <c r="L1217" s="168"/>
      <c r="M1217" s="171"/>
      <c r="N1217" s="171"/>
      <c r="O1217" s="171"/>
      <c r="P1217" s="88" t="s">
        <v>5070</v>
      </c>
    </row>
    <row r="1218" spans="1:16" x14ac:dyDescent="0.25">
      <c r="A1218" s="5">
        <v>265</v>
      </c>
      <c r="B1218" s="60"/>
      <c r="C1218" s="66">
        <f>'Baru NIS'!C343</f>
        <v>102519866</v>
      </c>
      <c r="D1218" s="61"/>
      <c r="E1218" s="73" t="s">
        <v>2649</v>
      </c>
      <c r="F1218" s="74" t="s">
        <v>381</v>
      </c>
      <c r="G1218" s="88"/>
      <c r="H1218" s="88"/>
      <c r="I1218" s="88"/>
      <c r="J1218" s="72" t="s">
        <v>2383</v>
      </c>
      <c r="K1218" s="171"/>
      <c r="L1218" s="168"/>
      <c r="M1218" s="171"/>
      <c r="N1218" s="171"/>
      <c r="O1218" s="171"/>
      <c r="P1218" s="88" t="s">
        <v>5070</v>
      </c>
    </row>
    <row r="1219" spans="1:16" x14ac:dyDescent="0.25">
      <c r="A1219" s="5">
        <v>266</v>
      </c>
      <c r="B1219" s="60"/>
      <c r="C1219" s="66">
        <f>'Baru NIS'!C313</f>
        <v>102519836</v>
      </c>
      <c r="D1219" s="61"/>
      <c r="E1219" s="73" t="s">
        <v>2650</v>
      </c>
      <c r="F1219" s="74" t="s">
        <v>381</v>
      </c>
      <c r="G1219" s="88"/>
      <c r="H1219" s="88"/>
      <c r="I1219" s="88"/>
      <c r="J1219" s="72" t="s">
        <v>2375</v>
      </c>
      <c r="K1219" s="171"/>
      <c r="L1219" s="168"/>
      <c r="M1219" s="171"/>
      <c r="N1219" s="171"/>
      <c r="O1219" s="171"/>
      <c r="P1219" s="88" t="s">
        <v>5070</v>
      </c>
    </row>
    <row r="1220" spans="1:16" x14ac:dyDescent="0.25">
      <c r="A1220" s="5">
        <v>267</v>
      </c>
      <c r="B1220" s="60"/>
      <c r="C1220" s="66">
        <f>'Baru NIS'!C133</f>
        <v>102519656</v>
      </c>
      <c r="D1220" s="61"/>
      <c r="E1220" s="67" t="s">
        <v>2651</v>
      </c>
      <c r="F1220" s="68" t="s">
        <v>379</v>
      </c>
      <c r="G1220" s="88"/>
      <c r="H1220" s="88"/>
      <c r="I1220" s="88"/>
      <c r="J1220" s="72" t="s">
        <v>2371</v>
      </c>
      <c r="K1220" s="171"/>
      <c r="L1220" s="168"/>
      <c r="M1220" s="171"/>
      <c r="N1220" s="171"/>
      <c r="O1220" s="171"/>
      <c r="P1220" s="88" t="s">
        <v>5070</v>
      </c>
    </row>
    <row r="1221" spans="1:16" x14ac:dyDescent="0.25">
      <c r="A1221" s="5">
        <v>268</v>
      </c>
      <c r="B1221" s="60"/>
      <c r="C1221" s="66">
        <f>'Baru NIS'!C232</f>
        <v>102519795</v>
      </c>
      <c r="D1221" s="61"/>
      <c r="E1221" s="73" t="s">
        <v>2652</v>
      </c>
      <c r="F1221" s="74" t="s">
        <v>381</v>
      </c>
      <c r="G1221" s="88"/>
      <c r="H1221" s="88"/>
      <c r="I1221" s="88"/>
      <c r="J1221" s="72" t="s">
        <v>2379</v>
      </c>
      <c r="K1221" s="171"/>
      <c r="L1221" s="168"/>
      <c r="M1221" s="171"/>
      <c r="N1221" s="171"/>
      <c r="O1221" s="171"/>
      <c r="P1221" s="88" t="s">
        <v>5070</v>
      </c>
    </row>
    <row r="1222" spans="1:16" x14ac:dyDescent="0.25">
      <c r="A1222" s="5">
        <v>269</v>
      </c>
      <c r="B1222" s="60"/>
      <c r="C1222" s="66">
        <f>'Baru NIS'!C28</f>
        <v>102519551</v>
      </c>
      <c r="D1222" s="61"/>
      <c r="E1222" s="67" t="s">
        <v>2653</v>
      </c>
      <c r="F1222" s="68" t="s">
        <v>381</v>
      </c>
      <c r="G1222" s="88"/>
      <c r="H1222" s="88"/>
      <c r="I1222" s="88"/>
      <c r="J1222" s="72" t="s">
        <v>2386</v>
      </c>
      <c r="K1222" s="171"/>
      <c r="L1222" s="168"/>
      <c r="M1222" s="171"/>
      <c r="N1222" s="171"/>
      <c r="O1222" s="171"/>
      <c r="P1222" s="88" t="s">
        <v>5070</v>
      </c>
    </row>
    <row r="1223" spans="1:16" x14ac:dyDescent="0.25">
      <c r="A1223" s="5">
        <v>270</v>
      </c>
      <c r="B1223" s="60"/>
      <c r="C1223" s="66">
        <f>'Baru NIS'!C315</f>
        <v>102519838</v>
      </c>
      <c r="D1223" s="61"/>
      <c r="E1223" s="58" t="s">
        <v>2654</v>
      </c>
      <c r="F1223" s="5" t="s">
        <v>381</v>
      </c>
      <c r="G1223" s="88"/>
      <c r="H1223" s="88"/>
      <c r="I1223" s="88"/>
      <c r="J1223" s="72" t="s">
        <v>2375</v>
      </c>
      <c r="K1223" s="171"/>
      <c r="L1223" s="168"/>
      <c r="M1223" s="171"/>
      <c r="N1223" s="171"/>
      <c r="O1223" s="171"/>
      <c r="P1223" s="88" t="s">
        <v>5070</v>
      </c>
    </row>
    <row r="1224" spans="1:16" x14ac:dyDescent="0.25">
      <c r="A1224" s="5">
        <v>271</v>
      </c>
      <c r="B1224" s="60"/>
      <c r="C1224" s="66">
        <f>'Baru NIS'!C273</f>
        <v>102519756</v>
      </c>
      <c r="D1224" s="61"/>
      <c r="E1224" s="73" t="s">
        <v>2655</v>
      </c>
      <c r="F1224" s="74" t="s">
        <v>381</v>
      </c>
      <c r="G1224" s="88"/>
      <c r="H1224" s="88"/>
      <c r="I1224" s="88"/>
      <c r="J1224" s="72" t="s">
        <v>2377</v>
      </c>
      <c r="K1224" s="171"/>
      <c r="L1224" s="168"/>
      <c r="M1224" s="171"/>
      <c r="N1224" s="171"/>
      <c r="O1224" s="171"/>
      <c r="P1224" s="88" t="s">
        <v>5070</v>
      </c>
    </row>
    <row r="1225" spans="1:16" x14ac:dyDescent="0.25">
      <c r="A1225" s="5">
        <v>272</v>
      </c>
      <c r="B1225" s="60"/>
      <c r="C1225" s="66">
        <f>'Baru NIS'!C167</f>
        <v>102519690</v>
      </c>
      <c r="D1225" s="61"/>
      <c r="E1225" s="77" t="s">
        <v>2656</v>
      </c>
      <c r="F1225" s="78" t="s">
        <v>381</v>
      </c>
      <c r="G1225" s="88"/>
      <c r="H1225" s="88"/>
      <c r="I1225" s="88"/>
      <c r="J1225" s="72" t="s">
        <v>2399</v>
      </c>
      <c r="K1225" s="171"/>
      <c r="L1225" s="168"/>
      <c r="M1225" s="171"/>
      <c r="N1225" s="171"/>
      <c r="O1225" s="171"/>
      <c r="P1225" s="88" t="s">
        <v>5070</v>
      </c>
    </row>
    <row r="1226" spans="1:16" x14ac:dyDescent="0.25">
      <c r="A1226" s="5">
        <v>273</v>
      </c>
      <c r="B1226" s="60"/>
      <c r="C1226" s="66">
        <f>'Baru NIS'!C233</f>
        <v>102519796</v>
      </c>
      <c r="D1226" s="61"/>
      <c r="E1226" s="73" t="s">
        <v>2657</v>
      </c>
      <c r="F1226" s="74" t="s">
        <v>379</v>
      </c>
      <c r="G1226" s="88"/>
      <c r="H1226" s="88"/>
      <c r="I1226" s="88"/>
      <c r="J1226" s="72" t="s">
        <v>2379</v>
      </c>
      <c r="K1226" s="171"/>
      <c r="L1226" s="168"/>
      <c r="M1226" s="171"/>
      <c r="N1226" s="171"/>
      <c r="O1226" s="171"/>
      <c r="P1226" s="88" t="s">
        <v>5070</v>
      </c>
    </row>
    <row r="1227" spans="1:16" x14ac:dyDescent="0.25">
      <c r="A1227" s="5">
        <v>274</v>
      </c>
      <c r="B1227" s="60"/>
      <c r="C1227" s="66">
        <f>'Baru NIS'!C316</f>
        <v>102519839</v>
      </c>
      <c r="D1227" s="61"/>
      <c r="E1227" s="58" t="s">
        <v>2658</v>
      </c>
      <c r="F1227" s="5" t="s">
        <v>379</v>
      </c>
      <c r="G1227" s="88"/>
      <c r="H1227" s="88"/>
      <c r="I1227" s="88"/>
      <c r="J1227" s="72" t="s">
        <v>2375</v>
      </c>
      <c r="K1227" s="171"/>
      <c r="L1227" s="168"/>
      <c r="M1227" s="171"/>
      <c r="N1227" s="171"/>
      <c r="O1227" s="171"/>
      <c r="P1227" s="88" t="s">
        <v>5070</v>
      </c>
    </row>
    <row r="1228" spans="1:16" x14ac:dyDescent="0.25">
      <c r="A1228" s="5">
        <v>275</v>
      </c>
      <c r="B1228" s="60"/>
      <c r="C1228" s="66">
        <f>'Baru NIS'!C234</f>
        <v>102519797</v>
      </c>
      <c r="D1228" s="61"/>
      <c r="E1228" s="73" t="s">
        <v>2659</v>
      </c>
      <c r="F1228" s="74" t="s">
        <v>379</v>
      </c>
      <c r="G1228" s="88"/>
      <c r="H1228" s="88"/>
      <c r="I1228" s="88"/>
      <c r="J1228" s="72" t="s">
        <v>2379</v>
      </c>
      <c r="K1228" s="171"/>
      <c r="L1228" s="168"/>
      <c r="M1228" s="171"/>
      <c r="N1228" s="171"/>
      <c r="O1228" s="171"/>
      <c r="P1228" s="88" t="s">
        <v>5070</v>
      </c>
    </row>
    <row r="1229" spans="1:16" x14ac:dyDescent="0.25">
      <c r="A1229" s="5">
        <v>276</v>
      </c>
      <c r="B1229" s="60"/>
      <c r="C1229" s="66">
        <f>'Baru NIS'!C235</f>
        <v>102519798</v>
      </c>
      <c r="D1229" s="61"/>
      <c r="E1229" s="58" t="s">
        <v>2660</v>
      </c>
      <c r="F1229" s="5" t="s">
        <v>381</v>
      </c>
      <c r="G1229" s="88"/>
      <c r="H1229" s="88"/>
      <c r="I1229" s="88"/>
      <c r="J1229" s="72" t="s">
        <v>2379</v>
      </c>
      <c r="K1229" s="171"/>
      <c r="L1229" s="168"/>
      <c r="M1229" s="171"/>
      <c r="N1229" s="171"/>
      <c r="O1229" s="171"/>
      <c r="P1229" s="88" t="s">
        <v>5070</v>
      </c>
    </row>
    <row r="1230" spans="1:16" x14ac:dyDescent="0.25">
      <c r="A1230" s="5">
        <v>277</v>
      </c>
      <c r="B1230" s="60"/>
      <c r="C1230" s="66">
        <f>'Baru NIS'!C29</f>
        <v>102519552</v>
      </c>
      <c r="D1230" s="61"/>
      <c r="E1230" s="67" t="s">
        <v>2661</v>
      </c>
      <c r="F1230" s="68" t="s">
        <v>381</v>
      </c>
      <c r="G1230" s="88"/>
      <c r="H1230" s="88"/>
      <c r="I1230" s="88"/>
      <c r="J1230" s="72" t="s">
        <v>2386</v>
      </c>
      <c r="K1230" s="171"/>
      <c r="L1230" s="168"/>
      <c r="M1230" s="171"/>
      <c r="N1230" s="171"/>
      <c r="O1230" s="171"/>
      <c r="P1230" s="88" t="s">
        <v>5070</v>
      </c>
    </row>
    <row r="1231" spans="1:16" x14ac:dyDescent="0.25">
      <c r="A1231" s="5">
        <v>278</v>
      </c>
      <c r="B1231" s="60"/>
      <c r="C1231" s="66">
        <f>'Baru NIS'!C205</f>
        <v>102519728</v>
      </c>
      <c r="D1231" s="61"/>
      <c r="E1231" s="67" t="s">
        <v>2662</v>
      </c>
      <c r="F1231" s="68" t="s">
        <v>381</v>
      </c>
      <c r="G1231" s="88"/>
      <c r="H1231" s="88"/>
      <c r="I1231" s="88"/>
      <c r="J1231" s="72" t="s">
        <v>2373</v>
      </c>
      <c r="K1231" s="171"/>
      <c r="L1231" s="168"/>
      <c r="M1231" s="171"/>
      <c r="N1231" s="171"/>
      <c r="O1231" s="171"/>
      <c r="P1231" s="88" t="s">
        <v>5070</v>
      </c>
    </row>
    <row r="1232" spans="1:16" x14ac:dyDescent="0.25">
      <c r="A1232" s="5">
        <v>279</v>
      </c>
      <c r="B1232" s="60"/>
      <c r="C1232" s="66">
        <f>'Baru NIS'!C168</f>
        <v>102519691</v>
      </c>
      <c r="D1232" s="61"/>
      <c r="E1232" s="75" t="s">
        <v>2663</v>
      </c>
      <c r="F1232" s="76" t="s">
        <v>381</v>
      </c>
      <c r="G1232" s="88"/>
      <c r="H1232" s="88"/>
      <c r="I1232" s="88"/>
      <c r="J1232" s="72" t="s">
        <v>2399</v>
      </c>
      <c r="K1232" s="171"/>
      <c r="L1232" s="168"/>
      <c r="M1232" s="171"/>
      <c r="N1232" s="171"/>
      <c r="O1232" s="171"/>
      <c r="P1232" s="88" t="s">
        <v>5070</v>
      </c>
    </row>
    <row r="1233" spans="1:16" x14ac:dyDescent="0.25">
      <c r="A1233" s="5">
        <v>280</v>
      </c>
      <c r="B1233" s="60"/>
      <c r="C1233" s="66">
        <f>'Baru NIS'!C236</f>
        <v>102519799</v>
      </c>
      <c r="D1233" s="61"/>
      <c r="E1233" s="73" t="s">
        <v>2664</v>
      </c>
      <c r="F1233" s="74" t="s">
        <v>379</v>
      </c>
      <c r="G1233" s="88"/>
      <c r="H1233" s="88"/>
      <c r="I1233" s="88"/>
      <c r="J1233" s="72" t="s">
        <v>2379</v>
      </c>
      <c r="K1233" s="171"/>
      <c r="L1233" s="168"/>
      <c r="M1233" s="171"/>
      <c r="N1233" s="171"/>
      <c r="O1233" s="171"/>
      <c r="P1233" s="88" t="s">
        <v>5070</v>
      </c>
    </row>
    <row r="1234" spans="1:16" x14ac:dyDescent="0.25">
      <c r="A1234" s="5">
        <v>281</v>
      </c>
      <c r="B1234" s="60"/>
      <c r="C1234" s="66">
        <f>'Baru NIS'!C274</f>
        <v>102519757</v>
      </c>
      <c r="D1234" s="61"/>
      <c r="E1234" s="73" t="s">
        <v>2665</v>
      </c>
      <c r="F1234" s="74" t="s">
        <v>379</v>
      </c>
      <c r="G1234" s="88"/>
      <c r="H1234" s="88"/>
      <c r="I1234" s="88"/>
      <c r="J1234" s="72" t="s">
        <v>2377</v>
      </c>
      <c r="K1234" s="171"/>
      <c r="L1234" s="168"/>
      <c r="M1234" s="171"/>
      <c r="N1234" s="171"/>
      <c r="O1234" s="171"/>
      <c r="P1234" s="88" t="s">
        <v>5070</v>
      </c>
    </row>
    <row r="1235" spans="1:16" x14ac:dyDescent="0.25">
      <c r="A1235" s="5">
        <v>282</v>
      </c>
      <c r="B1235" s="60"/>
      <c r="C1235" s="66">
        <f>'Baru NIS'!C169</f>
        <v>102519692</v>
      </c>
      <c r="D1235" s="61"/>
      <c r="E1235" s="77" t="s">
        <v>2666</v>
      </c>
      <c r="F1235" s="78" t="s">
        <v>379</v>
      </c>
      <c r="G1235" s="88"/>
      <c r="H1235" s="88"/>
      <c r="I1235" s="88"/>
      <c r="J1235" s="72" t="s">
        <v>2399</v>
      </c>
      <c r="K1235" s="171"/>
      <c r="L1235" s="168"/>
      <c r="M1235" s="171"/>
      <c r="N1235" s="171"/>
      <c r="O1235" s="171"/>
      <c r="P1235" s="88" t="s">
        <v>5070</v>
      </c>
    </row>
    <row r="1236" spans="1:16" x14ac:dyDescent="0.25">
      <c r="A1236" s="5">
        <v>283</v>
      </c>
      <c r="B1236" s="60"/>
      <c r="C1236" s="66">
        <f>'Baru NIS'!C237</f>
        <v>102519800</v>
      </c>
      <c r="D1236" s="61"/>
      <c r="E1236" s="73" t="s">
        <v>2667</v>
      </c>
      <c r="F1236" s="74" t="s">
        <v>379</v>
      </c>
      <c r="G1236" s="88"/>
      <c r="H1236" s="88"/>
      <c r="I1236" s="88"/>
      <c r="J1236" s="72" t="s">
        <v>2379</v>
      </c>
      <c r="K1236" s="171"/>
      <c r="L1236" s="168"/>
      <c r="M1236" s="171"/>
      <c r="N1236" s="171"/>
      <c r="O1236" s="171"/>
      <c r="P1236" s="88" t="s">
        <v>5070</v>
      </c>
    </row>
    <row r="1237" spans="1:16" x14ac:dyDescent="0.25">
      <c r="A1237" s="5">
        <v>284</v>
      </c>
      <c r="B1237" s="60"/>
      <c r="C1237" s="66">
        <f>'Baru NIS'!C96</f>
        <v>102519619</v>
      </c>
      <c r="D1237" s="61"/>
      <c r="E1237" s="67" t="s">
        <v>2668</v>
      </c>
      <c r="F1237" s="68" t="s">
        <v>381</v>
      </c>
      <c r="G1237" s="88"/>
      <c r="H1237" s="88"/>
      <c r="I1237" s="88"/>
      <c r="J1237" s="72" t="s">
        <v>2389</v>
      </c>
      <c r="K1237" s="171"/>
      <c r="L1237" s="168"/>
      <c r="M1237" s="171"/>
      <c r="N1237" s="171"/>
      <c r="O1237" s="171"/>
      <c r="P1237" s="88" t="s">
        <v>5070</v>
      </c>
    </row>
    <row r="1238" spans="1:16" x14ac:dyDescent="0.25">
      <c r="A1238" s="5">
        <v>285</v>
      </c>
      <c r="B1238" s="60"/>
      <c r="C1238" s="66">
        <f>'Baru NIS'!C170</f>
        <v>102519693</v>
      </c>
      <c r="D1238" s="61"/>
      <c r="E1238" s="77" t="s">
        <v>2669</v>
      </c>
      <c r="F1238" s="78" t="s">
        <v>381</v>
      </c>
      <c r="G1238" s="88"/>
      <c r="H1238" s="88"/>
      <c r="I1238" s="88"/>
      <c r="J1238" s="72" t="s">
        <v>2399</v>
      </c>
      <c r="K1238" s="171"/>
      <c r="L1238" s="168"/>
      <c r="M1238" s="171"/>
      <c r="N1238" s="171"/>
      <c r="O1238" s="171"/>
      <c r="P1238" s="88" t="s">
        <v>5070</v>
      </c>
    </row>
    <row r="1239" spans="1:16" x14ac:dyDescent="0.25">
      <c r="A1239" s="5">
        <v>286</v>
      </c>
      <c r="B1239" s="60"/>
      <c r="C1239" s="66">
        <f>'Baru NIS'!C97</f>
        <v>102519620</v>
      </c>
      <c r="D1239" s="61"/>
      <c r="E1239" s="69" t="s">
        <v>2670</v>
      </c>
      <c r="F1239" s="57" t="s">
        <v>381</v>
      </c>
      <c r="G1239" s="88"/>
      <c r="H1239" s="88"/>
      <c r="I1239" s="88"/>
      <c r="J1239" s="72" t="s">
        <v>2389</v>
      </c>
      <c r="K1239" s="171"/>
      <c r="L1239" s="168"/>
      <c r="M1239" s="171"/>
      <c r="N1239" s="171"/>
      <c r="O1239" s="171"/>
      <c r="P1239" s="88" t="s">
        <v>5070</v>
      </c>
    </row>
    <row r="1240" spans="1:16" x14ac:dyDescent="0.25">
      <c r="A1240" s="5">
        <v>287</v>
      </c>
      <c r="B1240" s="60"/>
      <c r="C1240" s="66">
        <f>'Baru NIS'!C275</f>
        <v>102519758</v>
      </c>
      <c r="D1240" s="61"/>
      <c r="E1240" s="73" t="s">
        <v>2671</v>
      </c>
      <c r="F1240" s="74" t="s">
        <v>379</v>
      </c>
      <c r="G1240" s="88"/>
      <c r="H1240" s="88"/>
      <c r="I1240" s="88"/>
      <c r="J1240" s="72" t="s">
        <v>2377</v>
      </c>
      <c r="K1240" s="171"/>
      <c r="L1240" s="168"/>
      <c r="M1240" s="171"/>
      <c r="N1240" s="171"/>
      <c r="O1240" s="171"/>
      <c r="P1240" s="88" t="s">
        <v>5070</v>
      </c>
    </row>
    <row r="1241" spans="1:16" x14ac:dyDescent="0.25">
      <c r="A1241" s="5">
        <v>288</v>
      </c>
      <c r="B1241" s="60"/>
      <c r="C1241" s="66">
        <f>'Baru NIS'!C98</f>
        <v>102519621</v>
      </c>
      <c r="D1241" s="61"/>
      <c r="E1241" s="69" t="s">
        <v>2672</v>
      </c>
      <c r="F1241" s="57" t="s">
        <v>379</v>
      </c>
      <c r="G1241" s="88"/>
      <c r="H1241" s="88"/>
      <c r="I1241" s="88"/>
      <c r="J1241" s="72" t="s">
        <v>2389</v>
      </c>
      <c r="K1241" s="171"/>
      <c r="L1241" s="168"/>
      <c r="M1241" s="171"/>
      <c r="N1241" s="171"/>
      <c r="O1241" s="171"/>
      <c r="P1241" s="88" t="s">
        <v>5070</v>
      </c>
    </row>
    <row r="1242" spans="1:16" x14ac:dyDescent="0.25">
      <c r="A1242" s="5">
        <v>289</v>
      </c>
      <c r="B1242" s="60"/>
      <c r="C1242" s="66">
        <f>'Baru NIS'!C206</f>
        <v>102519729</v>
      </c>
      <c r="D1242" s="61"/>
      <c r="E1242" s="67" t="s">
        <v>2673</v>
      </c>
      <c r="F1242" s="68" t="s">
        <v>379</v>
      </c>
      <c r="G1242" s="88"/>
      <c r="H1242" s="88"/>
      <c r="I1242" s="88"/>
      <c r="J1242" s="72" t="s">
        <v>2373</v>
      </c>
      <c r="K1242" s="171"/>
      <c r="L1242" s="168"/>
      <c r="M1242" s="171"/>
      <c r="N1242" s="171"/>
      <c r="O1242" s="171"/>
      <c r="P1242" s="88" t="s">
        <v>5070</v>
      </c>
    </row>
    <row r="1243" spans="1:16" x14ac:dyDescent="0.25">
      <c r="A1243" s="5">
        <v>290</v>
      </c>
      <c r="B1243" s="60"/>
      <c r="C1243" s="66">
        <f>'Baru NIS'!C239</f>
        <v>102519802</v>
      </c>
      <c r="D1243" s="61"/>
      <c r="E1243" s="58" t="s">
        <v>2674</v>
      </c>
      <c r="F1243" s="5" t="s">
        <v>379</v>
      </c>
      <c r="G1243" s="88"/>
      <c r="H1243" s="88"/>
      <c r="I1243" s="88"/>
      <c r="J1243" s="72" t="s">
        <v>2379</v>
      </c>
      <c r="K1243" s="171"/>
      <c r="L1243" s="168"/>
      <c r="M1243" s="171"/>
      <c r="N1243" s="171"/>
      <c r="O1243" s="171"/>
      <c r="P1243" s="88" t="s">
        <v>5070</v>
      </c>
    </row>
    <row r="1244" spans="1:16" x14ac:dyDescent="0.25">
      <c r="A1244" s="5">
        <v>291</v>
      </c>
      <c r="B1244" s="60"/>
      <c r="C1244" s="66">
        <f>'Baru NIS'!C171</f>
        <v>102519694</v>
      </c>
      <c r="D1244" s="61"/>
      <c r="E1244" s="77" t="s">
        <v>2675</v>
      </c>
      <c r="F1244" s="78" t="s">
        <v>381</v>
      </c>
      <c r="G1244" s="88"/>
      <c r="H1244" s="88"/>
      <c r="I1244" s="88"/>
      <c r="J1244" s="72" t="s">
        <v>2399</v>
      </c>
      <c r="K1244" s="171"/>
      <c r="L1244" s="168"/>
      <c r="M1244" s="171"/>
      <c r="N1244" s="171"/>
      <c r="O1244" s="171"/>
      <c r="P1244" s="88" t="s">
        <v>5070</v>
      </c>
    </row>
    <row r="1245" spans="1:16" x14ac:dyDescent="0.25">
      <c r="A1245" s="5">
        <v>292</v>
      </c>
      <c r="B1245" s="60"/>
      <c r="C1245" s="66">
        <f>'Baru NIS'!C240</f>
        <v>102519803</v>
      </c>
      <c r="D1245" s="61"/>
      <c r="E1245" s="73" t="s">
        <v>2676</v>
      </c>
      <c r="F1245" s="74" t="s">
        <v>379</v>
      </c>
      <c r="G1245" s="88"/>
      <c r="H1245" s="88"/>
      <c r="I1245" s="88"/>
      <c r="J1245" s="72" t="s">
        <v>2379</v>
      </c>
      <c r="K1245" s="171"/>
      <c r="L1245" s="168"/>
      <c r="M1245" s="171"/>
      <c r="N1245" s="171"/>
      <c r="O1245" s="171"/>
      <c r="P1245" s="88" t="s">
        <v>5070</v>
      </c>
    </row>
    <row r="1246" spans="1:16" x14ac:dyDescent="0.25">
      <c r="A1246" s="5">
        <v>293</v>
      </c>
      <c r="B1246" s="60"/>
      <c r="C1246" s="66">
        <f>'Baru NIS'!C64</f>
        <v>102519587</v>
      </c>
      <c r="D1246" s="61"/>
      <c r="E1246" s="67" t="s">
        <v>2677</v>
      </c>
      <c r="F1246" s="68" t="s">
        <v>379</v>
      </c>
      <c r="G1246" s="88"/>
      <c r="H1246" s="88"/>
      <c r="I1246" s="88"/>
      <c r="J1246" s="72" t="s">
        <v>2397</v>
      </c>
      <c r="K1246" s="171"/>
      <c r="L1246" s="168"/>
      <c r="M1246" s="171"/>
      <c r="N1246" s="171"/>
      <c r="O1246" s="171"/>
      <c r="P1246" s="88" t="s">
        <v>5070</v>
      </c>
    </row>
    <row r="1247" spans="1:16" x14ac:dyDescent="0.25">
      <c r="A1247" s="5">
        <v>294</v>
      </c>
      <c r="B1247" s="60"/>
      <c r="C1247" s="66">
        <f>'Baru NIS'!C344</f>
        <v>102519867</v>
      </c>
      <c r="D1247" s="61"/>
      <c r="E1247" s="58" t="s">
        <v>2678</v>
      </c>
      <c r="F1247" s="5" t="s">
        <v>379</v>
      </c>
      <c r="G1247" s="88"/>
      <c r="H1247" s="88"/>
      <c r="I1247" s="88"/>
      <c r="J1247" s="72" t="s">
        <v>2383</v>
      </c>
      <c r="K1247" s="171"/>
      <c r="L1247" s="168"/>
      <c r="M1247" s="171"/>
      <c r="N1247" s="171"/>
      <c r="O1247" s="171"/>
      <c r="P1247" s="88" t="s">
        <v>5070</v>
      </c>
    </row>
    <row r="1248" spans="1:16" x14ac:dyDescent="0.25">
      <c r="A1248" s="5">
        <v>295</v>
      </c>
      <c r="B1248" s="60"/>
      <c r="C1248" s="66">
        <f>'Baru NIS'!C241</f>
        <v>102519804</v>
      </c>
      <c r="D1248" s="61"/>
      <c r="E1248" s="73" t="s">
        <v>2679</v>
      </c>
      <c r="F1248" s="74" t="s">
        <v>379</v>
      </c>
      <c r="G1248" s="88"/>
      <c r="H1248" s="88"/>
      <c r="I1248" s="88"/>
      <c r="J1248" s="72" t="s">
        <v>2379</v>
      </c>
      <c r="K1248" s="171"/>
      <c r="L1248" s="168"/>
      <c r="M1248" s="171"/>
      <c r="N1248" s="171"/>
      <c r="O1248" s="171"/>
      <c r="P1248" s="88" t="s">
        <v>5070</v>
      </c>
    </row>
    <row r="1249" spans="1:16" x14ac:dyDescent="0.25">
      <c r="A1249" s="5">
        <v>296</v>
      </c>
      <c r="B1249" s="60"/>
      <c r="C1249" s="66">
        <f>'Baru NIS'!C276</f>
        <v>102519759</v>
      </c>
      <c r="D1249" s="61"/>
      <c r="E1249" s="73" t="s">
        <v>2680</v>
      </c>
      <c r="F1249" s="74" t="s">
        <v>379</v>
      </c>
      <c r="G1249" s="88"/>
      <c r="H1249" s="88"/>
      <c r="I1249" s="88"/>
      <c r="J1249" s="72" t="s">
        <v>2377</v>
      </c>
      <c r="K1249" s="171"/>
      <c r="L1249" s="168"/>
      <c r="M1249" s="171"/>
      <c r="N1249" s="171"/>
      <c r="O1249" s="171"/>
      <c r="P1249" s="88" t="s">
        <v>5070</v>
      </c>
    </row>
    <row r="1250" spans="1:16" x14ac:dyDescent="0.25">
      <c r="A1250" s="5">
        <v>297</v>
      </c>
      <c r="B1250" s="60"/>
      <c r="C1250" s="66">
        <f>'Baru NIS'!C242</f>
        <v>102519805</v>
      </c>
      <c r="D1250" s="61"/>
      <c r="E1250" s="73" t="s">
        <v>2681</v>
      </c>
      <c r="F1250" s="74" t="s">
        <v>379</v>
      </c>
      <c r="G1250" s="88"/>
      <c r="H1250" s="88"/>
      <c r="I1250" s="88"/>
      <c r="J1250" s="72" t="s">
        <v>2379</v>
      </c>
      <c r="K1250" s="171"/>
      <c r="L1250" s="168"/>
      <c r="M1250" s="171"/>
      <c r="N1250" s="171"/>
      <c r="O1250" s="171"/>
      <c r="P1250" s="88" t="s">
        <v>5070</v>
      </c>
    </row>
    <row r="1251" spans="1:16" x14ac:dyDescent="0.25">
      <c r="A1251" s="5">
        <v>298</v>
      </c>
      <c r="B1251" s="60"/>
      <c r="C1251" s="66">
        <f>'Baru NIS'!C86</f>
        <v>102519609</v>
      </c>
      <c r="D1251" s="61"/>
      <c r="E1251" s="67" t="s">
        <v>2682</v>
      </c>
      <c r="F1251" s="68" t="s">
        <v>381</v>
      </c>
      <c r="G1251" s="88"/>
      <c r="H1251" s="88"/>
      <c r="I1251" s="88"/>
      <c r="J1251" s="72" t="s">
        <v>2389</v>
      </c>
      <c r="K1251" s="171"/>
      <c r="L1251" s="168"/>
      <c r="M1251" s="171"/>
      <c r="N1251" s="171"/>
      <c r="O1251" s="171"/>
      <c r="P1251" s="88" t="s">
        <v>5070</v>
      </c>
    </row>
    <row r="1252" spans="1:16" x14ac:dyDescent="0.25">
      <c r="A1252" s="5">
        <v>299</v>
      </c>
      <c r="B1252" s="60"/>
      <c r="C1252" s="66">
        <f>'Baru NIS'!C345</f>
        <v>102519868</v>
      </c>
      <c r="D1252" s="61"/>
      <c r="E1252" s="73" t="s">
        <v>2683</v>
      </c>
      <c r="F1252" s="74" t="s">
        <v>381</v>
      </c>
      <c r="G1252" s="88"/>
      <c r="H1252" s="88"/>
      <c r="I1252" s="88"/>
      <c r="J1252" s="72" t="s">
        <v>2383</v>
      </c>
      <c r="K1252" s="171"/>
      <c r="L1252" s="168"/>
      <c r="M1252" s="171"/>
      <c r="N1252" s="171"/>
      <c r="O1252" s="171"/>
      <c r="P1252" s="88" t="s">
        <v>5070</v>
      </c>
    </row>
    <row r="1253" spans="1:16" x14ac:dyDescent="0.25">
      <c r="A1253" s="5">
        <v>300</v>
      </c>
      <c r="B1253" s="60"/>
      <c r="C1253" s="66">
        <f>'Baru NIS'!C207</f>
        <v>102519730</v>
      </c>
      <c r="D1253" s="61"/>
      <c r="E1253" s="69" t="s">
        <v>2684</v>
      </c>
      <c r="F1253" s="57" t="s">
        <v>381</v>
      </c>
      <c r="G1253" s="88"/>
      <c r="H1253" s="88"/>
      <c r="I1253" s="88"/>
      <c r="J1253" s="72" t="s">
        <v>2373</v>
      </c>
      <c r="K1253" s="171"/>
      <c r="L1253" s="168"/>
      <c r="M1253" s="171"/>
      <c r="N1253" s="171"/>
      <c r="O1253" s="171"/>
      <c r="P1253" s="88" t="s">
        <v>5070</v>
      </c>
    </row>
    <row r="1254" spans="1:16" x14ac:dyDescent="0.25">
      <c r="A1254" s="5">
        <v>301</v>
      </c>
      <c r="B1254" s="60"/>
      <c r="C1254" s="66">
        <f>'Baru NIS'!C243</f>
        <v>102519806</v>
      </c>
      <c r="D1254" s="61"/>
      <c r="E1254" s="73" t="s">
        <v>2685</v>
      </c>
      <c r="F1254" s="74" t="s">
        <v>379</v>
      </c>
      <c r="G1254" s="88"/>
      <c r="H1254" s="88"/>
      <c r="I1254" s="88"/>
      <c r="J1254" s="72" t="s">
        <v>2379</v>
      </c>
      <c r="K1254" s="171"/>
      <c r="L1254" s="168"/>
      <c r="M1254" s="171"/>
      <c r="N1254" s="171"/>
      <c r="O1254" s="171"/>
      <c r="P1254" s="88" t="s">
        <v>5070</v>
      </c>
    </row>
    <row r="1255" spans="1:16" x14ac:dyDescent="0.25">
      <c r="A1255" s="5">
        <v>302</v>
      </c>
      <c r="B1255" s="60"/>
      <c r="C1255" s="66">
        <f>'Baru NIS'!C134</f>
        <v>102519657</v>
      </c>
      <c r="D1255" s="61"/>
      <c r="E1255" s="67" t="s">
        <v>2686</v>
      </c>
      <c r="F1255" s="68" t="s">
        <v>381</v>
      </c>
      <c r="G1255" s="88"/>
      <c r="H1255" s="88"/>
      <c r="I1255" s="88"/>
      <c r="J1255" s="72" t="s">
        <v>2371</v>
      </c>
      <c r="K1255" s="171"/>
      <c r="L1255" s="168"/>
      <c r="M1255" s="171"/>
      <c r="N1255" s="171"/>
      <c r="O1255" s="171"/>
      <c r="P1255" s="88" t="s">
        <v>5070</v>
      </c>
    </row>
    <row r="1256" spans="1:16" x14ac:dyDescent="0.25">
      <c r="A1256" s="5">
        <v>303</v>
      </c>
      <c r="B1256" s="60"/>
      <c r="C1256" s="66">
        <f>'Baru NIS'!C135</f>
        <v>102519658</v>
      </c>
      <c r="D1256" s="61"/>
      <c r="E1256" s="67" t="s">
        <v>2687</v>
      </c>
      <c r="F1256" s="68" t="s">
        <v>379</v>
      </c>
      <c r="G1256" s="88"/>
      <c r="H1256" s="88"/>
      <c r="I1256" s="88"/>
      <c r="J1256" s="72" t="s">
        <v>2371</v>
      </c>
      <c r="K1256" s="171"/>
      <c r="L1256" s="168"/>
      <c r="M1256" s="171"/>
      <c r="N1256" s="171"/>
      <c r="O1256" s="171"/>
      <c r="P1256" s="88" t="s">
        <v>5070</v>
      </c>
    </row>
    <row r="1257" spans="1:16" x14ac:dyDescent="0.25">
      <c r="A1257" s="5">
        <v>304</v>
      </c>
      <c r="B1257" s="60"/>
      <c r="C1257" s="66">
        <f>'Baru NIS'!C380</f>
        <v>102519903</v>
      </c>
      <c r="D1257" s="61"/>
      <c r="E1257" s="73" t="s">
        <v>2688</v>
      </c>
      <c r="F1257" s="74" t="s">
        <v>379</v>
      </c>
      <c r="G1257" s="88"/>
      <c r="H1257" s="88"/>
      <c r="I1257" s="88"/>
      <c r="J1257" s="72" t="s">
        <v>2402</v>
      </c>
      <c r="K1257" s="171"/>
      <c r="L1257" s="168"/>
      <c r="M1257" s="171"/>
      <c r="N1257" s="171"/>
      <c r="O1257" s="171"/>
      <c r="P1257" s="88" t="s">
        <v>5070</v>
      </c>
    </row>
    <row r="1258" spans="1:16" x14ac:dyDescent="0.25">
      <c r="A1258" s="5">
        <v>305</v>
      </c>
      <c r="B1258" s="60"/>
      <c r="C1258" s="66">
        <f>'Baru NIS'!C136</f>
        <v>102519659</v>
      </c>
      <c r="D1258" s="61"/>
      <c r="E1258" s="67" t="s">
        <v>2689</v>
      </c>
      <c r="F1258" s="68" t="s">
        <v>381</v>
      </c>
      <c r="G1258" s="88"/>
      <c r="H1258" s="88"/>
      <c r="I1258" s="88"/>
      <c r="J1258" s="72" t="s">
        <v>2371</v>
      </c>
      <c r="K1258" s="171"/>
      <c r="L1258" s="168"/>
      <c r="M1258" s="171"/>
      <c r="N1258" s="171"/>
      <c r="O1258" s="171"/>
      <c r="P1258" s="88" t="s">
        <v>5070</v>
      </c>
    </row>
    <row r="1259" spans="1:16" x14ac:dyDescent="0.25">
      <c r="A1259" s="5">
        <v>306</v>
      </c>
      <c r="B1259" s="60"/>
      <c r="C1259" s="66">
        <f>'Baru NIS'!C277</f>
        <v>102519760</v>
      </c>
      <c r="D1259" s="61"/>
      <c r="E1259" s="73" t="s">
        <v>2690</v>
      </c>
      <c r="F1259" s="74" t="s">
        <v>379</v>
      </c>
      <c r="G1259" s="88"/>
      <c r="H1259" s="88"/>
      <c r="I1259" s="88"/>
      <c r="J1259" s="72" t="s">
        <v>2377</v>
      </c>
      <c r="K1259" s="171"/>
      <c r="L1259" s="168"/>
      <c r="M1259" s="171"/>
      <c r="N1259" s="171"/>
      <c r="O1259" s="171"/>
      <c r="P1259" s="88" t="s">
        <v>5070</v>
      </c>
    </row>
    <row r="1260" spans="1:16" x14ac:dyDescent="0.25">
      <c r="A1260" s="5">
        <v>307</v>
      </c>
      <c r="B1260" s="60"/>
      <c r="C1260" s="66">
        <f>'Baru NIS'!C381</f>
        <v>102519904</v>
      </c>
      <c r="D1260" s="61"/>
      <c r="E1260" s="58" t="s">
        <v>2691</v>
      </c>
      <c r="F1260" s="5" t="s">
        <v>379</v>
      </c>
      <c r="G1260" s="88"/>
      <c r="H1260" s="88"/>
      <c r="I1260" s="88"/>
      <c r="J1260" s="72" t="s">
        <v>2402</v>
      </c>
      <c r="K1260" s="171"/>
      <c r="L1260" s="168"/>
      <c r="M1260" s="171"/>
      <c r="N1260" s="171"/>
      <c r="O1260" s="171"/>
      <c r="P1260" s="88" t="s">
        <v>5070</v>
      </c>
    </row>
    <row r="1261" spans="1:16" x14ac:dyDescent="0.25">
      <c r="A1261" s="5">
        <v>308</v>
      </c>
      <c r="B1261" s="60"/>
      <c r="C1261" s="66">
        <f>'Baru NIS'!C278</f>
        <v>102519761</v>
      </c>
      <c r="D1261" s="61"/>
      <c r="E1261" s="58" t="s">
        <v>2692</v>
      </c>
      <c r="F1261" s="5" t="s">
        <v>381</v>
      </c>
      <c r="G1261" s="88"/>
      <c r="H1261" s="88"/>
      <c r="I1261" s="88"/>
      <c r="J1261" s="72" t="s">
        <v>2377</v>
      </c>
      <c r="K1261" s="171"/>
      <c r="L1261" s="168"/>
      <c r="M1261" s="171"/>
      <c r="N1261" s="171"/>
      <c r="O1261" s="171"/>
      <c r="P1261" s="88" t="s">
        <v>5070</v>
      </c>
    </row>
    <row r="1262" spans="1:16" x14ac:dyDescent="0.25">
      <c r="A1262" s="5">
        <v>309</v>
      </c>
      <c r="B1262" s="60"/>
      <c r="C1262" s="66">
        <f>'Baru NIS'!C346</f>
        <v>102519869</v>
      </c>
      <c r="D1262" s="61"/>
      <c r="E1262" s="73" t="s">
        <v>2693</v>
      </c>
      <c r="F1262" s="74" t="s">
        <v>381</v>
      </c>
      <c r="G1262" s="88"/>
      <c r="H1262" s="88"/>
      <c r="I1262" s="88"/>
      <c r="J1262" s="72" t="s">
        <v>2383</v>
      </c>
      <c r="K1262" s="171"/>
      <c r="L1262" s="168"/>
      <c r="M1262" s="171"/>
      <c r="N1262" s="171"/>
      <c r="O1262" s="171"/>
      <c r="P1262" s="88" t="s">
        <v>5070</v>
      </c>
    </row>
    <row r="1263" spans="1:16" x14ac:dyDescent="0.25">
      <c r="A1263" s="5">
        <v>310</v>
      </c>
      <c r="B1263" s="60"/>
      <c r="C1263" s="66">
        <f>'Baru NIS'!C65</f>
        <v>102519588</v>
      </c>
      <c r="D1263" s="61"/>
      <c r="E1263" s="67" t="s">
        <v>2694</v>
      </c>
      <c r="F1263" s="68" t="s">
        <v>381</v>
      </c>
      <c r="G1263" s="88"/>
      <c r="H1263" s="88"/>
      <c r="I1263" s="88"/>
      <c r="J1263" s="72" t="s">
        <v>2397</v>
      </c>
      <c r="K1263" s="171"/>
      <c r="L1263" s="168"/>
      <c r="M1263" s="171"/>
      <c r="N1263" s="171"/>
      <c r="O1263" s="171"/>
      <c r="P1263" s="88" t="s">
        <v>5070</v>
      </c>
    </row>
    <row r="1264" spans="1:16" x14ac:dyDescent="0.25">
      <c r="A1264" s="5">
        <v>311</v>
      </c>
      <c r="B1264" s="60"/>
      <c r="C1264" s="66">
        <f>'Baru NIS'!C137</f>
        <v>102519660</v>
      </c>
      <c r="D1264" s="61"/>
      <c r="E1264" s="67" t="s">
        <v>2695</v>
      </c>
      <c r="F1264" s="68" t="s">
        <v>379</v>
      </c>
      <c r="G1264" s="88"/>
      <c r="H1264" s="88"/>
      <c r="I1264" s="88"/>
      <c r="J1264" s="72" t="s">
        <v>2371</v>
      </c>
      <c r="K1264" s="171"/>
      <c r="L1264" s="168"/>
      <c r="M1264" s="171"/>
      <c r="N1264" s="171"/>
      <c r="O1264" s="171"/>
      <c r="P1264" s="88" t="s">
        <v>5070</v>
      </c>
    </row>
    <row r="1265" spans="1:16" x14ac:dyDescent="0.25">
      <c r="A1265" s="5">
        <v>312</v>
      </c>
      <c r="B1265" s="60"/>
      <c r="C1265" s="66">
        <f>'Baru NIS'!C244</f>
        <v>102519807</v>
      </c>
      <c r="D1265" s="61"/>
      <c r="E1265" s="58" t="s">
        <v>2696</v>
      </c>
      <c r="F1265" s="5" t="s">
        <v>379</v>
      </c>
      <c r="G1265" s="88"/>
      <c r="H1265" s="88"/>
      <c r="I1265" s="88"/>
      <c r="J1265" s="72" t="s">
        <v>2379</v>
      </c>
      <c r="K1265" s="171"/>
      <c r="L1265" s="168"/>
      <c r="M1265" s="171"/>
      <c r="N1265" s="171"/>
      <c r="O1265" s="171"/>
      <c r="P1265" s="88" t="s">
        <v>5070</v>
      </c>
    </row>
    <row r="1266" spans="1:16" x14ac:dyDescent="0.25">
      <c r="A1266" s="5">
        <v>313</v>
      </c>
      <c r="B1266" s="60"/>
      <c r="C1266" s="66">
        <f>'Baru NIS'!C382</f>
        <v>102519905</v>
      </c>
      <c r="D1266" s="61"/>
      <c r="E1266" s="73" t="s">
        <v>2697</v>
      </c>
      <c r="F1266" s="74" t="s">
        <v>379</v>
      </c>
      <c r="G1266" s="88"/>
      <c r="H1266" s="88"/>
      <c r="I1266" s="88"/>
      <c r="J1266" s="72" t="s">
        <v>2402</v>
      </c>
      <c r="K1266" s="171"/>
      <c r="L1266" s="168"/>
      <c r="M1266" s="171"/>
      <c r="N1266" s="171"/>
      <c r="O1266" s="171"/>
      <c r="P1266" s="88" t="s">
        <v>5070</v>
      </c>
    </row>
    <row r="1267" spans="1:16" x14ac:dyDescent="0.25">
      <c r="A1267" s="5">
        <v>314</v>
      </c>
      <c r="B1267" s="60"/>
      <c r="C1267" s="66">
        <f>'Baru NIS'!C383</f>
        <v>102519906</v>
      </c>
      <c r="D1267" s="61"/>
      <c r="E1267" s="73" t="s">
        <v>2698</v>
      </c>
      <c r="F1267" s="74" t="s">
        <v>379</v>
      </c>
      <c r="G1267" s="88"/>
      <c r="H1267" s="88"/>
      <c r="I1267" s="88"/>
      <c r="J1267" s="72" t="s">
        <v>2402</v>
      </c>
      <c r="K1267" s="171"/>
      <c r="L1267" s="168"/>
      <c r="M1267" s="171"/>
      <c r="N1267" s="171"/>
      <c r="O1267" s="171"/>
      <c r="P1267" s="88" t="s">
        <v>5070</v>
      </c>
    </row>
    <row r="1268" spans="1:16" x14ac:dyDescent="0.25">
      <c r="A1268" s="5">
        <v>315</v>
      </c>
      <c r="B1268" s="60"/>
      <c r="C1268" s="66">
        <f>'Baru NIS'!C208</f>
        <v>102519731</v>
      </c>
      <c r="D1268" s="61"/>
      <c r="E1268" s="67" t="s">
        <v>2699</v>
      </c>
      <c r="F1268" s="68" t="s">
        <v>379</v>
      </c>
      <c r="G1268" s="88"/>
      <c r="H1268" s="88"/>
      <c r="I1268" s="88"/>
      <c r="J1268" s="72" t="s">
        <v>2373</v>
      </c>
      <c r="K1268" s="171"/>
      <c r="L1268" s="168"/>
      <c r="M1268" s="171"/>
      <c r="N1268" s="171"/>
      <c r="O1268" s="171"/>
      <c r="P1268" s="88" t="s">
        <v>5070</v>
      </c>
    </row>
    <row r="1269" spans="1:16" x14ac:dyDescent="0.25">
      <c r="A1269" s="5">
        <v>316</v>
      </c>
      <c r="B1269" s="60"/>
      <c r="C1269" s="66">
        <f>'Baru NIS'!C279</f>
        <v>102519762</v>
      </c>
      <c r="D1269" s="61"/>
      <c r="E1269" s="58" t="s">
        <v>2700</v>
      </c>
      <c r="F1269" s="5" t="s">
        <v>381</v>
      </c>
      <c r="G1269" s="88"/>
      <c r="H1269" s="88"/>
      <c r="I1269" s="88"/>
      <c r="J1269" s="72" t="s">
        <v>2377</v>
      </c>
      <c r="K1269" s="171"/>
      <c r="L1269" s="168"/>
      <c r="M1269" s="171"/>
      <c r="N1269" s="171"/>
      <c r="O1269" s="171"/>
      <c r="P1269" s="88" t="s">
        <v>5070</v>
      </c>
    </row>
    <row r="1270" spans="1:16" x14ac:dyDescent="0.25">
      <c r="A1270" s="5">
        <v>317</v>
      </c>
      <c r="B1270" s="60"/>
      <c r="C1270" s="66">
        <f>'Baru NIS'!C280</f>
        <v>102519763</v>
      </c>
      <c r="D1270" s="61"/>
      <c r="E1270" s="58" t="s">
        <v>2701</v>
      </c>
      <c r="F1270" s="5" t="s">
        <v>379</v>
      </c>
      <c r="G1270" s="88"/>
      <c r="H1270" s="88"/>
      <c r="I1270" s="88"/>
      <c r="J1270" s="72" t="s">
        <v>2377</v>
      </c>
      <c r="K1270" s="171"/>
      <c r="L1270" s="168"/>
      <c r="M1270" s="171"/>
      <c r="N1270" s="171"/>
      <c r="O1270" s="171"/>
      <c r="P1270" s="88" t="s">
        <v>5070</v>
      </c>
    </row>
    <row r="1271" spans="1:16" x14ac:dyDescent="0.25">
      <c r="A1271" s="5">
        <v>318</v>
      </c>
      <c r="B1271" s="60"/>
      <c r="C1271" s="66">
        <f>'Baru NIS'!C347</f>
        <v>102519870</v>
      </c>
      <c r="D1271" s="61"/>
      <c r="E1271" s="73" t="s">
        <v>2702</v>
      </c>
      <c r="F1271" s="74" t="s">
        <v>379</v>
      </c>
      <c r="G1271" s="88"/>
      <c r="H1271" s="88"/>
      <c r="I1271" s="88"/>
      <c r="J1271" s="72" t="s">
        <v>2383</v>
      </c>
      <c r="K1271" s="171"/>
      <c r="L1271" s="168"/>
      <c r="M1271" s="171"/>
      <c r="N1271" s="171"/>
      <c r="O1271" s="171"/>
      <c r="P1271" s="88" t="s">
        <v>5070</v>
      </c>
    </row>
    <row r="1272" spans="1:16" x14ac:dyDescent="0.25">
      <c r="A1272" s="5">
        <v>319</v>
      </c>
      <c r="B1272" s="60"/>
      <c r="C1272" s="66">
        <f>'Baru NIS'!C281</f>
        <v>102519764</v>
      </c>
      <c r="D1272" s="61"/>
      <c r="E1272" s="73" t="s">
        <v>2703</v>
      </c>
      <c r="F1272" s="74" t="s">
        <v>379</v>
      </c>
      <c r="G1272" s="88"/>
      <c r="H1272" s="88"/>
      <c r="I1272" s="88"/>
      <c r="J1272" s="72" t="s">
        <v>2377</v>
      </c>
      <c r="K1272" s="171"/>
      <c r="L1272" s="168"/>
      <c r="M1272" s="171"/>
      <c r="N1272" s="171"/>
      <c r="O1272" s="171"/>
      <c r="P1272" s="88" t="s">
        <v>5070</v>
      </c>
    </row>
    <row r="1273" spans="1:16" x14ac:dyDescent="0.25">
      <c r="A1273" s="5">
        <v>320</v>
      </c>
      <c r="B1273" s="60"/>
      <c r="C1273" s="66">
        <f>'Baru NIS'!C245</f>
        <v>102519808</v>
      </c>
      <c r="D1273" s="61"/>
      <c r="E1273" s="73" t="s">
        <v>2704</v>
      </c>
      <c r="F1273" s="74" t="s">
        <v>379</v>
      </c>
      <c r="G1273" s="88"/>
      <c r="H1273" s="88"/>
      <c r="I1273" s="88"/>
      <c r="J1273" s="72" t="s">
        <v>2379</v>
      </c>
      <c r="K1273" s="171"/>
      <c r="L1273" s="168"/>
      <c r="M1273" s="171"/>
      <c r="N1273" s="171"/>
      <c r="O1273" s="171"/>
      <c r="P1273" s="88" t="s">
        <v>5070</v>
      </c>
    </row>
    <row r="1274" spans="1:16" x14ac:dyDescent="0.25">
      <c r="A1274" s="5">
        <v>321</v>
      </c>
      <c r="B1274" s="60"/>
      <c r="C1274" s="66">
        <f>'Baru NIS'!C172</f>
        <v>102519695</v>
      </c>
      <c r="D1274" s="61"/>
      <c r="E1274" s="75" t="s">
        <v>2705</v>
      </c>
      <c r="F1274" s="76" t="s">
        <v>379</v>
      </c>
      <c r="G1274" s="88"/>
      <c r="H1274" s="88"/>
      <c r="I1274" s="88"/>
      <c r="J1274" s="72" t="s">
        <v>2399</v>
      </c>
      <c r="K1274" s="171"/>
      <c r="L1274" s="168"/>
      <c r="M1274" s="171"/>
      <c r="N1274" s="171"/>
      <c r="O1274" s="171"/>
      <c r="P1274" s="88" t="s">
        <v>5070</v>
      </c>
    </row>
    <row r="1275" spans="1:16" x14ac:dyDescent="0.25">
      <c r="A1275" s="5">
        <v>322</v>
      </c>
      <c r="B1275" s="60"/>
      <c r="C1275" s="66">
        <f>'Baru NIS'!C30</f>
        <v>102519553</v>
      </c>
      <c r="D1275" s="61"/>
      <c r="E1275" s="69" t="s">
        <v>2706</v>
      </c>
      <c r="F1275" s="57" t="s">
        <v>379</v>
      </c>
      <c r="G1275" s="88"/>
      <c r="H1275" s="88"/>
      <c r="I1275" s="88"/>
      <c r="J1275" s="72" t="s">
        <v>2386</v>
      </c>
      <c r="K1275" s="171"/>
      <c r="L1275" s="168"/>
      <c r="M1275" s="171"/>
      <c r="N1275" s="171"/>
      <c r="O1275" s="171"/>
      <c r="P1275" s="88" t="s">
        <v>5070</v>
      </c>
    </row>
    <row r="1276" spans="1:16" x14ac:dyDescent="0.25">
      <c r="A1276" s="5">
        <v>323</v>
      </c>
      <c r="B1276" s="60"/>
      <c r="C1276" s="66">
        <f>'Baru NIS'!C99</f>
        <v>102519622</v>
      </c>
      <c r="D1276" s="61"/>
      <c r="E1276" s="67" t="s">
        <v>2707</v>
      </c>
      <c r="F1276" s="68" t="s">
        <v>381</v>
      </c>
      <c r="G1276" s="88"/>
      <c r="H1276" s="88"/>
      <c r="I1276" s="88"/>
      <c r="J1276" s="72" t="s">
        <v>2389</v>
      </c>
      <c r="K1276" s="171"/>
      <c r="L1276" s="168"/>
      <c r="M1276" s="171"/>
      <c r="N1276" s="171"/>
      <c r="O1276" s="171"/>
      <c r="P1276" s="88" t="s">
        <v>5070</v>
      </c>
    </row>
    <row r="1277" spans="1:16" x14ac:dyDescent="0.25">
      <c r="A1277" s="5">
        <v>324</v>
      </c>
      <c r="B1277" s="60"/>
      <c r="C1277" s="66">
        <f>'Baru NIS'!C66</f>
        <v>102519589</v>
      </c>
      <c r="D1277" s="61"/>
      <c r="E1277" s="69" t="s">
        <v>2708</v>
      </c>
      <c r="F1277" s="57" t="s">
        <v>379</v>
      </c>
      <c r="G1277" s="88"/>
      <c r="H1277" s="88"/>
      <c r="I1277" s="88"/>
      <c r="J1277" s="72" t="s">
        <v>2397</v>
      </c>
      <c r="K1277" s="171"/>
      <c r="L1277" s="168"/>
      <c r="M1277" s="171"/>
      <c r="N1277" s="171"/>
      <c r="O1277" s="171"/>
      <c r="P1277" s="88" t="s">
        <v>5070</v>
      </c>
    </row>
    <row r="1278" spans="1:16" x14ac:dyDescent="0.25">
      <c r="A1278" s="5">
        <v>325</v>
      </c>
      <c r="B1278" s="60"/>
      <c r="C1278" s="66">
        <f>'Baru NIS'!C31</f>
        <v>102519554</v>
      </c>
      <c r="D1278" s="61"/>
      <c r="E1278" s="69" t="s">
        <v>2709</v>
      </c>
      <c r="F1278" s="57" t="s">
        <v>381</v>
      </c>
      <c r="G1278" s="88"/>
      <c r="H1278" s="88"/>
      <c r="I1278" s="88"/>
      <c r="J1278" s="72" t="s">
        <v>2386</v>
      </c>
      <c r="K1278" s="171"/>
      <c r="L1278" s="168"/>
      <c r="M1278" s="171"/>
      <c r="N1278" s="171"/>
      <c r="O1278" s="171"/>
      <c r="P1278" s="88" t="s">
        <v>5070</v>
      </c>
    </row>
    <row r="1279" spans="1:16" x14ac:dyDescent="0.25">
      <c r="A1279" s="5">
        <v>326</v>
      </c>
      <c r="B1279" s="60"/>
      <c r="C1279" s="66">
        <f>'Baru NIS'!C67</f>
        <v>102519590</v>
      </c>
      <c r="D1279" s="61"/>
      <c r="E1279" s="67" t="s">
        <v>2710</v>
      </c>
      <c r="F1279" s="68" t="s">
        <v>381</v>
      </c>
      <c r="G1279" s="88"/>
      <c r="H1279" s="88"/>
      <c r="I1279" s="88"/>
      <c r="J1279" s="72" t="s">
        <v>2397</v>
      </c>
      <c r="K1279" s="171"/>
      <c r="L1279" s="168"/>
      <c r="M1279" s="171"/>
      <c r="N1279" s="171"/>
      <c r="O1279" s="171"/>
      <c r="P1279" s="88" t="s">
        <v>5070</v>
      </c>
    </row>
    <row r="1280" spans="1:16" x14ac:dyDescent="0.25">
      <c r="A1280" s="5">
        <v>327</v>
      </c>
      <c r="B1280" s="60"/>
      <c r="C1280" s="66">
        <f>'Baru NIS'!C209</f>
        <v>102519732</v>
      </c>
      <c r="D1280" s="61"/>
      <c r="E1280" s="73" t="s">
        <v>2711</v>
      </c>
      <c r="F1280" s="74" t="s">
        <v>381</v>
      </c>
      <c r="G1280" s="88"/>
      <c r="H1280" s="88"/>
      <c r="I1280" s="88"/>
      <c r="J1280" s="72" t="s">
        <v>2373</v>
      </c>
      <c r="K1280" s="171"/>
      <c r="L1280" s="168"/>
      <c r="M1280" s="171"/>
      <c r="N1280" s="171"/>
      <c r="O1280" s="171"/>
      <c r="P1280" s="88" t="s">
        <v>5070</v>
      </c>
    </row>
    <row r="1281" spans="1:16" x14ac:dyDescent="0.25">
      <c r="A1281" s="5">
        <v>328</v>
      </c>
      <c r="B1281" s="60"/>
      <c r="C1281" s="66">
        <f>'Baru NIS'!C100</f>
        <v>102519623</v>
      </c>
      <c r="D1281" s="61"/>
      <c r="E1281" s="67" t="s">
        <v>2712</v>
      </c>
      <c r="F1281" s="68" t="s">
        <v>381</v>
      </c>
      <c r="G1281" s="88"/>
      <c r="H1281" s="88"/>
      <c r="I1281" s="88"/>
      <c r="J1281" s="72" t="s">
        <v>2389</v>
      </c>
      <c r="K1281" s="171"/>
      <c r="L1281" s="168"/>
      <c r="M1281" s="171"/>
      <c r="N1281" s="171"/>
      <c r="O1281" s="171"/>
      <c r="P1281" s="88" t="s">
        <v>5070</v>
      </c>
    </row>
    <row r="1282" spans="1:16" x14ac:dyDescent="0.25">
      <c r="A1282" s="5">
        <v>329</v>
      </c>
      <c r="B1282" s="60"/>
      <c r="C1282" s="66">
        <f>'Baru NIS'!C101</f>
        <v>102519624</v>
      </c>
      <c r="D1282" s="61"/>
      <c r="E1282" s="67" t="s">
        <v>2713</v>
      </c>
      <c r="F1282" s="68" t="s">
        <v>381</v>
      </c>
      <c r="G1282" s="88"/>
      <c r="H1282" s="88"/>
      <c r="I1282" s="88"/>
      <c r="J1282" s="72" t="s">
        <v>2389</v>
      </c>
      <c r="K1282" s="171"/>
      <c r="L1282" s="168"/>
      <c r="M1282" s="171"/>
      <c r="N1282" s="171"/>
      <c r="O1282" s="171"/>
      <c r="P1282" s="88" t="s">
        <v>5070</v>
      </c>
    </row>
    <row r="1283" spans="1:16" x14ac:dyDescent="0.25">
      <c r="A1283" s="5">
        <v>330</v>
      </c>
      <c r="B1283" s="60"/>
      <c r="C1283" s="66">
        <f>'Baru NIS'!C348</f>
        <v>102519871</v>
      </c>
      <c r="D1283" s="61"/>
      <c r="E1283" s="73" t="s">
        <v>2714</v>
      </c>
      <c r="F1283" s="74" t="s">
        <v>379</v>
      </c>
      <c r="G1283" s="88"/>
      <c r="H1283" s="88"/>
      <c r="I1283" s="88"/>
      <c r="J1283" s="72" t="s">
        <v>2383</v>
      </c>
      <c r="K1283" s="171"/>
      <c r="L1283" s="168"/>
      <c r="M1283" s="171"/>
      <c r="N1283" s="171"/>
      <c r="O1283" s="171"/>
      <c r="P1283" s="88" t="s">
        <v>5070</v>
      </c>
    </row>
    <row r="1284" spans="1:16" x14ac:dyDescent="0.25">
      <c r="A1284" s="5">
        <v>331</v>
      </c>
      <c r="B1284" s="60"/>
      <c r="C1284" s="66">
        <f>'Baru NIS'!C138</f>
        <v>102519661</v>
      </c>
      <c r="D1284" s="61"/>
      <c r="E1284" s="67" t="s">
        <v>2715</v>
      </c>
      <c r="F1284" s="68" t="s">
        <v>381</v>
      </c>
      <c r="G1284" s="88"/>
      <c r="H1284" s="88"/>
      <c r="I1284" s="88"/>
      <c r="J1284" s="72" t="s">
        <v>2371</v>
      </c>
      <c r="K1284" s="171"/>
      <c r="L1284" s="168"/>
      <c r="M1284" s="171"/>
      <c r="N1284" s="171"/>
      <c r="O1284" s="171"/>
      <c r="P1284" s="88" t="s">
        <v>5070</v>
      </c>
    </row>
    <row r="1285" spans="1:16" x14ac:dyDescent="0.25">
      <c r="A1285" s="5">
        <v>332</v>
      </c>
      <c r="B1285" s="60"/>
      <c r="C1285" s="66">
        <f>'Baru NIS'!C68</f>
        <v>102519591</v>
      </c>
      <c r="D1285" s="61"/>
      <c r="E1285" s="69" t="s">
        <v>2716</v>
      </c>
      <c r="F1285" s="57" t="s">
        <v>381</v>
      </c>
      <c r="G1285" s="88"/>
      <c r="H1285" s="88"/>
      <c r="I1285" s="88"/>
      <c r="J1285" s="72" t="s">
        <v>2397</v>
      </c>
      <c r="K1285" s="171"/>
      <c r="L1285" s="168"/>
      <c r="M1285" s="171"/>
      <c r="N1285" s="171"/>
      <c r="O1285" s="171"/>
      <c r="P1285" s="88" t="s">
        <v>5070</v>
      </c>
    </row>
    <row r="1286" spans="1:16" x14ac:dyDescent="0.25">
      <c r="A1286" s="5">
        <v>333</v>
      </c>
      <c r="B1286" s="60"/>
      <c r="C1286" s="66">
        <f>'Baru NIS'!C32</f>
        <v>102519555</v>
      </c>
      <c r="D1286" s="61"/>
      <c r="E1286" s="67" t="s">
        <v>2717</v>
      </c>
      <c r="F1286" s="68" t="s">
        <v>381</v>
      </c>
      <c r="G1286" s="88"/>
      <c r="H1286" s="88"/>
      <c r="I1286" s="88"/>
      <c r="J1286" s="72" t="s">
        <v>2386</v>
      </c>
      <c r="K1286" s="171"/>
      <c r="L1286" s="168"/>
      <c r="M1286" s="171"/>
      <c r="N1286" s="171"/>
      <c r="O1286" s="171"/>
      <c r="P1286" s="88" t="s">
        <v>5070</v>
      </c>
    </row>
    <row r="1287" spans="1:16" x14ac:dyDescent="0.25">
      <c r="A1287" s="5">
        <v>334</v>
      </c>
      <c r="B1287" s="60"/>
      <c r="C1287" s="66">
        <f>'Baru NIS'!C210</f>
        <v>102519733</v>
      </c>
      <c r="D1287" s="61"/>
      <c r="E1287" s="67" t="s">
        <v>402</v>
      </c>
      <c r="F1287" s="68" t="s">
        <v>381</v>
      </c>
      <c r="G1287" s="88"/>
      <c r="H1287" s="88"/>
      <c r="I1287" s="88"/>
      <c r="J1287" s="72" t="s">
        <v>2373</v>
      </c>
      <c r="K1287" s="171"/>
      <c r="L1287" s="168"/>
      <c r="M1287" s="171"/>
      <c r="N1287" s="171"/>
      <c r="O1287" s="171"/>
      <c r="P1287" s="88" t="s">
        <v>5070</v>
      </c>
    </row>
    <row r="1288" spans="1:16" x14ac:dyDescent="0.25">
      <c r="A1288" s="5">
        <v>335</v>
      </c>
      <c r="B1288" s="60"/>
      <c r="C1288" s="66">
        <f>'Baru NIS'!C282</f>
        <v>102519765</v>
      </c>
      <c r="D1288" s="61"/>
      <c r="E1288" s="73" t="s">
        <v>2718</v>
      </c>
      <c r="F1288" s="74" t="s">
        <v>379</v>
      </c>
      <c r="G1288" s="88"/>
      <c r="H1288" s="88"/>
      <c r="I1288" s="88"/>
      <c r="J1288" s="72" t="s">
        <v>2377</v>
      </c>
      <c r="K1288" s="171"/>
      <c r="L1288" s="168"/>
      <c r="M1288" s="171"/>
      <c r="N1288" s="171"/>
      <c r="O1288" s="171"/>
      <c r="P1288" s="88" t="s">
        <v>5070</v>
      </c>
    </row>
    <row r="1289" spans="1:16" x14ac:dyDescent="0.25">
      <c r="A1289" s="5">
        <v>336</v>
      </c>
      <c r="B1289" s="60"/>
      <c r="C1289" s="66">
        <f>'Baru NIS'!C211</f>
        <v>102519734</v>
      </c>
      <c r="D1289" s="61"/>
      <c r="E1289" s="69" t="s">
        <v>2719</v>
      </c>
      <c r="F1289" s="57" t="s">
        <v>381</v>
      </c>
      <c r="G1289" s="88"/>
      <c r="H1289" s="88"/>
      <c r="I1289" s="88"/>
      <c r="J1289" s="72" t="s">
        <v>2373</v>
      </c>
      <c r="K1289" s="171"/>
      <c r="L1289" s="168"/>
      <c r="M1289" s="171"/>
      <c r="N1289" s="171"/>
      <c r="O1289" s="171"/>
      <c r="P1289" s="88" t="s">
        <v>5070</v>
      </c>
    </row>
    <row r="1290" spans="1:16" x14ac:dyDescent="0.25">
      <c r="A1290" s="5">
        <v>337</v>
      </c>
      <c r="B1290" s="60"/>
      <c r="C1290" s="66">
        <f>'Baru NIS'!C173</f>
        <v>102519696</v>
      </c>
      <c r="D1290" s="61"/>
      <c r="E1290" s="75" t="s">
        <v>2720</v>
      </c>
      <c r="F1290" s="76" t="s">
        <v>381</v>
      </c>
      <c r="G1290" s="88"/>
      <c r="H1290" s="88"/>
      <c r="I1290" s="88"/>
      <c r="J1290" s="72" t="s">
        <v>2399</v>
      </c>
      <c r="K1290" s="171"/>
      <c r="L1290" s="168"/>
      <c r="M1290" s="171"/>
      <c r="N1290" s="171"/>
      <c r="O1290" s="171"/>
      <c r="P1290" s="88" t="s">
        <v>5070</v>
      </c>
    </row>
    <row r="1291" spans="1:16" x14ac:dyDescent="0.25">
      <c r="A1291" s="5">
        <v>338</v>
      </c>
      <c r="B1291" s="60"/>
      <c r="C1291" s="66">
        <f>'Baru NIS'!C139</f>
        <v>102519662</v>
      </c>
      <c r="D1291" s="61"/>
      <c r="E1291" s="67" t="s">
        <v>2721</v>
      </c>
      <c r="F1291" s="68" t="s">
        <v>381</v>
      </c>
      <c r="G1291" s="88"/>
      <c r="H1291" s="88"/>
      <c r="I1291" s="88"/>
      <c r="J1291" s="72" t="s">
        <v>2371</v>
      </c>
      <c r="K1291" s="171"/>
      <c r="L1291" s="168"/>
      <c r="M1291" s="171"/>
      <c r="N1291" s="171"/>
      <c r="O1291" s="171"/>
      <c r="P1291" s="88" t="s">
        <v>5070</v>
      </c>
    </row>
    <row r="1292" spans="1:16" x14ac:dyDescent="0.25">
      <c r="A1292" s="5">
        <v>339</v>
      </c>
      <c r="B1292" s="60"/>
      <c r="C1292" s="66">
        <f>'Baru NIS'!C174</f>
        <v>102519697</v>
      </c>
      <c r="D1292" s="61"/>
      <c r="E1292" s="77" t="s">
        <v>2722</v>
      </c>
      <c r="F1292" s="78" t="s">
        <v>381</v>
      </c>
      <c r="G1292" s="88"/>
      <c r="H1292" s="88"/>
      <c r="I1292" s="88"/>
      <c r="J1292" s="72" t="s">
        <v>2399</v>
      </c>
      <c r="K1292" s="171"/>
      <c r="L1292" s="168"/>
      <c r="M1292" s="171"/>
      <c r="N1292" s="171"/>
      <c r="O1292" s="171"/>
      <c r="P1292" s="88" t="s">
        <v>5070</v>
      </c>
    </row>
    <row r="1293" spans="1:16" x14ac:dyDescent="0.25">
      <c r="A1293" s="5">
        <v>340</v>
      </c>
      <c r="B1293" s="60"/>
      <c r="C1293" s="66">
        <f>'Baru NIS'!C175</f>
        <v>102519698</v>
      </c>
      <c r="D1293" s="61"/>
      <c r="E1293" s="77" t="s">
        <v>2723</v>
      </c>
      <c r="F1293" s="78" t="s">
        <v>381</v>
      </c>
      <c r="G1293" s="88"/>
      <c r="H1293" s="88"/>
      <c r="I1293" s="88"/>
      <c r="J1293" s="72" t="s">
        <v>2399</v>
      </c>
      <c r="K1293" s="171"/>
      <c r="L1293" s="168"/>
      <c r="M1293" s="171"/>
      <c r="N1293" s="171"/>
      <c r="O1293" s="171"/>
      <c r="P1293" s="88" t="s">
        <v>5070</v>
      </c>
    </row>
    <row r="1294" spans="1:16" x14ac:dyDescent="0.25">
      <c r="A1294" s="5">
        <v>341</v>
      </c>
      <c r="B1294" s="60"/>
      <c r="C1294" s="66">
        <f>'Baru NIS'!C33</f>
        <v>102519556</v>
      </c>
      <c r="D1294" s="61"/>
      <c r="E1294" s="69" t="s">
        <v>2724</v>
      </c>
      <c r="F1294" s="57" t="s">
        <v>379</v>
      </c>
      <c r="G1294" s="88"/>
      <c r="H1294" s="88"/>
      <c r="I1294" s="88"/>
      <c r="J1294" s="72" t="s">
        <v>2386</v>
      </c>
      <c r="K1294" s="171"/>
      <c r="L1294" s="168"/>
      <c r="M1294" s="171"/>
      <c r="N1294" s="171"/>
      <c r="O1294" s="171"/>
      <c r="P1294" s="88" t="s">
        <v>5070</v>
      </c>
    </row>
    <row r="1295" spans="1:16" x14ac:dyDescent="0.25">
      <c r="A1295" s="5">
        <v>342</v>
      </c>
      <c r="B1295" s="60"/>
      <c r="C1295" s="66">
        <f>'Baru NIS'!C384</f>
        <v>102519907</v>
      </c>
      <c r="D1295" s="61"/>
      <c r="E1295" s="73" t="s">
        <v>2725</v>
      </c>
      <c r="F1295" s="74" t="s">
        <v>381</v>
      </c>
      <c r="G1295" s="88"/>
      <c r="H1295" s="88"/>
      <c r="I1295" s="88"/>
      <c r="J1295" s="72" t="s">
        <v>2402</v>
      </c>
      <c r="K1295" s="171"/>
      <c r="L1295" s="168"/>
      <c r="M1295" s="171"/>
      <c r="N1295" s="171"/>
      <c r="O1295" s="171"/>
      <c r="P1295" s="88" t="s">
        <v>5070</v>
      </c>
    </row>
    <row r="1296" spans="1:16" x14ac:dyDescent="0.25">
      <c r="A1296" s="5">
        <v>343</v>
      </c>
      <c r="B1296" s="60"/>
      <c r="C1296" s="66">
        <f>'Baru NIS'!C246</f>
        <v>102519809</v>
      </c>
      <c r="D1296" s="61"/>
      <c r="E1296" s="73" t="s">
        <v>2726</v>
      </c>
      <c r="F1296" s="74" t="s">
        <v>381</v>
      </c>
      <c r="G1296" s="88"/>
      <c r="H1296" s="88"/>
      <c r="I1296" s="88"/>
      <c r="J1296" s="72" t="s">
        <v>2379</v>
      </c>
      <c r="K1296" s="171"/>
      <c r="L1296" s="168"/>
      <c r="M1296" s="171"/>
      <c r="N1296" s="171"/>
      <c r="O1296" s="171"/>
      <c r="P1296" s="88" t="s">
        <v>5070</v>
      </c>
    </row>
    <row r="1297" spans="1:16" x14ac:dyDescent="0.25">
      <c r="A1297" s="5">
        <v>344</v>
      </c>
      <c r="B1297" s="60"/>
      <c r="C1297" s="66">
        <f>'Baru NIS'!C283</f>
        <v>102519766</v>
      </c>
      <c r="D1297" s="61"/>
      <c r="E1297" s="73" t="s">
        <v>2727</v>
      </c>
      <c r="F1297" s="74" t="s">
        <v>381</v>
      </c>
      <c r="G1297" s="88"/>
      <c r="H1297" s="88"/>
      <c r="I1297" s="88"/>
      <c r="J1297" s="72" t="s">
        <v>2377</v>
      </c>
      <c r="K1297" s="171"/>
      <c r="L1297" s="168"/>
      <c r="M1297" s="171"/>
      <c r="N1297" s="171"/>
      <c r="O1297" s="171"/>
      <c r="P1297" s="88" t="s">
        <v>5070</v>
      </c>
    </row>
    <row r="1298" spans="1:16" x14ac:dyDescent="0.25">
      <c r="A1298" s="5">
        <v>345</v>
      </c>
      <c r="B1298" s="60"/>
      <c r="C1298" s="66">
        <f>'Baru NIS'!C212</f>
        <v>102519735</v>
      </c>
      <c r="D1298" s="61"/>
      <c r="E1298" s="67" t="s">
        <v>2728</v>
      </c>
      <c r="F1298" s="68" t="s">
        <v>381</v>
      </c>
      <c r="G1298" s="88"/>
      <c r="H1298" s="88"/>
      <c r="I1298" s="88"/>
      <c r="J1298" s="72" t="s">
        <v>2373</v>
      </c>
      <c r="K1298" s="171"/>
      <c r="L1298" s="168"/>
      <c r="M1298" s="171"/>
      <c r="N1298" s="171"/>
      <c r="O1298" s="171"/>
      <c r="P1298" s="88" t="s">
        <v>5070</v>
      </c>
    </row>
    <row r="1299" spans="1:16" x14ac:dyDescent="0.25">
      <c r="A1299" s="5">
        <v>346</v>
      </c>
      <c r="B1299" s="60"/>
      <c r="C1299" s="66">
        <f>'Baru NIS'!C102</f>
        <v>102519625</v>
      </c>
      <c r="D1299" s="61"/>
      <c r="E1299" s="69" t="s">
        <v>2729</v>
      </c>
      <c r="F1299" s="57" t="s">
        <v>381</v>
      </c>
      <c r="G1299" s="88"/>
      <c r="H1299" s="88"/>
      <c r="I1299" s="88"/>
      <c r="J1299" s="72" t="s">
        <v>2389</v>
      </c>
      <c r="K1299" s="171"/>
      <c r="L1299" s="168"/>
      <c r="M1299" s="171"/>
      <c r="N1299" s="171"/>
      <c r="O1299" s="171"/>
      <c r="P1299" s="88" t="s">
        <v>5070</v>
      </c>
    </row>
    <row r="1300" spans="1:16" x14ac:dyDescent="0.25">
      <c r="A1300" s="5">
        <v>347</v>
      </c>
      <c r="B1300" s="60"/>
      <c r="C1300" s="66">
        <f>'Baru NIS'!C176</f>
        <v>102519699</v>
      </c>
      <c r="D1300" s="61"/>
      <c r="E1300" s="77" t="s">
        <v>2730</v>
      </c>
      <c r="F1300" s="78" t="s">
        <v>381</v>
      </c>
      <c r="G1300" s="88"/>
      <c r="H1300" s="88"/>
      <c r="I1300" s="88"/>
      <c r="J1300" s="72" t="s">
        <v>2399</v>
      </c>
      <c r="K1300" s="171"/>
      <c r="L1300" s="168"/>
      <c r="M1300" s="171"/>
      <c r="N1300" s="171"/>
      <c r="O1300" s="171"/>
      <c r="P1300" s="88" t="s">
        <v>5070</v>
      </c>
    </row>
    <row r="1301" spans="1:16" x14ac:dyDescent="0.25">
      <c r="A1301" s="5">
        <v>348</v>
      </c>
      <c r="B1301" s="60"/>
      <c r="C1301" s="66">
        <f>'Baru NIS'!C213</f>
        <v>102519736</v>
      </c>
      <c r="D1301" s="61"/>
      <c r="E1301" s="69" t="s">
        <v>2731</v>
      </c>
      <c r="F1301" s="57" t="s">
        <v>381</v>
      </c>
      <c r="G1301" s="88"/>
      <c r="H1301" s="88"/>
      <c r="I1301" s="88"/>
      <c r="J1301" s="72" t="s">
        <v>2373</v>
      </c>
      <c r="K1301" s="171"/>
      <c r="L1301" s="168"/>
      <c r="M1301" s="171"/>
      <c r="N1301" s="171"/>
      <c r="O1301" s="171"/>
      <c r="P1301" s="88" t="s">
        <v>5070</v>
      </c>
    </row>
    <row r="1302" spans="1:16" x14ac:dyDescent="0.25">
      <c r="A1302" s="5">
        <v>349</v>
      </c>
      <c r="B1302" s="60"/>
      <c r="C1302" s="66">
        <f>'Baru NIS'!C34</f>
        <v>102519557</v>
      </c>
      <c r="D1302" s="61"/>
      <c r="E1302" s="67" t="s">
        <v>2732</v>
      </c>
      <c r="F1302" s="68" t="s">
        <v>381</v>
      </c>
      <c r="G1302" s="88"/>
      <c r="H1302" s="88"/>
      <c r="I1302" s="88"/>
      <c r="J1302" s="72" t="s">
        <v>2386</v>
      </c>
      <c r="K1302" s="171"/>
      <c r="L1302" s="168"/>
      <c r="M1302" s="171"/>
      <c r="N1302" s="171"/>
      <c r="O1302" s="171"/>
      <c r="P1302" s="88" t="s">
        <v>5070</v>
      </c>
    </row>
    <row r="1303" spans="1:16" x14ac:dyDescent="0.25">
      <c r="A1303" s="5">
        <v>350</v>
      </c>
      <c r="B1303" s="60"/>
      <c r="C1303" s="66">
        <f>'Baru NIS'!C349</f>
        <v>102519872</v>
      </c>
      <c r="D1303" s="61"/>
      <c r="E1303" s="73" t="s">
        <v>2733</v>
      </c>
      <c r="F1303" s="74" t="s">
        <v>381</v>
      </c>
      <c r="G1303" s="88"/>
      <c r="H1303" s="88"/>
      <c r="I1303" s="88"/>
      <c r="J1303" s="72" t="s">
        <v>2383</v>
      </c>
      <c r="K1303" s="171"/>
      <c r="L1303" s="168"/>
      <c r="M1303" s="171"/>
      <c r="N1303" s="171"/>
      <c r="O1303" s="171"/>
      <c r="P1303" s="88" t="s">
        <v>5070</v>
      </c>
    </row>
    <row r="1304" spans="1:16" x14ac:dyDescent="0.25">
      <c r="A1304" s="5">
        <v>351</v>
      </c>
      <c r="B1304" s="60"/>
      <c r="C1304" s="66">
        <f>'Baru NIS'!C385</f>
        <v>102519908</v>
      </c>
      <c r="D1304" s="61"/>
      <c r="E1304" s="58" t="s">
        <v>2734</v>
      </c>
      <c r="F1304" s="5" t="s">
        <v>379</v>
      </c>
      <c r="G1304" s="88"/>
      <c r="H1304" s="88"/>
      <c r="I1304" s="88"/>
      <c r="J1304" s="72" t="s">
        <v>2402</v>
      </c>
      <c r="K1304" s="171"/>
      <c r="L1304" s="168"/>
      <c r="M1304" s="171"/>
      <c r="N1304" s="171"/>
      <c r="O1304" s="171"/>
      <c r="P1304" s="88" t="s">
        <v>5070</v>
      </c>
    </row>
    <row r="1305" spans="1:16" x14ac:dyDescent="0.25">
      <c r="A1305" s="5">
        <v>352</v>
      </c>
      <c r="B1305" s="60"/>
      <c r="C1305" s="66">
        <f>'Baru NIS'!C103</f>
        <v>102519626</v>
      </c>
      <c r="D1305" s="61"/>
      <c r="E1305" s="67" t="s">
        <v>2735</v>
      </c>
      <c r="F1305" s="68" t="s">
        <v>381</v>
      </c>
      <c r="G1305" s="88"/>
      <c r="H1305" s="88"/>
      <c r="I1305" s="88"/>
      <c r="J1305" s="72" t="s">
        <v>2389</v>
      </c>
      <c r="K1305" s="171"/>
      <c r="L1305" s="168"/>
      <c r="M1305" s="171"/>
      <c r="N1305" s="171"/>
      <c r="O1305" s="171"/>
      <c r="P1305" s="88" t="s">
        <v>5070</v>
      </c>
    </row>
    <row r="1306" spans="1:16" x14ac:dyDescent="0.25">
      <c r="A1306" s="5">
        <v>353</v>
      </c>
      <c r="B1306" s="60"/>
      <c r="C1306" s="66">
        <f>'Baru NIS'!C140</f>
        <v>102519663</v>
      </c>
      <c r="D1306" s="61"/>
      <c r="E1306" s="67" t="s">
        <v>2736</v>
      </c>
      <c r="F1306" s="68" t="s">
        <v>379</v>
      </c>
      <c r="G1306" s="88"/>
      <c r="H1306" s="88"/>
      <c r="I1306" s="88"/>
      <c r="J1306" s="72" t="s">
        <v>2371</v>
      </c>
      <c r="K1306" s="171"/>
      <c r="L1306" s="168"/>
      <c r="M1306" s="171"/>
      <c r="N1306" s="171"/>
      <c r="O1306" s="171"/>
      <c r="P1306" s="88" t="s">
        <v>5070</v>
      </c>
    </row>
    <row r="1307" spans="1:16" x14ac:dyDescent="0.25">
      <c r="A1307" s="5">
        <v>354</v>
      </c>
      <c r="B1307" s="60"/>
      <c r="C1307" s="66">
        <f>'Baru NIS'!C141</f>
        <v>102519664</v>
      </c>
      <c r="D1307" s="61"/>
      <c r="E1307" s="69" t="s">
        <v>2737</v>
      </c>
      <c r="F1307" s="57" t="s">
        <v>379</v>
      </c>
      <c r="G1307" s="88"/>
      <c r="H1307" s="88"/>
      <c r="I1307" s="88"/>
      <c r="J1307" s="72" t="s">
        <v>2371</v>
      </c>
      <c r="K1307" s="171"/>
      <c r="L1307" s="168"/>
      <c r="M1307" s="171"/>
      <c r="N1307" s="171"/>
      <c r="O1307" s="171"/>
      <c r="P1307" s="88" t="s">
        <v>5070</v>
      </c>
    </row>
    <row r="1308" spans="1:16" x14ac:dyDescent="0.25">
      <c r="A1308" s="5">
        <v>355</v>
      </c>
      <c r="B1308" s="60"/>
      <c r="C1308" s="66">
        <f>'Baru NIS'!C104</f>
        <v>102519627</v>
      </c>
      <c r="D1308" s="61"/>
      <c r="E1308" s="67" t="s">
        <v>2738</v>
      </c>
      <c r="F1308" s="68" t="s">
        <v>381</v>
      </c>
      <c r="G1308" s="88"/>
      <c r="H1308" s="88"/>
      <c r="I1308" s="88"/>
      <c r="J1308" s="72" t="s">
        <v>2389</v>
      </c>
      <c r="K1308" s="171"/>
      <c r="L1308" s="168"/>
      <c r="M1308" s="171"/>
      <c r="N1308" s="171"/>
      <c r="O1308" s="171"/>
      <c r="P1308" s="88" t="s">
        <v>5070</v>
      </c>
    </row>
    <row r="1309" spans="1:16" x14ac:dyDescent="0.25">
      <c r="A1309" s="5">
        <v>356</v>
      </c>
      <c r="B1309" s="60"/>
      <c r="C1309" s="66">
        <f>'Baru NIS'!C317</f>
        <v>102519840</v>
      </c>
      <c r="D1309" s="61"/>
      <c r="E1309" s="73" t="s">
        <v>2739</v>
      </c>
      <c r="F1309" s="74" t="s">
        <v>379</v>
      </c>
      <c r="G1309" s="88"/>
      <c r="H1309" s="88"/>
      <c r="I1309" s="88"/>
      <c r="J1309" s="72" t="s">
        <v>2375</v>
      </c>
      <c r="K1309" s="171"/>
      <c r="L1309" s="168"/>
      <c r="M1309" s="171"/>
      <c r="N1309" s="171"/>
      <c r="O1309" s="171"/>
      <c r="P1309" s="88" t="s">
        <v>5070</v>
      </c>
    </row>
    <row r="1310" spans="1:16" x14ac:dyDescent="0.25">
      <c r="A1310" s="5">
        <v>357</v>
      </c>
      <c r="B1310" s="60"/>
      <c r="C1310" s="66">
        <f>'Baru NIS'!C214</f>
        <v>102519737</v>
      </c>
      <c r="D1310" s="61"/>
      <c r="E1310" s="69" t="s">
        <v>2740</v>
      </c>
      <c r="F1310" s="57" t="s">
        <v>381</v>
      </c>
      <c r="G1310" s="88"/>
      <c r="H1310" s="88"/>
      <c r="I1310" s="88"/>
      <c r="J1310" s="72" t="s">
        <v>2373</v>
      </c>
      <c r="K1310" s="171"/>
      <c r="L1310" s="168"/>
      <c r="M1310" s="171"/>
      <c r="N1310" s="171"/>
      <c r="O1310" s="171"/>
      <c r="P1310" s="88" t="s">
        <v>5070</v>
      </c>
    </row>
    <row r="1311" spans="1:16" x14ac:dyDescent="0.25">
      <c r="A1311" s="5">
        <v>358</v>
      </c>
      <c r="B1311" s="60"/>
      <c r="C1311" s="66">
        <f>'Baru NIS'!C105</f>
        <v>102519628</v>
      </c>
      <c r="D1311" s="61"/>
      <c r="E1311" s="67" t="s">
        <v>2741</v>
      </c>
      <c r="F1311" s="68" t="s">
        <v>381</v>
      </c>
      <c r="G1311" s="88"/>
      <c r="H1311" s="88"/>
      <c r="I1311" s="88"/>
      <c r="J1311" s="72" t="s">
        <v>2389</v>
      </c>
      <c r="K1311" s="171"/>
      <c r="L1311" s="168"/>
      <c r="M1311" s="171"/>
      <c r="N1311" s="171"/>
      <c r="O1311" s="171"/>
      <c r="P1311" s="88" t="s">
        <v>5070</v>
      </c>
    </row>
    <row r="1312" spans="1:16" x14ac:dyDescent="0.25">
      <c r="A1312" s="5">
        <v>359</v>
      </c>
      <c r="B1312" s="60"/>
      <c r="C1312" s="66">
        <f>'Baru NIS'!C386</f>
        <v>102519909</v>
      </c>
      <c r="D1312" s="61"/>
      <c r="E1312" s="73" t="s">
        <v>2742</v>
      </c>
      <c r="F1312" s="74" t="s">
        <v>379</v>
      </c>
      <c r="G1312" s="88"/>
      <c r="H1312" s="88"/>
      <c r="I1312" s="88"/>
      <c r="J1312" s="72" t="s">
        <v>2402</v>
      </c>
      <c r="K1312" s="171"/>
      <c r="L1312" s="168"/>
      <c r="M1312" s="171"/>
      <c r="N1312" s="171"/>
      <c r="O1312" s="171"/>
      <c r="P1312" s="88" t="s">
        <v>5070</v>
      </c>
    </row>
    <row r="1313" spans="1:16" x14ac:dyDescent="0.25">
      <c r="A1313" s="5">
        <v>360</v>
      </c>
      <c r="B1313" s="60"/>
      <c r="C1313" s="66">
        <f>'Baru NIS'!C177</f>
        <v>102519700</v>
      </c>
      <c r="D1313" s="61"/>
      <c r="E1313" s="77" t="s">
        <v>2743</v>
      </c>
      <c r="F1313" s="78" t="s">
        <v>381</v>
      </c>
      <c r="G1313" s="88"/>
      <c r="H1313" s="88"/>
      <c r="I1313" s="88"/>
      <c r="J1313" s="72" t="s">
        <v>2399</v>
      </c>
      <c r="K1313" s="171"/>
      <c r="L1313" s="168"/>
      <c r="M1313" s="171"/>
      <c r="N1313" s="171"/>
      <c r="O1313" s="171"/>
      <c r="P1313" s="88" t="s">
        <v>5070</v>
      </c>
    </row>
    <row r="1314" spans="1:16" x14ac:dyDescent="0.25">
      <c r="A1314" s="5">
        <v>361</v>
      </c>
      <c r="B1314" s="60"/>
      <c r="C1314" s="66">
        <f>'Baru NIS'!C247</f>
        <v>102519810</v>
      </c>
      <c r="D1314" s="61"/>
      <c r="E1314" s="58" t="s">
        <v>2744</v>
      </c>
      <c r="F1314" s="5" t="s">
        <v>379</v>
      </c>
      <c r="G1314" s="88"/>
      <c r="H1314" s="88"/>
      <c r="I1314" s="88"/>
      <c r="J1314" s="72" t="s">
        <v>2379</v>
      </c>
      <c r="K1314" s="171"/>
      <c r="L1314" s="168"/>
      <c r="M1314" s="171"/>
      <c r="N1314" s="171"/>
      <c r="O1314" s="171"/>
      <c r="P1314" s="88" t="s">
        <v>5070</v>
      </c>
    </row>
    <row r="1315" spans="1:16" x14ac:dyDescent="0.25">
      <c r="A1315" s="5">
        <v>362</v>
      </c>
      <c r="B1315" s="60"/>
      <c r="C1315" s="66">
        <f>'Baru NIS'!C248</f>
        <v>102519811</v>
      </c>
      <c r="D1315" s="61"/>
      <c r="E1315" s="73" t="s">
        <v>2745</v>
      </c>
      <c r="F1315" s="74" t="s">
        <v>379</v>
      </c>
      <c r="G1315" s="88"/>
      <c r="H1315" s="88"/>
      <c r="I1315" s="88"/>
      <c r="J1315" s="72" t="s">
        <v>2379</v>
      </c>
      <c r="K1315" s="171"/>
      <c r="L1315" s="168"/>
      <c r="M1315" s="171"/>
      <c r="N1315" s="171"/>
      <c r="O1315" s="171"/>
      <c r="P1315" s="88" t="s">
        <v>5070</v>
      </c>
    </row>
    <row r="1316" spans="1:16" x14ac:dyDescent="0.25">
      <c r="A1316" s="5">
        <v>363</v>
      </c>
      <c r="B1316" s="60"/>
      <c r="C1316" s="66">
        <f>'Baru NIS'!C284</f>
        <v>102519767</v>
      </c>
      <c r="D1316" s="61"/>
      <c r="E1316" s="73" t="s">
        <v>2746</v>
      </c>
      <c r="F1316" s="74" t="s">
        <v>379</v>
      </c>
      <c r="G1316" s="88"/>
      <c r="H1316" s="88"/>
      <c r="I1316" s="88"/>
      <c r="J1316" s="72" t="s">
        <v>2377</v>
      </c>
      <c r="K1316" s="171"/>
      <c r="L1316" s="168"/>
      <c r="M1316" s="171"/>
      <c r="N1316" s="171"/>
      <c r="O1316" s="171"/>
      <c r="P1316" s="88" t="s">
        <v>5070</v>
      </c>
    </row>
    <row r="1317" spans="1:16" x14ac:dyDescent="0.25">
      <c r="A1317" s="5">
        <v>364</v>
      </c>
      <c r="B1317" s="60"/>
      <c r="C1317" s="66">
        <f>'Baru NIS'!C35</f>
        <v>102519558</v>
      </c>
      <c r="D1317" s="61"/>
      <c r="E1317" s="67" t="s">
        <v>2747</v>
      </c>
      <c r="F1317" s="68" t="s">
        <v>381</v>
      </c>
      <c r="G1317" s="88"/>
      <c r="H1317" s="88"/>
      <c r="I1317" s="88"/>
      <c r="J1317" s="72" t="s">
        <v>2386</v>
      </c>
      <c r="K1317" s="171"/>
      <c r="L1317" s="168"/>
      <c r="M1317" s="171"/>
      <c r="N1317" s="171"/>
      <c r="O1317" s="171"/>
      <c r="P1317" s="88" t="s">
        <v>5070</v>
      </c>
    </row>
    <row r="1318" spans="1:16" x14ac:dyDescent="0.25">
      <c r="A1318" s="5">
        <v>365</v>
      </c>
      <c r="B1318" s="60"/>
      <c r="C1318" s="66">
        <f>'Baru NIS'!C178</f>
        <v>102519701</v>
      </c>
      <c r="D1318" s="61"/>
      <c r="E1318" s="77" t="s">
        <v>2748</v>
      </c>
      <c r="F1318" s="78" t="s">
        <v>381</v>
      </c>
      <c r="G1318" s="88"/>
      <c r="H1318" s="88"/>
      <c r="I1318" s="88"/>
      <c r="J1318" s="72" t="s">
        <v>2399</v>
      </c>
      <c r="K1318" s="171"/>
      <c r="L1318" s="168"/>
      <c r="M1318" s="171"/>
      <c r="N1318" s="171"/>
      <c r="O1318" s="171"/>
      <c r="P1318" s="88" t="s">
        <v>5070</v>
      </c>
    </row>
    <row r="1319" spans="1:16" x14ac:dyDescent="0.25">
      <c r="A1319" s="5">
        <v>366</v>
      </c>
      <c r="B1319" s="60"/>
      <c r="C1319" s="66">
        <f>'Baru NIS'!C142</f>
        <v>102519665</v>
      </c>
      <c r="D1319" s="61"/>
      <c r="E1319" s="67" t="s">
        <v>2749</v>
      </c>
      <c r="F1319" s="68" t="s">
        <v>381</v>
      </c>
      <c r="G1319" s="88"/>
      <c r="H1319" s="88"/>
      <c r="I1319" s="88"/>
      <c r="J1319" s="72" t="s">
        <v>2371</v>
      </c>
      <c r="K1319" s="171"/>
      <c r="L1319" s="168"/>
      <c r="M1319" s="171"/>
      <c r="N1319" s="171"/>
      <c r="O1319" s="171"/>
      <c r="P1319" s="88" t="s">
        <v>5070</v>
      </c>
    </row>
    <row r="1320" spans="1:16" x14ac:dyDescent="0.25">
      <c r="A1320" s="5">
        <v>367</v>
      </c>
      <c r="B1320" s="60"/>
      <c r="C1320" s="66">
        <f>'Baru NIS'!C36</f>
        <v>102519559</v>
      </c>
      <c r="D1320" s="61"/>
      <c r="E1320" s="67" t="s">
        <v>2750</v>
      </c>
      <c r="F1320" s="68" t="s">
        <v>381</v>
      </c>
      <c r="G1320" s="88"/>
      <c r="H1320" s="88"/>
      <c r="I1320" s="88"/>
      <c r="J1320" s="72" t="s">
        <v>2386</v>
      </c>
      <c r="K1320" s="171"/>
      <c r="L1320" s="168"/>
      <c r="M1320" s="171"/>
      <c r="N1320" s="171"/>
      <c r="O1320" s="171"/>
      <c r="P1320" s="88" t="s">
        <v>5070</v>
      </c>
    </row>
    <row r="1321" spans="1:16" x14ac:dyDescent="0.25">
      <c r="A1321" s="5">
        <v>368</v>
      </c>
      <c r="B1321" s="60"/>
      <c r="C1321" s="66">
        <f>'Baru NIS'!C387</f>
        <v>102519910</v>
      </c>
      <c r="D1321" s="61"/>
      <c r="E1321" s="73" t="s">
        <v>2751</v>
      </c>
      <c r="F1321" s="74" t="s">
        <v>379</v>
      </c>
      <c r="G1321" s="88"/>
      <c r="H1321" s="88"/>
      <c r="I1321" s="88"/>
      <c r="J1321" s="72" t="s">
        <v>2402</v>
      </c>
      <c r="K1321" s="171"/>
      <c r="L1321" s="168"/>
      <c r="M1321" s="171"/>
      <c r="N1321" s="171"/>
      <c r="O1321" s="171"/>
      <c r="P1321" s="88" t="s">
        <v>5070</v>
      </c>
    </row>
    <row r="1322" spans="1:16" x14ac:dyDescent="0.25">
      <c r="A1322" s="5">
        <v>369</v>
      </c>
      <c r="B1322" s="60"/>
      <c r="C1322" s="66">
        <f>'Baru NIS'!C318</f>
        <v>102519841</v>
      </c>
      <c r="D1322" s="61"/>
      <c r="E1322" s="73" t="s">
        <v>2752</v>
      </c>
      <c r="F1322" s="74" t="s">
        <v>379</v>
      </c>
      <c r="G1322" s="88"/>
      <c r="H1322" s="88"/>
      <c r="I1322" s="88"/>
      <c r="J1322" s="72" t="s">
        <v>2375</v>
      </c>
      <c r="K1322" s="171"/>
      <c r="L1322" s="168"/>
      <c r="M1322" s="171"/>
      <c r="N1322" s="171"/>
      <c r="O1322" s="171"/>
      <c r="P1322" s="88" t="s">
        <v>5070</v>
      </c>
    </row>
    <row r="1323" spans="1:16" x14ac:dyDescent="0.25">
      <c r="A1323" s="5">
        <v>370</v>
      </c>
      <c r="B1323" s="60"/>
      <c r="C1323" s="66">
        <f>'Baru NIS'!C350</f>
        <v>102519873</v>
      </c>
      <c r="D1323" s="61"/>
      <c r="E1323" s="73" t="s">
        <v>2753</v>
      </c>
      <c r="F1323" s="74" t="s">
        <v>379</v>
      </c>
      <c r="G1323" s="88"/>
      <c r="H1323" s="88"/>
      <c r="I1323" s="88"/>
      <c r="J1323" s="72" t="s">
        <v>2383</v>
      </c>
      <c r="K1323" s="171"/>
      <c r="L1323" s="168"/>
      <c r="M1323" s="171"/>
      <c r="N1323" s="171"/>
      <c r="O1323" s="171"/>
      <c r="P1323" s="88" t="s">
        <v>5070</v>
      </c>
    </row>
    <row r="1324" spans="1:16" x14ac:dyDescent="0.25">
      <c r="A1324" s="5">
        <v>371</v>
      </c>
      <c r="B1324" s="60"/>
      <c r="C1324" s="66">
        <f>'Baru NIS'!C143</f>
        <v>102519666</v>
      </c>
      <c r="D1324" s="61"/>
      <c r="E1324" s="67" t="s">
        <v>2754</v>
      </c>
      <c r="F1324" s="68" t="s">
        <v>381</v>
      </c>
      <c r="G1324" s="88"/>
      <c r="H1324" s="88"/>
      <c r="I1324" s="88"/>
      <c r="J1324" s="72" t="s">
        <v>2371</v>
      </c>
      <c r="K1324" s="171"/>
      <c r="L1324" s="168"/>
      <c r="M1324" s="171"/>
      <c r="N1324" s="171"/>
      <c r="O1324" s="171"/>
      <c r="P1324" s="88" t="s">
        <v>5070</v>
      </c>
    </row>
    <row r="1325" spans="1:16" x14ac:dyDescent="0.25">
      <c r="A1325" s="5">
        <v>372</v>
      </c>
      <c r="B1325" s="60"/>
      <c r="C1325" s="66">
        <f>'Baru NIS'!C249</f>
        <v>102519812</v>
      </c>
      <c r="D1325" s="61"/>
      <c r="E1325" s="73" t="s">
        <v>2755</v>
      </c>
      <c r="F1325" s="74" t="s">
        <v>381</v>
      </c>
      <c r="G1325" s="88"/>
      <c r="H1325" s="88"/>
      <c r="I1325" s="88"/>
      <c r="J1325" s="72" t="s">
        <v>2379</v>
      </c>
      <c r="K1325" s="171"/>
      <c r="L1325" s="168"/>
      <c r="M1325" s="171"/>
      <c r="N1325" s="171"/>
      <c r="O1325" s="171"/>
      <c r="P1325" s="88" t="s">
        <v>5070</v>
      </c>
    </row>
    <row r="1326" spans="1:16" x14ac:dyDescent="0.25">
      <c r="A1326" s="5">
        <v>373</v>
      </c>
      <c r="B1326" s="60"/>
      <c r="C1326" s="66">
        <f>'Baru NIS'!C250</f>
        <v>102519813</v>
      </c>
      <c r="D1326" s="61"/>
      <c r="E1326" s="58" t="s">
        <v>2756</v>
      </c>
      <c r="F1326" s="5" t="s">
        <v>379</v>
      </c>
      <c r="G1326" s="88"/>
      <c r="H1326" s="88"/>
      <c r="I1326" s="88"/>
      <c r="J1326" s="72" t="s">
        <v>2379</v>
      </c>
      <c r="K1326" s="171"/>
      <c r="L1326" s="168"/>
      <c r="M1326" s="171"/>
      <c r="N1326" s="171"/>
      <c r="O1326" s="171"/>
      <c r="P1326" s="88" t="s">
        <v>5070</v>
      </c>
    </row>
    <row r="1327" spans="1:16" x14ac:dyDescent="0.25">
      <c r="A1327" s="5">
        <v>374</v>
      </c>
      <c r="B1327" s="60"/>
      <c r="C1327" s="66">
        <f>'Baru NIS'!C69</f>
        <v>102519592</v>
      </c>
      <c r="D1327" s="61"/>
      <c r="E1327" s="67" t="s">
        <v>2757</v>
      </c>
      <c r="F1327" s="68" t="s">
        <v>381</v>
      </c>
      <c r="G1327" s="88"/>
      <c r="H1327" s="88"/>
      <c r="I1327" s="88"/>
      <c r="J1327" s="72" t="s">
        <v>2397</v>
      </c>
      <c r="K1327" s="171"/>
      <c r="L1327" s="168"/>
      <c r="M1327" s="171"/>
      <c r="N1327" s="171"/>
      <c r="O1327" s="171"/>
      <c r="P1327" s="88" t="s">
        <v>5070</v>
      </c>
    </row>
    <row r="1328" spans="1:16" x14ac:dyDescent="0.25">
      <c r="A1328" s="5">
        <v>375</v>
      </c>
      <c r="B1328" s="60"/>
      <c r="C1328" s="66">
        <f>'Baru NIS'!C251</f>
        <v>102519814</v>
      </c>
      <c r="D1328" s="61"/>
      <c r="E1328" s="73" t="s">
        <v>2758</v>
      </c>
      <c r="F1328" s="74" t="s">
        <v>379</v>
      </c>
      <c r="G1328" s="88"/>
      <c r="H1328" s="88"/>
      <c r="I1328" s="88"/>
      <c r="J1328" s="72" t="s">
        <v>2379</v>
      </c>
      <c r="K1328" s="171"/>
      <c r="L1328" s="168"/>
      <c r="M1328" s="171"/>
      <c r="N1328" s="171"/>
      <c r="O1328" s="171"/>
      <c r="P1328" s="88" t="s">
        <v>5070</v>
      </c>
    </row>
    <row r="1329" spans="1:16" x14ac:dyDescent="0.25">
      <c r="A1329" s="5">
        <v>376</v>
      </c>
      <c r="B1329" s="60"/>
      <c r="C1329" s="66">
        <f>'Baru NIS'!C106</f>
        <v>102519629</v>
      </c>
      <c r="D1329" s="61"/>
      <c r="E1329" s="67" t="s">
        <v>2759</v>
      </c>
      <c r="F1329" s="68" t="s">
        <v>379</v>
      </c>
      <c r="G1329" s="88"/>
      <c r="H1329" s="88"/>
      <c r="I1329" s="88"/>
      <c r="J1329" s="72" t="s">
        <v>2389</v>
      </c>
      <c r="K1329" s="171"/>
      <c r="L1329" s="168"/>
      <c r="M1329" s="171"/>
      <c r="N1329" s="171"/>
      <c r="O1329" s="171"/>
      <c r="P1329" s="88" t="s">
        <v>5070</v>
      </c>
    </row>
    <row r="1330" spans="1:16" x14ac:dyDescent="0.25">
      <c r="A1330" s="5">
        <v>377</v>
      </c>
      <c r="B1330" s="60"/>
      <c r="C1330" s="66">
        <f>'Baru NIS'!C285</f>
        <v>102519768</v>
      </c>
      <c r="D1330" s="61"/>
      <c r="E1330" s="58" t="s">
        <v>2760</v>
      </c>
      <c r="F1330" s="5" t="s">
        <v>381</v>
      </c>
      <c r="G1330" s="88"/>
      <c r="H1330" s="88"/>
      <c r="I1330" s="88"/>
      <c r="J1330" s="72" t="s">
        <v>2377</v>
      </c>
      <c r="K1330" s="171"/>
      <c r="L1330" s="168"/>
      <c r="M1330" s="171"/>
      <c r="N1330" s="171"/>
      <c r="O1330" s="171"/>
      <c r="P1330" s="88" t="s">
        <v>5070</v>
      </c>
    </row>
    <row r="1331" spans="1:16" x14ac:dyDescent="0.25">
      <c r="A1331" s="5">
        <v>378</v>
      </c>
      <c r="B1331" s="60"/>
      <c r="C1331" s="66" t="e">
        <f>'Baru NIS'!#REF!</f>
        <v>#REF!</v>
      </c>
      <c r="D1331" s="61"/>
      <c r="E1331" s="67" t="s">
        <v>2761</v>
      </c>
      <c r="F1331" s="68" t="s">
        <v>379</v>
      </c>
      <c r="G1331" s="88"/>
      <c r="H1331" s="88"/>
      <c r="I1331" s="88"/>
      <c r="J1331" s="72" t="s">
        <v>2373</v>
      </c>
      <c r="K1331" s="171"/>
      <c r="L1331" s="168"/>
      <c r="M1331" s="171"/>
      <c r="N1331" s="171"/>
      <c r="O1331" s="171"/>
      <c r="P1331" s="88" t="s">
        <v>5070</v>
      </c>
    </row>
    <row r="1332" spans="1:16" x14ac:dyDescent="0.25">
      <c r="A1332" s="5">
        <v>379</v>
      </c>
      <c r="B1332" s="60"/>
      <c r="C1332" s="66">
        <f>'Baru NIS'!C107</f>
        <v>102519630</v>
      </c>
      <c r="D1332" s="61"/>
      <c r="E1332" s="67" t="s">
        <v>2762</v>
      </c>
      <c r="F1332" s="68" t="s">
        <v>379</v>
      </c>
      <c r="G1332" s="88"/>
      <c r="H1332" s="88"/>
      <c r="I1332" s="88"/>
      <c r="J1332" s="72" t="s">
        <v>2389</v>
      </c>
      <c r="K1332" s="171"/>
      <c r="L1332" s="168"/>
      <c r="M1332" s="171"/>
      <c r="N1332" s="171"/>
      <c r="O1332" s="171"/>
      <c r="P1332" s="88" t="s">
        <v>5070</v>
      </c>
    </row>
    <row r="1333" spans="1:16" x14ac:dyDescent="0.25">
      <c r="A1333" s="5">
        <v>380</v>
      </c>
      <c r="B1333" s="60"/>
      <c r="C1333" s="66">
        <f>'Baru NIS'!C351</f>
        <v>102519874</v>
      </c>
      <c r="D1333" s="61"/>
      <c r="E1333" s="73" t="s">
        <v>2763</v>
      </c>
      <c r="F1333" s="74" t="s">
        <v>379</v>
      </c>
      <c r="G1333" s="88"/>
      <c r="H1333" s="88"/>
      <c r="I1333" s="88"/>
      <c r="J1333" s="72" t="s">
        <v>2383</v>
      </c>
      <c r="K1333" s="171"/>
      <c r="L1333" s="168"/>
      <c r="M1333" s="171"/>
      <c r="N1333" s="171"/>
      <c r="O1333" s="171"/>
      <c r="P1333" s="88" t="s">
        <v>5070</v>
      </c>
    </row>
    <row r="1334" spans="1:16" x14ac:dyDescent="0.25">
      <c r="A1334" s="5">
        <v>381</v>
      </c>
      <c r="B1334" s="60"/>
      <c r="C1334" s="66">
        <f>'Baru NIS'!C319</f>
        <v>102519842</v>
      </c>
      <c r="D1334" s="61"/>
      <c r="E1334" s="73" t="s">
        <v>2764</v>
      </c>
      <c r="F1334" s="74" t="s">
        <v>381</v>
      </c>
      <c r="G1334" s="88"/>
      <c r="H1334" s="88"/>
      <c r="I1334" s="88"/>
      <c r="J1334" s="72" t="s">
        <v>2375</v>
      </c>
      <c r="K1334" s="171"/>
      <c r="L1334" s="168"/>
      <c r="M1334" s="171"/>
      <c r="N1334" s="171"/>
      <c r="O1334" s="171"/>
      <c r="P1334" s="88" t="s">
        <v>5070</v>
      </c>
    </row>
    <row r="1335" spans="1:16" x14ac:dyDescent="0.25">
      <c r="A1335" s="5">
        <v>382</v>
      </c>
      <c r="B1335" s="60"/>
      <c r="C1335" s="66">
        <f>'Baru NIS'!C352</f>
        <v>102519875</v>
      </c>
      <c r="D1335" s="61"/>
      <c r="E1335" s="58" t="s">
        <v>2765</v>
      </c>
      <c r="F1335" s="5" t="s">
        <v>381</v>
      </c>
      <c r="G1335" s="88"/>
      <c r="H1335" s="88"/>
      <c r="I1335" s="88"/>
      <c r="J1335" s="72" t="s">
        <v>2383</v>
      </c>
      <c r="K1335" s="171"/>
      <c r="L1335" s="168"/>
      <c r="M1335" s="171"/>
      <c r="N1335" s="171"/>
      <c r="O1335" s="171"/>
      <c r="P1335" s="88" t="s">
        <v>5070</v>
      </c>
    </row>
    <row r="1336" spans="1:16" x14ac:dyDescent="0.25">
      <c r="A1336" s="5">
        <v>383</v>
      </c>
      <c r="B1336" s="60"/>
      <c r="C1336" s="66">
        <f>'Baru NIS'!C70</f>
        <v>102519593</v>
      </c>
      <c r="D1336" s="61"/>
      <c r="E1336" s="67" t="s">
        <v>2766</v>
      </c>
      <c r="F1336" s="68" t="s">
        <v>381</v>
      </c>
      <c r="G1336" s="88"/>
      <c r="H1336" s="88"/>
      <c r="I1336" s="88"/>
      <c r="J1336" s="72" t="s">
        <v>2397</v>
      </c>
      <c r="K1336" s="171"/>
      <c r="L1336" s="168"/>
      <c r="M1336" s="171"/>
      <c r="N1336" s="171"/>
      <c r="O1336" s="171"/>
      <c r="P1336" s="88" t="s">
        <v>5070</v>
      </c>
    </row>
    <row r="1337" spans="1:16" x14ac:dyDescent="0.25">
      <c r="A1337" s="5">
        <v>384</v>
      </c>
      <c r="B1337" s="60"/>
      <c r="C1337" s="66" t="e">
        <f>'Baru NIS'!#REF!</f>
        <v>#REF!</v>
      </c>
      <c r="D1337" s="61"/>
      <c r="E1337" s="67" t="s">
        <v>2767</v>
      </c>
      <c r="F1337" s="68" t="s">
        <v>381</v>
      </c>
      <c r="G1337" s="88"/>
      <c r="H1337" s="88"/>
      <c r="I1337" s="88"/>
      <c r="J1337" s="72" t="s">
        <v>2373</v>
      </c>
      <c r="K1337" s="171"/>
      <c r="L1337" s="168"/>
      <c r="M1337" s="171"/>
      <c r="N1337" s="171"/>
      <c r="O1337" s="171"/>
      <c r="P1337" s="88" t="s">
        <v>5070</v>
      </c>
    </row>
    <row r="1338" spans="1:16" x14ac:dyDescent="0.25">
      <c r="A1338" s="5">
        <v>385</v>
      </c>
      <c r="B1338" s="60"/>
      <c r="C1338" s="66">
        <f>'Baru NIS'!C286</f>
        <v>102519769</v>
      </c>
      <c r="D1338" s="61"/>
      <c r="E1338" s="73" t="s">
        <v>2768</v>
      </c>
      <c r="F1338" s="74" t="s">
        <v>381</v>
      </c>
      <c r="G1338" s="88"/>
      <c r="H1338" s="88"/>
      <c r="I1338" s="88"/>
      <c r="J1338" s="72" t="s">
        <v>2377</v>
      </c>
      <c r="K1338" s="171"/>
      <c r="L1338" s="168"/>
      <c r="M1338" s="171"/>
      <c r="N1338" s="171"/>
      <c r="O1338" s="171"/>
      <c r="P1338" s="88" t="s">
        <v>5070</v>
      </c>
    </row>
    <row r="1339" spans="1:16" x14ac:dyDescent="0.25">
      <c r="A1339" s="5">
        <v>386</v>
      </c>
      <c r="B1339" s="60"/>
      <c r="C1339" s="66">
        <f>'Baru NIS'!C353</f>
        <v>102519876</v>
      </c>
      <c r="D1339" s="61"/>
      <c r="E1339" s="58" t="s">
        <v>2769</v>
      </c>
      <c r="F1339" s="5" t="s">
        <v>379</v>
      </c>
      <c r="G1339" s="88"/>
      <c r="H1339" s="88"/>
      <c r="I1339" s="88"/>
      <c r="J1339" s="72" t="s">
        <v>2383</v>
      </c>
      <c r="K1339" s="171"/>
      <c r="L1339" s="168"/>
      <c r="M1339" s="171"/>
      <c r="N1339" s="171"/>
      <c r="O1339" s="171"/>
      <c r="P1339" s="88" t="s">
        <v>5070</v>
      </c>
    </row>
    <row r="1340" spans="1:16" x14ac:dyDescent="0.25">
      <c r="A1340" s="5">
        <v>387</v>
      </c>
      <c r="B1340" s="60"/>
      <c r="C1340" s="66">
        <f>'Baru NIS'!C108</f>
        <v>102519631</v>
      </c>
      <c r="D1340" s="61"/>
      <c r="E1340" s="69" t="s">
        <v>2770</v>
      </c>
      <c r="F1340" s="57" t="s">
        <v>379</v>
      </c>
      <c r="G1340" s="88"/>
      <c r="H1340" s="88"/>
      <c r="I1340" s="88"/>
      <c r="J1340" s="72" t="s">
        <v>2389</v>
      </c>
      <c r="K1340" s="171"/>
      <c r="L1340" s="168"/>
      <c r="M1340" s="171"/>
      <c r="N1340" s="171"/>
      <c r="O1340" s="171"/>
      <c r="P1340" s="88" t="s">
        <v>5070</v>
      </c>
    </row>
    <row r="1341" spans="1:16" x14ac:dyDescent="0.25">
      <c r="A1341" s="5">
        <v>388</v>
      </c>
      <c r="B1341" s="60"/>
      <c r="C1341" s="66">
        <f>'Baru NIS'!C179</f>
        <v>102519702</v>
      </c>
      <c r="D1341" s="61"/>
      <c r="E1341" s="77" t="s">
        <v>2771</v>
      </c>
      <c r="F1341" s="78" t="s">
        <v>381</v>
      </c>
      <c r="G1341" s="88"/>
      <c r="H1341" s="88"/>
      <c r="I1341" s="88"/>
      <c r="J1341" s="72" t="s">
        <v>2399</v>
      </c>
      <c r="K1341" s="171"/>
      <c r="L1341" s="168"/>
      <c r="M1341" s="171"/>
      <c r="N1341" s="171"/>
      <c r="O1341" s="171"/>
      <c r="P1341" s="88" t="s">
        <v>5070</v>
      </c>
    </row>
    <row r="1342" spans="1:16" x14ac:dyDescent="0.25">
      <c r="A1342" s="5">
        <v>389</v>
      </c>
      <c r="B1342" s="60"/>
      <c r="C1342" s="66">
        <f>'Baru NIS'!C144</f>
        <v>102519667</v>
      </c>
      <c r="D1342" s="61"/>
      <c r="E1342" s="69" t="s">
        <v>2772</v>
      </c>
      <c r="F1342" s="57" t="s">
        <v>381</v>
      </c>
      <c r="G1342" s="88"/>
      <c r="H1342" s="88"/>
      <c r="I1342" s="88"/>
      <c r="J1342" s="72" t="s">
        <v>2371</v>
      </c>
      <c r="K1342" s="171"/>
      <c r="L1342" s="168"/>
      <c r="M1342" s="171"/>
      <c r="N1342" s="171"/>
      <c r="O1342" s="171"/>
      <c r="P1342" s="88" t="s">
        <v>5070</v>
      </c>
    </row>
    <row r="1343" spans="1:16" x14ac:dyDescent="0.25">
      <c r="A1343" s="5">
        <v>390</v>
      </c>
      <c r="B1343" s="60"/>
      <c r="C1343" s="66">
        <f>'Baru NIS'!C37</f>
        <v>102519560</v>
      </c>
      <c r="D1343" s="61"/>
      <c r="E1343" s="67" t="s">
        <v>2773</v>
      </c>
      <c r="F1343" s="68" t="s">
        <v>379</v>
      </c>
      <c r="G1343" s="88"/>
      <c r="H1343" s="88"/>
      <c r="I1343" s="88"/>
      <c r="J1343" s="72" t="s">
        <v>2386</v>
      </c>
      <c r="K1343" s="171"/>
      <c r="L1343" s="168"/>
      <c r="M1343" s="171"/>
      <c r="N1343" s="171"/>
      <c r="O1343" s="171"/>
      <c r="P1343" s="88" t="s">
        <v>5070</v>
      </c>
    </row>
    <row r="1344" spans="1:16" x14ac:dyDescent="0.25">
      <c r="A1344" s="5">
        <v>391</v>
      </c>
      <c r="B1344" s="60"/>
      <c r="C1344" s="66">
        <f>'Baru NIS'!C180</f>
        <v>102519703</v>
      </c>
      <c r="D1344" s="61"/>
      <c r="E1344" s="77" t="s">
        <v>2774</v>
      </c>
      <c r="F1344" s="78" t="s">
        <v>381</v>
      </c>
      <c r="G1344" s="88"/>
      <c r="H1344" s="88"/>
      <c r="I1344" s="88"/>
      <c r="J1344" s="72" t="s">
        <v>2399</v>
      </c>
      <c r="K1344" s="171"/>
      <c r="L1344" s="168"/>
      <c r="M1344" s="171"/>
      <c r="N1344" s="171"/>
      <c r="O1344" s="171"/>
      <c r="P1344" s="88" t="s">
        <v>5070</v>
      </c>
    </row>
    <row r="1345" spans="1:16" x14ac:dyDescent="0.25">
      <c r="A1345" s="5">
        <v>392</v>
      </c>
      <c r="B1345" s="60"/>
      <c r="C1345" s="66" t="e">
        <f>'Baru NIS'!#REF!</f>
        <v>#REF!</v>
      </c>
      <c r="D1345" s="61"/>
      <c r="E1345" s="58" t="s">
        <v>2775</v>
      </c>
      <c r="F1345" s="5" t="s">
        <v>379</v>
      </c>
      <c r="G1345" s="88"/>
      <c r="H1345" s="88"/>
      <c r="I1345" s="88"/>
      <c r="J1345" s="72" t="s">
        <v>2375</v>
      </c>
      <c r="K1345" s="171"/>
      <c r="L1345" s="168"/>
      <c r="M1345" s="171"/>
      <c r="N1345" s="171"/>
      <c r="O1345" s="171"/>
      <c r="P1345" s="88" t="s">
        <v>5070</v>
      </c>
    </row>
    <row r="1346" spans="1:16" x14ac:dyDescent="0.25">
      <c r="A1346" s="5">
        <v>393</v>
      </c>
      <c r="B1346" s="60"/>
      <c r="C1346" s="66">
        <f>'Baru NIS'!C71</f>
        <v>102519594</v>
      </c>
      <c r="D1346" s="61"/>
      <c r="E1346" s="67" t="s">
        <v>2776</v>
      </c>
      <c r="F1346" s="68" t="s">
        <v>379</v>
      </c>
      <c r="G1346" s="88"/>
      <c r="H1346" s="88"/>
      <c r="I1346" s="88"/>
      <c r="J1346" s="72" t="s">
        <v>2397</v>
      </c>
      <c r="K1346" s="171"/>
      <c r="L1346" s="168"/>
      <c r="M1346" s="171"/>
      <c r="N1346" s="171"/>
      <c r="O1346" s="171"/>
      <c r="P1346" s="88" t="s">
        <v>5070</v>
      </c>
    </row>
    <row r="1347" spans="1:16" x14ac:dyDescent="0.25">
      <c r="A1347" s="5">
        <v>394</v>
      </c>
      <c r="B1347" s="60"/>
      <c r="C1347" s="66">
        <f>'Baru NIS'!C72</f>
        <v>102519595</v>
      </c>
      <c r="D1347" s="61"/>
      <c r="E1347" s="67" t="s">
        <v>2777</v>
      </c>
      <c r="F1347" s="68" t="s">
        <v>381</v>
      </c>
      <c r="G1347" s="88"/>
      <c r="H1347" s="88"/>
      <c r="I1347" s="88"/>
      <c r="J1347" s="72" t="s">
        <v>2397</v>
      </c>
      <c r="K1347" s="171"/>
      <c r="L1347" s="168"/>
      <c r="M1347" s="171"/>
      <c r="N1347" s="171"/>
      <c r="O1347" s="171"/>
      <c r="P1347" s="88" t="s">
        <v>5070</v>
      </c>
    </row>
    <row r="1348" spans="1:16" x14ac:dyDescent="0.25">
      <c r="A1348" s="5">
        <v>395</v>
      </c>
      <c r="B1348" s="60"/>
      <c r="C1348" s="66">
        <f>'Baru NIS'!C287</f>
        <v>102519770</v>
      </c>
      <c r="D1348" s="61"/>
      <c r="E1348" s="73" t="s">
        <v>2778</v>
      </c>
      <c r="F1348" s="74" t="s">
        <v>379</v>
      </c>
      <c r="G1348" s="88"/>
      <c r="H1348" s="88"/>
      <c r="I1348" s="88"/>
      <c r="J1348" s="72" t="s">
        <v>2377</v>
      </c>
      <c r="K1348" s="171"/>
      <c r="L1348" s="168"/>
      <c r="M1348" s="171"/>
      <c r="N1348" s="171"/>
      <c r="O1348" s="171"/>
      <c r="P1348" s="88" t="s">
        <v>5070</v>
      </c>
    </row>
    <row r="1349" spans="1:16" x14ac:dyDescent="0.25">
      <c r="A1349" s="5">
        <v>396</v>
      </c>
      <c r="B1349" s="60"/>
      <c r="C1349" s="66">
        <f>'Baru NIS'!C388</f>
        <v>102519911</v>
      </c>
      <c r="D1349" s="61"/>
      <c r="E1349" s="73" t="s">
        <v>2779</v>
      </c>
      <c r="F1349" s="74" t="s">
        <v>379</v>
      </c>
      <c r="G1349" s="88"/>
      <c r="H1349" s="88"/>
      <c r="I1349" s="88"/>
      <c r="J1349" s="72" t="s">
        <v>2402</v>
      </c>
      <c r="K1349" s="171"/>
      <c r="L1349" s="168"/>
      <c r="M1349" s="171"/>
      <c r="N1349" s="171"/>
      <c r="O1349" s="171"/>
      <c r="P1349" s="88" t="s">
        <v>5070</v>
      </c>
    </row>
    <row r="1350" spans="1:16" x14ac:dyDescent="0.25">
      <c r="A1350" s="168"/>
      <c r="B1350" s="177"/>
      <c r="C1350" s="178"/>
      <c r="D1350" s="179"/>
      <c r="E1350" s="180"/>
      <c r="F1350" s="181"/>
      <c r="G1350" s="170"/>
      <c r="H1350" s="170"/>
      <c r="I1350" s="170"/>
      <c r="J1350" s="171"/>
      <c r="K1350" s="171"/>
      <c r="L1350" s="173" t="s">
        <v>4675</v>
      </c>
      <c r="M1350" s="171"/>
      <c r="N1350" s="171"/>
      <c r="O1350" s="171"/>
      <c r="P1350" s="170"/>
    </row>
    <row r="1351" spans="1:16" x14ac:dyDescent="0.25">
      <c r="A1351" s="168"/>
      <c r="B1351" s="177">
        <v>102318882</v>
      </c>
      <c r="C1351" s="178">
        <v>81063039</v>
      </c>
      <c r="D1351" s="179" t="s">
        <v>5223</v>
      </c>
      <c r="E1351" s="180" t="s">
        <v>3350</v>
      </c>
      <c r="F1351" s="181" t="s">
        <v>379</v>
      </c>
      <c r="G1351" s="170"/>
      <c r="H1351" s="170"/>
      <c r="I1351" s="170"/>
      <c r="J1351" s="171"/>
      <c r="K1351" s="171"/>
      <c r="L1351" s="168" t="s">
        <v>420</v>
      </c>
      <c r="M1351" s="171"/>
      <c r="N1351" s="171"/>
      <c r="O1351" s="171"/>
      <c r="P1351" s="170"/>
    </row>
    <row r="1352" spans="1:16" x14ac:dyDescent="0.25">
      <c r="A1352" s="168"/>
      <c r="B1352" s="177">
        <v>102318918</v>
      </c>
      <c r="C1352" s="178">
        <v>75548222</v>
      </c>
      <c r="D1352" s="179" t="s">
        <v>5261</v>
      </c>
      <c r="E1352" s="180" t="s">
        <v>5262</v>
      </c>
      <c r="F1352" s="181" t="s">
        <v>379</v>
      </c>
      <c r="G1352" s="170"/>
      <c r="H1352" s="170"/>
      <c r="I1352" s="170"/>
      <c r="J1352" s="171"/>
      <c r="K1352" s="171"/>
      <c r="L1352" s="168" t="s">
        <v>421</v>
      </c>
      <c r="M1352" s="171"/>
      <c r="N1352" s="171"/>
      <c r="O1352" s="171"/>
      <c r="P1352" s="170" t="s">
        <v>5493</v>
      </c>
    </row>
    <row r="1353" spans="1:16" x14ac:dyDescent="0.25">
      <c r="A1353" s="168"/>
      <c r="B1353" s="177">
        <v>102319026</v>
      </c>
      <c r="C1353" s="178">
        <v>75807271</v>
      </c>
      <c r="D1353" s="179" t="s">
        <v>5375</v>
      </c>
      <c r="E1353" s="180" t="s">
        <v>3620</v>
      </c>
      <c r="F1353" s="181" t="s">
        <v>379</v>
      </c>
      <c r="G1353" s="170"/>
      <c r="H1353" s="170"/>
      <c r="I1353" s="170"/>
      <c r="J1353" s="171"/>
      <c r="K1353" s="171"/>
      <c r="L1353" s="168" t="s">
        <v>424</v>
      </c>
      <c r="M1353" s="171"/>
      <c r="N1353" s="171"/>
      <c r="O1353" s="171"/>
      <c r="P1353" s="170"/>
    </row>
    <row r="1354" spans="1:16" x14ac:dyDescent="0.25">
      <c r="A1354" s="168"/>
      <c r="B1354" s="177">
        <v>102318774</v>
      </c>
      <c r="C1354" s="178">
        <v>3085051012</v>
      </c>
      <c r="D1354" s="179" t="s">
        <v>5108</v>
      </c>
      <c r="E1354" s="180" t="s">
        <v>3148</v>
      </c>
      <c r="F1354" s="181" t="s">
        <v>379</v>
      </c>
      <c r="G1354" s="170"/>
      <c r="H1354" s="170"/>
      <c r="I1354" s="170"/>
      <c r="J1354" s="171"/>
      <c r="K1354" s="171"/>
      <c r="L1354" s="168" t="s">
        <v>416</v>
      </c>
      <c r="M1354" s="171"/>
      <c r="N1354" s="171"/>
      <c r="O1354" s="171"/>
      <c r="P1354" s="170"/>
    </row>
    <row r="1355" spans="1:16" x14ac:dyDescent="0.25">
      <c r="A1355" s="168"/>
      <c r="B1355" s="177">
        <v>102318954</v>
      </c>
      <c r="C1355" s="178">
        <v>77980820</v>
      </c>
      <c r="D1355" s="179" t="s">
        <v>5301</v>
      </c>
      <c r="E1355" s="180" t="s">
        <v>3484</v>
      </c>
      <c r="F1355" s="181" t="s">
        <v>379</v>
      </c>
      <c r="G1355" s="170"/>
      <c r="H1355" s="170"/>
      <c r="I1355" s="170"/>
      <c r="J1355" s="171"/>
      <c r="K1355" s="171"/>
      <c r="L1355" s="168" t="s">
        <v>422</v>
      </c>
      <c r="M1355" s="171"/>
      <c r="N1355" s="171"/>
      <c r="O1355" s="171"/>
      <c r="P1355" s="170"/>
    </row>
    <row r="1356" spans="1:16" x14ac:dyDescent="0.25">
      <c r="A1356" s="168"/>
      <c r="B1356" s="177">
        <v>102318738</v>
      </c>
      <c r="C1356" s="178">
        <v>76650474</v>
      </c>
      <c r="D1356" s="179" t="s">
        <v>5071</v>
      </c>
      <c r="E1356" s="180" t="s">
        <v>3078</v>
      </c>
      <c r="F1356" s="181" t="s">
        <v>379</v>
      </c>
      <c r="G1356" s="170"/>
      <c r="H1356" s="170"/>
      <c r="I1356" s="170"/>
      <c r="J1356" s="171"/>
      <c r="K1356" s="171"/>
      <c r="L1356" s="168" t="s">
        <v>404</v>
      </c>
      <c r="M1356" s="171"/>
      <c r="N1356" s="171"/>
      <c r="O1356" s="171"/>
      <c r="P1356" s="170"/>
    </row>
    <row r="1357" spans="1:16" x14ac:dyDescent="0.25">
      <c r="A1357" s="168"/>
      <c r="B1357" s="177">
        <v>102319027</v>
      </c>
      <c r="C1357" s="178">
        <v>74872644</v>
      </c>
      <c r="D1357" s="179" t="s">
        <v>5376</v>
      </c>
      <c r="E1357" s="180" t="s">
        <v>5377</v>
      </c>
      <c r="F1357" s="181" t="s">
        <v>381</v>
      </c>
      <c r="G1357" s="170"/>
      <c r="H1357" s="170"/>
      <c r="I1357" s="170"/>
      <c r="J1357" s="171"/>
      <c r="K1357" s="171"/>
      <c r="L1357" s="168" t="s">
        <v>424</v>
      </c>
      <c r="M1357" s="171"/>
      <c r="N1357" s="171"/>
      <c r="O1357" s="171"/>
      <c r="P1357" s="170" t="s">
        <v>5496</v>
      </c>
    </row>
    <row r="1358" spans="1:16" x14ac:dyDescent="0.25">
      <c r="A1358" s="168"/>
      <c r="B1358" s="177">
        <v>102318990</v>
      </c>
      <c r="C1358" s="178">
        <v>85340711</v>
      </c>
      <c r="D1358" s="179" t="s">
        <v>5337</v>
      </c>
      <c r="E1358" s="180" t="s">
        <v>3553</v>
      </c>
      <c r="F1358" s="181" t="s">
        <v>379</v>
      </c>
      <c r="G1358" s="170"/>
      <c r="H1358" s="170"/>
      <c r="I1358" s="170"/>
      <c r="J1358" s="171"/>
      <c r="K1358" s="171"/>
      <c r="L1358" s="168" t="s">
        <v>423</v>
      </c>
      <c r="M1358" s="171"/>
      <c r="N1358" s="171"/>
      <c r="O1358" s="171"/>
      <c r="P1358" s="170"/>
    </row>
    <row r="1359" spans="1:16" x14ac:dyDescent="0.25">
      <c r="A1359" s="168"/>
      <c r="B1359" s="177">
        <v>102319062</v>
      </c>
      <c r="C1359" s="178">
        <v>71820956</v>
      </c>
      <c r="D1359" s="179" t="s">
        <v>5413</v>
      </c>
      <c r="E1359" s="180" t="s">
        <v>3687</v>
      </c>
      <c r="F1359" s="181" t="s">
        <v>379</v>
      </c>
      <c r="G1359" s="170"/>
      <c r="H1359" s="170"/>
      <c r="I1359" s="170"/>
      <c r="J1359" s="171"/>
      <c r="K1359" s="171"/>
      <c r="L1359" s="168" t="s">
        <v>425</v>
      </c>
      <c r="M1359" s="171"/>
      <c r="N1359" s="171"/>
      <c r="O1359" s="171"/>
      <c r="P1359" s="170"/>
    </row>
    <row r="1360" spans="1:16" x14ac:dyDescent="0.25">
      <c r="A1360" s="168"/>
      <c r="B1360" s="177">
        <v>102318955</v>
      </c>
      <c r="C1360" s="178">
        <v>79960589</v>
      </c>
      <c r="D1360" s="179" t="s">
        <v>5302</v>
      </c>
      <c r="E1360" s="180" t="s">
        <v>3486</v>
      </c>
      <c r="F1360" s="181" t="s">
        <v>379</v>
      </c>
      <c r="G1360" s="170"/>
      <c r="H1360" s="170"/>
      <c r="I1360" s="170"/>
      <c r="J1360" s="171"/>
      <c r="K1360" s="171"/>
      <c r="L1360" s="168" t="s">
        <v>422</v>
      </c>
      <c r="M1360" s="171"/>
      <c r="N1360" s="171"/>
      <c r="O1360" s="171"/>
      <c r="P1360" s="170"/>
    </row>
    <row r="1361" spans="1:16" x14ac:dyDescent="0.25">
      <c r="A1361" s="168"/>
      <c r="B1361" s="177">
        <v>102318991</v>
      </c>
      <c r="C1361" s="178">
        <v>88510176</v>
      </c>
      <c r="D1361" s="179" t="s">
        <v>5338</v>
      </c>
      <c r="E1361" s="180" t="s">
        <v>3555</v>
      </c>
      <c r="F1361" s="181" t="s">
        <v>379</v>
      </c>
      <c r="G1361" s="170"/>
      <c r="H1361" s="170"/>
      <c r="I1361" s="170"/>
      <c r="J1361" s="171"/>
      <c r="K1361" s="171"/>
      <c r="L1361" s="168" t="s">
        <v>423</v>
      </c>
      <c r="M1361" s="171"/>
      <c r="N1361" s="171"/>
      <c r="O1361" s="171"/>
      <c r="P1361" s="170"/>
    </row>
    <row r="1362" spans="1:16" x14ac:dyDescent="0.25">
      <c r="A1362" s="168"/>
      <c r="B1362" s="177">
        <v>102318883</v>
      </c>
      <c r="C1362" s="178">
        <v>83701684</v>
      </c>
      <c r="D1362" s="179" t="s">
        <v>5224</v>
      </c>
      <c r="E1362" s="180" t="s">
        <v>3352</v>
      </c>
      <c r="F1362" s="181" t="s">
        <v>381</v>
      </c>
      <c r="G1362" s="170"/>
      <c r="H1362" s="170"/>
      <c r="I1362" s="170"/>
      <c r="J1362" s="171"/>
      <c r="K1362" s="171"/>
      <c r="L1362" s="168" t="s">
        <v>420</v>
      </c>
      <c r="M1362" s="171"/>
      <c r="N1362" s="171"/>
      <c r="O1362" s="171"/>
      <c r="P1362" s="170"/>
    </row>
    <row r="1363" spans="1:16" x14ac:dyDescent="0.25">
      <c r="A1363" s="168"/>
      <c r="B1363" s="177">
        <v>102318919</v>
      </c>
      <c r="C1363" s="178">
        <v>75247381</v>
      </c>
      <c r="D1363" s="179" t="s">
        <v>5263</v>
      </c>
      <c r="E1363" s="180" t="s">
        <v>3418</v>
      </c>
      <c r="F1363" s="181" t="s">
        <v>381</v>
      </c>
      <c r="G1363" s="170"/>
      <c r="H1363" s="170"/>
      <c r="I1363" s="170"/>
      <c r="J1363" s="171"/>
      <c r="K1363" s="171"/>
      <c r="L1363" s="168" t="s">
        <v>421</v>
      </c>
      <c r="M1363" s="171"/>
      <c r="N1363" s="171"/>
      <c r="O1363" s="171"/>
      <c r="P1363" s="170"/>
    </row>
    <row r="1364" spans="1:16" x14ac:dyDescent="0.25">
      <c r="A1364" s="168"/>
      <c r="B1364" s="177">
        <v>102318956</v>
      </c>
      <c r="C1364" s="178">
        <v>88397658</v>
      </c>
      <c r="D1364" s="179" t="s">
        <v>5303</v>
      </c>
      <c r="E1364" s="180" t="s">
        <v>3487</v>
      </c>
      <c r="F1364" s="181" t="s">
        <v>379</v>
      </c>
      <c r="G1364" s="170"/>
      <c r="H1364" s="170"/>
      <c r="I1364" s="170"/>
      <c r="J1364" s="171"/>
      <c r="K1364" s="171"/>
      <c r="L1364" s="168" t="s">
        <v>422</v>
      </c>
      <c r="M1364" s="171"/>
      <c r="N1364" s="171"/>
      <c r="O1364" s="171"/>
      <c r="P1364" s="170"/>
    </row>
    <row r="1365" spans="1:16" x14ac:dyDescent="0.25">
      <c r="A1365" s="168"/>
      <c r="B1365" s="177">
        <v>102319063</v>
      </c>
      <c r="C1365" s="178">
        <v>86193797</v>
      </c>
      <c r="D1365" s="179" t="s">
        <v>5414</v>
      </c>
      <c r="E1365" s="180" t="s">
        <v>3688</v>
      </c>
      <c r="F1365" s="181" t="s">
        <v>379</v>
      </c>
      <c r="G1365" s="170"/>
      <c r="H1365" s="170"/>
      <c r="I1365" s="170"/>
      <c r="J1365" s="171"/>
      <c r="K1365" s="171"/>
      <c r="L1365" s="168" t="s">
        <v>425</v>
      </c>
      <c r="M1365" s="171"/>
      <c r="N1365" s="171"/>
      <c r="O1365" s="171"/>
      <c r="P1365" s="170"/>
    </row>
    <row r="1366" spans="1:16" x14ac:dyDescent="0.25">
      <c r="A1366" s="168"/>
      <c r="B1366" s="177">
        <v>102318846</v>
      </c>
      <c r="C1366" s="178">
        <v>87367217</v>
      </c>
      <c r="D1366" s="179" t="s">
        <v>5184</v>
      </c>
      <c r="E1366" s="180" t="s">
        <v>3285</v>
      </c>
      <c r="F1366" s="181" t="s">
        <v>381</v>
      </c>
      <c r="G1366" s="170"/>
      <c r="H1366" s="170"/>
      <c r="I1366" s="170"/>
      <c r="J1366" s="171"/>
      <c r="K1366" s="171"/>
      <c r="L1366" s="168" t="s">
        <v>419</v>
      </c>
      <c r="M1366" s="171"/>
      <c r="N1366" s="171"/>
      <c r="O1366" s="171"/>
      <c r="P1366" s="170"/>
    </row>
    <row r="1367" spans="1:16" x14ac:dyDescent="0.25">
      <c r="A1367" s="168"/>
      <c r="B1367" s="177">
        <v>102318884</v>
      </c>
      <c r="C1367" s="178">
        <v>82864145</v>
      </c>
      <c r="D1367" s="179" t="s">
        <v>5225</v>
      </c>
      <c r="E1367" s="180" t="s">
        <v>3354</v>
      </c>
      <c r="F1367" s="181" t="s">
        <v>379</v>
      </c>
      <c r="G1367" s="170"/>
      <c r="H1367" s="170"/>
      <c r="I1367" s="170"/>
      <c r="J1367" s="171"/>
      <c r="K1367" s="171"/>
      <c r="L1367" s="168" t="s">
        <v>420</v>
      </c>
      <c r="M1367" s="171"/>
      <c r="N1367" s="171"/>
      <c r="O1367" s="171"/>
      <c r="P1367" s="170"/>
    </row>
    <row r="1368" spans="1:16" x14ac:dyDescent="0.25">
      <c r="A1368" s="168"/>
      <c r="B1368" s="177">
        <v>102319028</v>
      </c>
      <c r="C1368" s="178">
        <v>86901041</v>
      </c>
      <c r="D1368" s="179" t="s">
        <v>5378</v>
      </c>
      <c r="E1368" s="180" t="s">
        <v>3622</v>
      </c>
      <c r="F1368" s="181" t="s">
        <v>379</v>
      </c>
      <c r="G1368" s="170"/>
      <c r="H1368" s="170"/>
      <c r="I1368" s="170"/>
      <c r="J1368" s="171"/>
      <c r="K1368" s="171"/>
      <c r="L1368" s="168" t="s">
        <v>424</v>
      </c>
      <c r="M1368" s="171"/>
      <c r="N1368" s="171"/>
      <c r="O1368" s="171"/>
      <c r="P1368" s="170"/>
    </row>
    <row r="1369" spans="1:16" x14ac:dyDescent="0.25">
      <c r="A1369" s="168"/>
      <c r="B1369" s="177">
        <v>102319098</v>
      </c>
      <c r="C1369" s="178">
        <v>79375530</v>
      </c>
      <c r="D1369" s="179" t="s">
        <v>5450</v>
      </c>
      <c r="E1369" s="180" t="s">
        <v>3755</v>
      </c>
      <c r="F1369" s="181" t="s">
        <v>379</v>
      </c>
      <c r="G1369" s="170"/>
      <c r="H1369" s="170"/>
      <c r="I1369" s="170"/>
      <c r="J1369" s="171"/>
      <c r="K1369" s="171"/>
      <c r="L1369" s="168" t="s">
        <v>426</v>
      </c>
      <c r="M1369" s="171"/>
      <c r="N1369" s="171"/>
      <c r="O1369" s="171"/>
      <c r="P1369" s="170"/>
    </row>
    <row r="1370" spans="1:16" x14ac:dyDescent="0.25">
      <c r="A1370" s="168"/>
      <c r="B1370" s="177">
        <v>102318739</v>
      </c>
      <c r="C1370" s="178">
        <v>86535292</v>
      </c>
      <c r="D1370" s="179" t="s">
        <v>5072</v>
      </c>
      <c r="E1370" s="180" t="s">
        <v>3080</v>
      </c>
      <c r="F1370" s="181" t="s">
        <v>381</v>
      </c>
      <c r="G1370" s="170"/>
      <c r="H1370" s="170"/>
      <c r="I1370" s="170"/>
      <c r="J1370" s="171"/>
      <c r="K1370" s="171"/>
      <c r="L1370" s="168" t="s">
        <v>404</v>
      </c>
      <c r="M1370" s="171"/>
      <c r="N1370" s="171"/>
      <c r="O1370" s="171"/>
      <c r="P1370" s="170"/>
    </row>
    <row r="1371" spans="1:16" x14ac:dyDescent="0.25">
      <c r="A1371" s="168"/>
      <c r="B1371" s="177">
        <v>102318775</v>
      </c>
      <c r="C1371" s="178">
        <v>73567964</v>
      </c>
      <c r="D1371" s="179" t="s">
        <v>5109</v>
      </c>
      <c r="E1371" s="180" t="s">
        <v>3150</v>
      </c>
      <c r="F1371" s="181" t="s">
        <v>381</v>
      </c>
      <c r="G1371" s="170"/>
      <c r="H1371" s="170"/>
      <c r="I1371" s="170"/>
      <c r="J1371" s="171"/>
      <c r="K1371" s="171"/>
      <c r="L1371" s="168" t="s">
        <v>416</v>
      </c>
      <c r="M1371" s="171"/>
      <c r="N1371" s="171"/>
      <c r="O1371" s="171"/>
      <c r="P1371" s="170"/>
    </row>
    <row r="1372" spans="1:16" x14ac:dyDescent="0.25">
      <c r="A1372" s="168"/>
      <c r="B1372" s="177">
        <v>102318776</v>
      </c>
      <c r="C1372" s="178">
        <v>83465238</v>
      </c>
      <c r="D1372" s="179" t="s">
        <v>5110</v>
      </c>
      <c r="E1372" s="180" t="s">
        <v>3152</v>
      </c>
      <c r="F1372" s="181" t="s">
        <v>381</v>
      </c>
      <c r="G1372" s="170"/>
      <c r="H1372" s="170"/>
      <c r="I1372" s="170"/>
      <c r="J1372" s="171"/>
      <c r="K1372" s="171"/>
      <c r="L1372" s="168" t="s">
        <v>416</v>
      </c>
      <c r="M1372" s="171"/>
      <c r="N1372" s="171"/>
      <c r="O1372" s="171"/>
      <c r="P1372" s="170"/>
    </row>
    <row r="1373" spans="1:16" x14ac:dyDescent="0.25">
      <c r="A1373" s="168"/>
      <c r="B1373" s="177">
        <v>102318847</v>
      </c>
      <c r="C1373" s="178">
        <v>88392243</v>
      </c>
      <c r="D1373" s="179" t="s">
        <v>5185</v>
      </c>
      <c r="E1373" s="180" t="s">
        <v>3287</v>
      </c>
      <c r="F1373" s="181" t="s">
        <v>381</v>
      </c>
      <c r="G1373" s="170"/>
      <c r="H1373" s="170"/>
      <c r="I1373" s="170"/>
      <c r="J1373" s="171"/>
      <c r="K1373" s="171"/>
      <c r="L1373" s="168" t="s">
        <v>419</v>
      </c>
      <c r="M1373" s="171"/>
      <c r="N1373" s="171"/>
      <c r="O1373" s="171"/>
      <c r="P1373" s="170"/>
    </row>
    <row r="1374" spans="1:16" x14ac:dyDescent="0.25">
      <c r="A1374" s="168"/>
      <c r="B1374" s="177">
        <v>102318957</v>
      </c>
      <c r="C1374" s="178">
        <v>89962293</v>
      </c>
      <c r="D1374" s="179" t="s">
        <v>5304</v>
      </c>
      <c r="E1374" s="180" t="s">
        <v>3489</v>
      </c>
      <c r="F1374" s="181" t="s">
        <v>381</v>
      </c>
      <c r="G1374" s="170"/>
      <c r="H1374" s="170"/>
      <c r="I1374" s="170"/>
      <c r="J1374" s="171"/>
      <c r="K1374" s="171"/>
      <c r="L1374" s="168" t="s">
        <v>422</v>
      </c>
      <c r="M1374" s="171"/>
      <c r="N1374" s="171"/>
      <c r="O1374" s="171"/>
      <c r="P1374" s="170"/>
    </row>
    <row r="1375" spans="1:16" x14ac:dyDescent="0.25">
      <c r="A1375" s="168"/>
      <c r="B1375" s="177">
        <v>102318740</v>
      </c>
      <c r="C1375" s="178">
        <v>73643663</v>
      </c>
      <c r="D1375" s="179" t="s">
        <v>5073</v>
      </c>
      <c r="E1375" s="180" t="s">
        <v>3082</v>
      </c>
      <c r="F1375" s="181" t="s">
        <v>381</v>
      </c>
      <c r="G1375" s="170"/>
      <c r="H1375" s="170"/>
      <c r="I1375" s="170"/>
      <c r="J1375" s="171"/>
      <c r="K1375" s="171"/>
      <c r="L1375" s="168" t="s">
        <v>404</v>
      </c>
      <c r="M1375" s="171"/>
      <c r="N1375" s="171"/>
      <c r="O1375" s="171"/>
      <c r="P1375" s="170"/>
    </row>
    <row r="1376" spans="1:16" x14ac:dyDescent="0.25">
      <c r="A1376" s="168"/>
      <c r="B1376" s="177">
        <v>102318920</v>
      </c>
      <c r="C1376" s="178">
        <v>81652544</v>
      </c>
      <c r="D1376" s="179" t="s">
        <v>5264</v>
      </c>
      <c r="E1376" s="180" t="s">
        <v>3420</v>
      </c>
      <c r="F1376" s="181" t="s">
        <v>381</v>
      </c>
      <c r="G1376" s="170"/>
      <c r="H1376" s="170"/>
      <c r="I1376" s="170"/>
      <c r="J1376" s="171"/>
      <c r="K1376" s="171"/>
      <c r="L1376" s="168" t="s">
        <v>421</v>
      </c>
      <c r="M1376" s="171"/>
      <c r="N1376" s="171"/>
      <c r="O1376" s="171"/>
      <c r="P1376" s="170"/>
    </row>
    <row r="1377" spans="1:16" x14ac:dyDescent="0.25">
      <c r="A1377" s="168"/>
      <c r="B1377" s="177">
        <v>102318777</v>
      </c>
      <c r="C1377" s="178">
        <v>83222975</v>
      </c>
      <c r="D1377" s="179" t="s">
        <v>5111</v>
      </c>
      <c r="E1377" s="180" t="s">
        <v>3154</v>
      </c>
      <c r="F1377" s="181" t="s">
        <v>381</v>
      </c>
      <c r="G1377" s="170"/>
      <c r="H1377" s="170"/>
      <c r="I1377" s="170"/>
      <c r="J1377" s="171"/>
      <c r="K1377" s="171"/>
      <c r="L1377" s="168" t="s">
        <v>416</v>
      </c>
      <c r="M1377" s="171"/>
      <c r="N1377" s="171"/>
      <c r="O1377" s="171"/>
      <c r="P1377" s="170"/>
    </row>
    <row r="1378" spans="1:16" x14ac:dyDescent="0.25">
      <c r="A1378" s="168"/>
      <c r="B1378" s="177">
        <v>102318921</v>
      </c>
      <c r="C1378" s="178">
        <v>76934440</v>
      </c>
      <c r="D1378" s="179" t="s">
        <v>5265</v>
      </c>
      <c r="E1378" s="180" t="s">
        <v>3422</v>
      </c>
      <c r="F1378" s="181" t="s">
        <v>381</v>
      </c>
      <c r="G1378" s="170"/>
      <c r="H1378" s="170"/>
      <c r="I1378" s="170"/>
      <c r="J1378" s="171"/>
      <c r="K1378" s="171"/>
      <c r="L1378" s="168" t="s">
        <v>421</v>
      </c>
      <c r="M1378" s="171"/>
      <c r="N1378" s="171"/>
      <c r="O1378" s="171"/>
      <c r="P1378" s="170"/>
    </row>
    <row r="1379" spans="1:16" x14ac:dyDescent="0.25">
      <c r="A1379" s="168"/>
      <c r="B1379" s="177">
        <v>102318885</v>
      </c>
      <c r="C1379" s="178">
        <v>74312391</v>
      </c>
      <c r="D1379" s="179" t="s">
        <v>5226</v>
      </c>
      <c r="E1379" s="180" t="s">
        <v>3356</v>
      </c>
      <c r="F1379" s="181" t="s">
        <v>379</v>
      </c>
      <c r="G1379" s="170"/>
      <c r="H1379" s="170"/>
      <c r="I1379" s="170"/>
      <c r="J1379" s="171"/>
      <c r="K1379" s="171"/>
      <c r="L1379" s="168" t="s">
        <v>420</v>
      </c>
      <c r="M1379" s="171"/>
      <c r="N1379" s="171"/>
      <c r="O1379" s="171"/>
      <c r="P1379" s="170"/>
    </row>
    <row r="1380" spans="1:16" x14ac:dyDescent="0.25">
      <c r="A1380" s="168"/>
      <c r="B1380" s="177">
        <v>102318778</v>
      </c>
      <c r="C1380" s="178">
        <v>74840659</v>
      </c>
      <c r="D1380" s="179" t="s">
        <v>5112</v>
      </c>
      <c r="E1380" s="180" t="s">
        <v>3156</v>
      </c>
      <c r="F1380" s="181" t="s">
        <v>381</v>
      </c>
      <c r="G1380" s="170"/>
      <c r="H1380" s="170"/>
      <c r="I1380" s="170"/>
      <c r="J1380" s="171"/>
      <c r="K1380" s="171"/>
      <c r="L1380" s="168" t="s">
        <v>416</v>
      </c>
      <c r="M1380" s="171"/>
      <c r="N1380" s="171"/>
      <c r="O1380" s="171"/>
      <c r="P1380" s="170"/>
    </row>
    <row r="1381" spans="1:16" x14ac:dyDescent="0.25">
      <c r="A1381" s="168"/>
      <c r="B1381" s="177">
        <v>102318848</v>
      </c>
      <c r="C1381" s="178">
        <v>84176901</v>
      </c>
      <c r="D1381" s="179" t="s">
        <v>5186</v>
      </c>
      <c r="E1381" s="180" t="s">
        <v>3289</v>
      </c>
      <c r="F1381" s="181" t="s">
        <v>381</v>
      </c>
      <c r="G1381" s="170"/>
      <c r="H1381" s="170"/>
      <c r="I1381" s="170"/>
      <c r="J1381" s="171"/>
      <c r="K1381" s="171"/>
      <c r="L1381" s="168" t="s">
        <v>419</v>
      </c>
      <c r="M1381" s="171"/>
      <c r="N1381" s="171"/>
      <c r="O1381" s="171"/>
      <c r="P1381" s="170"/>
    </row>
    <row r="1382" spans="1:16" x14ac:dyDescent="0.25">
      <c r="A1382" s="168"/>
      <c r="B1382" s="177">
        <v>102318992</v>
      </c>
      <c r="C1382" s="178">
        <v>86406839</v>
      </c>
      <c r="D1382" s="179" t="s">
        <v>5339</v>
      </c>
      <c r="E1382" s="180" t="s">
        <v>3557</v>
      </c>
      <c r="F1382" s="181" t="s">
        <v>381</v>
      </c>
      <c r="G1382" s="170"/>
      <c r="H1382" s="170"/>
      <c r="I1382" s="170"/>
      <c r="J1382" s="171"/>
      <c r="K1382" s="171"/>
      <c r="L1382" s="168" t="s">
        <v>423</v>
      </c>
      <c r="M1382" s="171"/>
      <c r="N1382" s="171"/>
      <c r="O1382" s="171"/>
      <c r="P1382" s="170"/>
    </row>
    <row r="1383" spans="1:16" x14ac:dyDescent="0.25">
      <c r="A1383" s="168"/>
      <c r="B1383" s="177">
        <v>102318849</v>
      </c>
      <c r="C1383" s="178">
        <v>85871329</v>
      </c>
      <c r="D1383" s="179" t="s">
        <v>5187</v>
      </c>
      <c r="E1383" s="180" t="s">
        <v>5188</v>
      </c>
      <c r="F1383" s="181" t="s">
        <v>381</v>
      </c>
      <c r="G1383" s="170"/>
      <c r="H1383" s="170"/>
      <c r="I1383" s="170"/>
      <c r="J1383" s="171"/>
      <c r="K1383" s="171"/>
      <c r="L1383" s="168" t="s">
        <v>419</v>
      </c>
      <c r="M1383" s="171"/>
      <c r="N1383" s="171"/>
      <c r="O1383" s="171"/>
      <c r="P1383" s="170" t="s">
        <v>5487</v>
      </c>
    </row>
    <row r="1384" spans="1:16" x14ac:dyDescent="0.25">
      <c r="A1384" s="168"/>
      <c r="B1384" s="177">
        <v>102318886</v>
      </c>
      <c r="C1384" s="178">
        <v>79546404</v>
      </c>
      <c r="D1384" s="179" t="s">
        <v>5227</v>
      </c>
      <c r="E1384" s="180" t="s">
        <v>3358</v>
      </c>
      <c r="F1384" s="181" t="s">
        <v>381</v>
      </c>
      <c r="G1384" s="170"/>
      <c r="H1384" s="170"/>
      <c r="I1384" s="170"/>
      <c r="J1384" s="171"/>
      <c r="K1384" s="171"/>
      <c r="L1384" s="168" t="s">
        <v>420</v>
      </c>
      <c r="M1384" s="171"/>
      <c r="N1384" s="171"/>
      <c r="O1384" s="171"/>
      <c r="P1384" s="170"/>
    </row>
    <row r="1385" spans="1:16" x14ac:dyDescent="0.25">
      <c r="A1385" s="168"/>
      <c r="B1385" s="177">
        <v>102318741</v>
      </c>
      <c r="C1385" s="178">
        <v>89316539</v>
      </c>
      <c r="D1385" s="179" t="s">
        <v>5074</v>
      </c>
      <c r="E1385" s="180" t="s">
        <v>3084</v>
      </c>
      <c r="F1385" s="181" t="s">
        <v>381</v>
      </c>
      <c r="G1385" s="170"/>
      <c r="H1385" s="170"/>
      <c r="I1385" s="170"/>
      <c r="J1385" s="171"/>
      <c r="K1385" s="171"/>
      <c r="L1385" s="168" t="s">
        <v>404</v>
      </c>
      <c r="M1385" s="171"/>
      <c r="N1385" s="171"/>
      <c r="O1385" s="171"/>
      <c r="P1385" s="170"/>
    </row>
    <row r="1386" spans="1:16" x14ac:dyDescent="0.25">
      <c r="A1386" s="168"/>
      <c r="B1386" s="177">
        <v>102318922</v>
      </c>
      <c r="C1386" s="178">
        <v>72400972</v>
      </c>
      <c r="D1386" s="179" t="s">
        <v>5266</v>
      </c>
      <c r="E1386" s="180" t="s">
        <v>3424</v>
      </c>
      <c r="F1386" s="181" t="s">
        <v>381</v>
      </c>
      <c r="G1386" s="170"/>
      <c r="H1386" s="170"/>
      <c r="I1386" s="170"/>
      <c r="J1386" s="171"/>
      <c r="K1386" s="171"/>
      <c r="L1386" s="168" t="s">
        <v>421</v>
      </c>
      <c r="M1386" s="171"/>
      <c r="N1386" s="171"/>
      <c r="O1386" s="171"/>
      <c r="P1386" s="170"/>
    </row>
    <row r="1387" spans="1:16" x14ac:dyDescent="0.25">
      <c r="A1387" s="168"/>
      <c r="B1387" s="177">
        <v>102318887</v>
      </c>
      <c r="C1387" s="178">
        <v>85367383</v>
      </c>
      <c r="D1387" s="179" t="s">
        <v>5228</v>
      </c>
      <c r="E1387" s="180" t="s">
        <v>5229</v>
      </c>
      <c r="F1387" s="181" t="s">
        <v>381</v>
      </c>
      <c r="G1387" s="170"/>
      <c r="H1387" s="170"/>
      <c r="I1387" s="170"/>
      <c r="J1387" s="171"/>
      <c r="K1387" s="171"/>
      <c r="L1387" s="168" t="s">
        <v>420</v>
      </c>
      <c r="M1387" s="171"/>
      <c r="N1387" s="171"/>
      <c r="O1387" s="171"/>
      <c r="P1387" s="170"/>
    </row>
    <row r="1388" spans="1:16" x14ac:dyDescent="0.25">
      <c r="A1388" s="168"/>
      <c r="B1388" s="177">
        <v>102318850</v>
      </c>
      <c r="C1388" s="178">
        <v>83884481</v>
      </c>
      <c r="D1388" s="179" t="s">
        <v>5189</v>
      </c>
      <c r="E1388" s="180" t="s">
        <v>3291</v>
      </c>
      <c r="F1388" s="181" t="s">
        <v>381</v>
      </c>
      <c r="G1388" s="170"/>
      <c r="H1388" s="170"/>
      <c r="I1388" s="170"/>
      <c r="J1388" s="171"/>
      <c r="K1388" s="171"/>
      <c r="L1388" s="168" t="s">
        <v>419</v>
      </c>
      <c r="M1388" s="171"/>
      <c r="N1388" s="171"/>
      <c r="O1388" s="171"/>
      <c r="P1388" s="170"/>
    </row>
    <row r="1389" spans="1:16" x14ac:dyDescent="0.25">
      <c r="A1389" s="168"/>
      <c r="B1389" s="177">
        <v>102318851</v>
      </c>
      <c r="C1389" s="178">
        <v>81886790</v>
      </c>
      <c r="D1389" s="179" t="s">
        <v>5190</v>
      </c>
      <c r="E1389" s="180" t="s">
        <v>3293</v>
      </c>
      <c r="F1389" s="181" t="s">
        <v>379</v>
      </c>
      <c r="G1389" s="170"/>
      <c r="H1389" s="170"/>
      <c r="I1389" s="170"/>
      <c r="J1389" s="171"/>
      <c r="K1389" s="171"/>
      <c r="L1389" s="168" t="s">
        <v>419</v>
      </c>
      <c r="M1389" s="171"/>
      <c r="N1389" s="171"/>
      <c r="O1389" s="171"/>
      <c r="P1389" s="170"/>
    </row>
    <row r="1390" spans="1:16" x14ac:dyDescent="0.25">
      <c r="A1390" s="168"/>
      <c r="B1390" s="177">
        <v>102318810</v>
      </c>
      <c r="C1390" s="178">
        <v>77280204</v>
      </c>
      <c r="D1390" s="179" t="s">
        <v>5146</v>
      </c>
      <c r="E1390" s="180" t="s">
        <v>3216</v>
      </c>
      <c r="F1390" s="181" t="s">
        <v>379</v>
      </c>
      <c r="G1390" s="170"/>
      <c r="H1390" s="170"/>
      <c r="I1390" s="170"/>
      <c r="J1390" s="171"/>
      <c r="K1390" s="171"/>
      <c r="L1390" s="168" t="s">
        <v>417</v>
      </c>
      <c r="M1390" s="171"/>
      <c r="N1390" s="171"/>
      <c r="O1390" s="171"/>
      <c r="P1390" s="170"/>
    </row>
    <row r="1391" spans="1:16" x14ac:dyDescent="0.25">
      <c r="A1391" s="168"/>
      <c r="B1391" s="177">
        <v>102318958</v>
      </c>
      <c r="C1391" s="178">
        <v>84508035</v>
      </c>
      <c r="D1391" s="179" t="s">
        <v>5305</v>
      </c>
      <c r="E1391" s="180" t="s">
        <v>3491</v>
      </c>
      <c r="F1391" s="181" t="s">
        <v>381</v>
      </c>
      <c r="G1391" s="170"/>
      <c r="H1391" s="170"/>
      <c r="I1391" s="170"/>
      <c r="J1391" s="171"/>
      <c r="K1391" s="171"/>
      <c r="L1391" s="168" t="s">
        <v>422</v>
      </c>
      <c r="M1391" s="171"/>
      <c r="N1391" s="171"/>
      <c r="O1391" s="171"/>
      <c r="P1391" s="170"/>
    </row>
    <row r="1392" spans="1:16" x14ac:dyDescent="0.25">
      <c r="A1392" s="168"/>
      <c r="B1392" s="177">
        <v>102318811</v>
      </c>
      <c r="C1392" s="178">
        <v>86626524</v>
      </c>
      <c r="D1392" s="179" t="s">
        <v>5147</v>
      </c>
      <c r="E1392" s="180" t="s">
        <v>3218</v>
      </c>
      <c r="F1392" s="181" t="s">
        <v>379</v>
      </c>
      <c r="G1392" s="170"/>
      <c r="H1392" s="170"/>
      <c r="I1392" s="170"/>
      <c r="J1392" s="171"/>
      <c r="K1392" s="171"/>
      <c r="L1392" s="168" t="s">
        <v>417</v>
      </c>
      <c r="M1392" s="171"/>
      <c r="N1392" s="171"/>
      <c r="O1392" s="171"/>
      <c r="P1392" s="170"/>
    </row>
    <row r="1393" spans="1:16" x14ac:dyDescent="0.25">
      <c r="A1393" s="168"/>
      <c r="B1393" s="177">
        <v>102318779</v>
      </c>
      <c r="C1393" s="178">
        <v>76654942</v>
      </c>
      <c r="D1393" s="179" t="s">
        <v>5113</v>
      </c>
      <c r="E1393" s="180" t="s">
        <v>3158</v>
      </c>
      <c r="F1393" s="181" t="s">
        <v>381</v>
      </c>
      <c r="G1393" s="170"/>
      <c r="H1393" s="170"/>
      <c r="I1393" s="170"/>
      <c r="J1393" s="171"/>
      <c r="K1393" s="171"/>
      <c r="L1393" s="168" t="s">
        <v>416</v>
      </c>
      <c r="M1393" s="171"/>
      <c r="N1393" s="171"/>
      <c r="O1393" s="171"/>
      <c r="P1393" s="170"/>
    </row>
    <row r="1394" spans="1:16" x14ac:dyDescent="0.25">
      <c r="A1394" s="168"/>
      <c r="B1394" s="177">
        <v>102319099</v>
      </c>
      <c r="C1394" s="178">
        <v>89667071</v>
      </c>
      <c r="D1394" s="179" t="s">
        <v>5451</v>
      </c>
      <c r="E1394" s="180" t="s">
        <v>3757</v>
      </c>
      <c r="F1394" s="181" t="s">
        <v>379</v>
      </c>
      <c r="G1394" s="170"/>
      <c r="H1394" s="170"/>
      <c r="I1394" s="170"/>
      <c r="J1394" s="171"/>
      <c r="K1394" s="171"/>
      <c r="L1394" s="168" t="s">
        <v>426</v>
      </c>
      <c r="M1394" s="171"/>
      <c r="N1394" s="171"/>
      <c r="O1394" s="171"/>
      <c r="P1394" s="170"/>
    </row>
    <row r="1395" spans="1:16" x14ac:dyDescent="0.25">
      <c r="A1395" s="168"/>
      <c r="B1395" s="177">
        <v>102318812</v>
      </c>
      <c r="C1395" s="178">
        <v>84951585</v>
      </c>
      <c r="D1395" s="179" t="s">
        <v>5148</v>
      </c>
      <c r="E1395" s="180" t="s">
        <v>3220</v>
      </c>
      <c r="F1395" s="181" t="s">
        <v>381</v>
      </c>
      <c r="G1395" s="170"/>
      <c r="H1395" s="170"/>
      <c r="I1395" s="170"/>
      <c r="J1395" s="171"/>
      <c r="K1395" s="171"/>
      <c r="L1395" s="168" t="s">
        <v>417</v>
      </c>
      <c r="M1395" s="171"/>
      <c r="N1395" s="171"/>
      <c r="O1395" s="171"/>
      <c r="P1395" s="170"/>
    </row>
    <row r="1396" spans="1:16" x14ac:dyDescent="0.25">
      <c r="A1396" s="168"/>
      <c r="B1396" s="177">
        <v>102318923</v>
      </c>
      <c r="C1396" s="178">
        <v>75917366</v>
      </c>
      <c r="D1396" s="179" t="s">
        <v>5267</v>
      </c>
      <c r="E1396" s="180" t="s">
        <v>3426</v>
      </c>
      <c r="F1396" s="181" t="s">
        <v>381</v>
      </c>
      <c r="G1396" s="170"/>
      <c r="H1396" s="170"/>
      <c r="I1396" s="170"/>
      <c r="J1396" s="171"/>
      <c r="K1396" s="171"/>
      <c r="L1396" s="168" t="s">
        <v>421</v>
      </c>
      <c r="M1396" s="171"/>
      <c r="N1396" s="171"/>
      <c r="O1396" s="171"/>
      <c r="P1396" s="170"/>
    </row>
    <row r="1397" spans="1:16" x14ac:dyDescent="0.25">
      <c r="A1397" s="168"/>
      <c r="B1397" s="177">
        <v>102318813</v>
      </c>
      <c r="C1397" s="178">
        <v>82555479</v>
      </c>
      <c r="D1397" s="179" t="s">
        <v>5149</v>
      </c>
      <c r="E1397" s="180" t="s">
        <v>3222</v>
      </c>
      <c r="F1397" s="181" t="s">
        <v>379</v>
      </c>
      <c r="G1397" s="170"/>
      <c r="H1397" s="170"/>
      <c r="I1397" s="170"/>
      <c r="J1397" s="171"/>
      <c r="K1397" s="171"/>
      <c r="L1397" s="168" t="s">
        <v>417</v>
      </c>
      <c r="M1397" s="171"/>
      <c r="N1397" s="171"/>
      <c r="O1397" s="171"/>
      <c r="P1397" s="170"/>
    </row>
    <row r="1398" spans="1:16" x14ac:dyDescent="0.25">
      <c r="A1398" s="168"/>
      <c r="B1398" s="177">
        <v>102318852</v>
      </c>
      <c r="C1398" s="178">
        <v>74590001</v>
      </c>
      <c r="D1398" s="179" t="s">
        <v>5191</v>
      </c>
      <c r="E1398" s="180" t="s">
        <v>3295</v>
      </c>
      <c r="F1398" s="181" t="s">
        <v>379</v>
      </c>
      <c r="G1398" s="170"/>
      <c r="H1398" s="170"/>
      <c r="I1398" s="170"/>
      <c r="J1398" s="171"/>
      <c r="K1398" s="171"/>
      <c r="L1398" s="168" t="s">
        <v>419</v>
      </c>
      <c r="M1398" s="171"/>
      <c r="N1398" s="171"/>
      <c r="O1398" s="171"/>
      <c r="P1398" s="170"/>
    </row>
    <row r="1399" spans="1:16" x14ac:dyDescent="0.25">
      <c r="A1399" s="168"/>
      <c r="B1399" s="177">
        <v>102318959</v>
      </c>
      <c r="C1399" s="178">
        <v>76539726</v>
      </c>
      <c r="D1399" s="179" t="s">
        <v>5306</v>
      </c>
      <c r="E1399" s="180" t="s">
        <v>3493</v>
      </c>
      <c r="F1399" s="181" t="s">
        <v>379</v>
      </c>
      <c r="G1399" s="170"/>
      <c r="H1399" s="170"/>
      <c r="I1399" s="170"/>
      <c r="J1399" s="171"/>
      <c r="K1399" s="171"/>
      <c r="L1399" s="168" t="s">
        <v>422</v>
      </c>
      <c r="M1399" s="171"/>
      <c r="N1399" s="171"/>
      <c r="O1399" s="171"/>
      <c r="P1399" s="170"/>
    </row>
    <row r="1400" spans="1:16" x14ac:dyDescent="0.25">
      <c r="A1400" s="168"/>
      <c r="B1400" s="177">
        <v>102319029</v>
      </c>
      <c r="C1400" s="178">
        <v>87063569</v>
      </c>
      <c r="D1400" s="179" t="s">
        <v>5379</v>
      </c>
      <c r="E1400" s="180" t="s">
        <v>3624</v>
      </c>
      <c r="F1400" s="181" t="s">
        <v>379</v>
      </c>
      <c r="G1400" s="170"/>
      <c r="H1400" s="170"/>
      <c r="I1400" s="170"/>
      <c r="J1400" s="171"/>
      <c r="K1400" s="171"/>
      <c r="L1400" s="168" t="s">
        <v>424</v>
      </c>
      <c r="M1400" s="171"/>
      <c r="N1400" s="171"/>
      <c r="O1400" s="171"/>
      <c r="P1400" s="170"/>
    </row>
    <row r="1401" spans="1:16" x14ac:dyDescent="0.25">
      <c r="A1401" s="168"/>
      <c r="B1401" s="177">
        <v>102318853</v>
      </c>
      <c r="C1401" s="178">
        <v>82766801</v>
      </c>
      <c r="D1401" s="179" t="s">
        <v>5192</v>
      </c>
      <c r="E1401" s="180" t="s">
        <v>3297</v>
      </c>
      <c r="F1401" s="181" t="s">
        <v>381</v>
      </c>
      <c r="G1401" s="170"/>
      <c r="H1401" s="170"/>
      <c r="I1401" s="170"/>
      <c r="J1401" s="171"/>
      <c r="K1401" s="171"/>
      <c r="L1401" s="168" t="s">
        <v>419</v>
      </c>
      <c r="M1401" s="171"/>
      <c r="N1401" s="171"/>
      <c r="O1401" s="171"/>
      <c r="P1401" s="170"/>
    </row>
    <row r="1402" spans="1:16" x14ac:dyDescent="0.25">
      <c r="A1402" s="168"/>
      <c r="B1402" s="177">
        <v>102319030</v>
      </c>
      <c r="C1402" s="178">
        <v>88635986</v>
      </c>
      <c r="D1402" s="179" t="s">
        <v>5380</v>
      </c>
      <c r="E1402" s="180" t="s">
        <v>3626</v>
      </c>
      <c r="F1402" s="181" t="s">
        <v>381</v>
      </c>
      <c r="G1402" s="170"/>
      <c r="H1402" s="170"/>
      <c r="I1402" s="170"/>
      <c r="J1402" s="171"/>
      <c r="K1402" s="171"/>
      <c r="L1402" s="168" t="s">
        <v>424</v>
      </c>
      <c r="M1402" s="171"/>
      <c r="N1402" s="171"/>
      <c r="O1402" s="171"/>
      <c r="P1402" s="170"/>
    </row>
    <row r="1403" spans="1:16" x14ac:dyDescent="0.25">
      <c r="A1403" s="168"/>
      <c r="B1403" s="177">
        <v>102318960</v>
      </c>
      <c r="C1403" s="178">
        <v>88542837</v>
      </c>
      <c r="D1403" s="179" t="s">
        <v>5307</v>
      </c>
      <c r="E1403" s="180" t="s">
        <v>3495</v>
      </c>
      <c r="F1403" s="181" t="s">
        <v>379</v>
      </c>
      <c r="G1403" s="170"/>
      <c r="H1403" s="170"/>
      <c r="I1403" s="170"/>
      <c r="J1403" s="171"/>
      <c r="K1403" s="171"/>
      <c r="L1403" s="168" t="s">
        <v>422</v>
      </c>
      <c r="M1403" s="171"/>
      <c r="N1403" s="171"/>
      <c r="O1403" s="171"/>
      <c r="P1403" s="170"/>
    </row>
    <row r="1404" spans="1:16" x14ac:dyDescent="0.25">
      <c r="A1404" s="168"/>
      <c r="B1404" s="177">
        <v>102318888</v>
      </c>
      <c r="C1404" s="178">
        <v>75599276</v>
      </c>
      <c r="D1404" s="179" t="s">
        <v>5230</v>
      </c>
      <c r="E1404" s="180" t="s">
        <v>3362</v>
      </c>
      <c r="F1404" s="181" t="s">
        <v>381</v>
      </c>
      <c r="G1404" s="170"/>
      <c r="H1404" s="170"/>
      <c r="I1404" s="170"/>
      <c r="J1404" s="171"/>
      <c r="K1404" s="171"/>
      <c r="L1404" s="168" t="s">
        <v>420</v>
      </c>
      <c r="M1404" s="171"/>
      <c r="N1404" s="171"/>
      <c r="O1404" s="171"/>
      <c r="P1404" s="170"/>
    </row>
    <row r="1405" spans="1:16" x14ac:dyDescent="0.25">
      <c r="A1405" s="168"/>
      <c r="B1405" s="177">
        <v>102318924</v>
      </c>
      <c r="C1405" s="178">
        <v>88272844</v>
      </c>
      <c r="D1405" s="179" t="s">
        <v>5268</v>
      </c>
      <c r="E1405" s="180" t="s">
        <v>3428</v>
      </c>
      <c r="F1405" s="181" t="s">
        <v>381</v>
      </c>
      <c r="G1405" s="170"/>
      <c r="H1405" s="170"/>
      <c r="I1405" s="170"/>
      <c r="J1405" s="171"/>
      <c r="K1405" s="171"/>
      <c r="L1405" s="168" t="s">
        <v>421</v>
      </c>
      <c r="M1405" s="171"/>
      <c r="N1405" s="171"/>
      <c r="O1405" s="171"/>
      <c r="P1405" s="170"/>
    </row>
    <row r="1406" spans="1:16" x14ac:dyDescent="0.25">
      <c r="A1406" s="168"/>
      <c r="B1406" s="177">
        <v>102319064</v>
      </c>
      <c r="C1406" s="178">
        <v>77341046</v>
      </c>
      <c r="D1406" s="179" t="s">
        <v>5415</v>
      </c>
      <c r="E1406" s="180" t="s">
        <v>3690</v>
      </c>
      <c r="F1406" s="181" t="s">
        <v>379</v>
      </c>
      <c r="G1406" s="170"/>
      <c r="H1406" s="170"/>
      <c r="I1406" s="170"/>
      <c r="J1406" s="171"/>
      <c r="K1406" s="171"/>
      <c r="L1406" s="168" t="s">
        <v>425</v>
      </c>
      <c r="M1406" s="171"/>
      <c r="N1406" s="171"/>
      <c r="O1406" s="171"/>
      <c r="P1406" s="170"/>
    </row>
    <row r="1407" spans="1:16" x14ac:dyDescent="0.25">
      <c r="A1407" s="168"/>
      <c r="B1407" s="177">
        <v>102318780</v>
      </c>
      <c r="C1407" s="178">
        <v>73463134</v>
      </c>
      <c r="D1407" s="179" t="s">
        <v>5114</v>
      </c>
      <c r="E1407" s="180" t="s">
        <v>3160</v>
      </c>
      <c r="F1407" s="181" t="s">
        <v>379</v>
      </c>
      <c r="G1407" s="170"/>
      <c r="H1407" s="170"/>
      <c r="I1407" s="170"/>
      <c r="J1407" s="171"/>
      <c r="K1407" s="171"/>
      <c r="L1407" s="168" t="s">
        <v>416</v>
      </c>
      <c r="M1407" s="171"/>
      <c r="N1407" s="171"/>
      <c r="O1407" s="171"/>
      <c r="P1407" s="170"/>
    </row>
    <row r="1408" spans="1:16" x14ac:dyDescent="0.25">
      <c r="A1408" s="168"/>
      <c r="B1408" s="177">
        <v>102318925</v>
      </c>
      <c r="C1408" s="178">
        <v>71500862</v>
      </c>
      <c r="D1408" s="179" t="s">
        <v>5269</v>
      </c>
      <c r="E1408" s="180" t="s">
        <v>3430</v>
      </c>
      <c r="F1408" s="181" t="s">
        <v>381</v>
      </c>
      <c r="G1408" s="170"/>
      <c r="H1408" s="170"/>
      <c r="I1408" s="170"/>
      <c r="J1408" s="171"/>
      <c r="K1408" s="171"/>
      <c r="L1408" s="168" t="s">
        <v>421</v>
      </c>
      <c r="M1408" s="171"/>
      <c r="N1408" s="171"/>
      <c r="O1408" s="171"/>
      <c r="P1408" s="170"/>
    </row>
    <row r="1409" spans="1:16" x14ac:dyDescent="0.25">
      <c r="A1409" s="168"/>
      <c r="B1409" s="177">
        <v>102318889</v>
      </c>
      <c r="C1409" s="178">
        <v>83763873</v>
      </c>
      <c r="D1409" s="179" t="s">
        <v>5231</v>
      </c>
      <c r="E1409" s="180" t="s">
        <v>3364</v>
      </c>
      <c r="F1409" s="181" t="s">
        <v>381</v>
      </c>
      <c r="G1409" s="170"/>
      <c r="H1409" s="170"/>
      <c r="I1409" s="170"/>
      <c r="J1409" s="171"/>
      <c r="K1409" s="171"/>
      <c r="L1409" s="168" t="s">
        <v>420</v>
      </c>
      <c r="M1409" s="171"/>
      <c r="N1409" s="171"/>
      <c r="O1409" s="171"/>
      <c r="P1409" s="170"/>
    </row>
    <row r="1410" spans="1:16" x14ac:dyDescent="0.25">
      <c r="A1410" s="168"/>
      <c r="B1410" s="177">
        <v>102318926</v>
      </c>
      <c r="C1410" s="178">
        <v>75505029</v>
      </c>
      <c r="D1410" s="179" t="s">
        <v>5270</v>
      </c>
      <c r="E1410" s="180" t="s">
        <v>3432</v>
      </c>
      <c r="F1410" s="181" t="s">
        <v>381</v>
      </c>
      <c r="G1410" s="170"/>
      <c r="H1410" s="170"/>
      <c r="I1410" s="170"/>
      <c r="J1410" s="171"/>
      <c r="K1410" s="171"/>
      <c r="L1410" s="168" t="s">
        <v>421</v>
      </c>
      <c r="M1410" s="171"/>
      <c r="N1410" s="171"/>
      <c r="O1410" s="171"/>
      <c r="P1410" s="170"/>
    </row>
    <row r="1411" spans="1:16" x14ac:dyDescent="0.25">
      <c r="A1411" s="168"/>
      <c r="B1411" s="177">
        <v>102318854</v>
      </c>
      <c r="C1411" s="178">
        <v>74964649</v>
      </c>
      <c r="D1411" s="179" t="s">
        <v>5193</v>
      </c>
      <c r="E1411" s="180" t="s">
        <v>3299</v>
      </c>
      <c r="F1411" s="181" t="s">
        <v>381</v>
      </c>
      <c r="G1411" s="170"/>
      <c r="H1411" s="170"/>
      <c r="I1411" s="170"/>
      <c r="J1411" s="171"/>
      <c r="K1411" s="171"/>
      <c r="L1411" s="168" t="s">
        <v>419</v>
      </c>
      <c r="M1411" s="171"/>
      <c r="N1411" s="171"/>
      <c r="O1411" s="171"/>
      <c r="P1411" s="170"/>
    </row>
    <row r="1412" spans="1:16" x14ac:dyDescent="0.25">
      <c r="A1412" s="168"/>
      <c r="B1412" s="177">
        <v>102318742</v>
      </c>
      <c r="C1412" s="178">
        <v>75977264</v>
      </c>
      <c r="D1412" s="179" t="s">
        <v>5075</v>
      </c>
      <c r="E1412" s="180" t="s">
        <v>3086</v>
      </c>
      <c r="F1412" s="181" t="s">
        <v>381</v>
      </c>
      <c r="G1412" s="170"/>
      <c r="H1412" s="170"/>
      <c r="I1412" s="170"/>
      <c r="J1412" s="171"/>
      <c r="K1412" s="171"/>
      <c r="L1412" s="168" t="s">
        <v>404</v>
      </c>
      <c r="M1412" s="171"/>
      <c r="N1412" s="171"/>
      <c r="O1412" s="171"/>
      <c r="P1412" s="170"/>
    </row>
    <row r="1413" spans="1:16" x14ac:dyDescent="0.25">
      <c r="A1413" s="168"/>
      <c r="B1413" s="177">
        <v>102318781</v>
      </c>
      <c r="C1413" s="178">
        <v>81408458</v>
      </c>
      <c r="D1413" s="179" t="s">
        <v>5115</v>
      </c>
      <c r="E1413" s="180" t="s">
        <v>3162</v>
      </c>
      <c r="F1413" s="181" t="s">
        <v>381</v>
      </c>
      <c r="G1413" s="170"/>
      <c r="H1413" s="170"/>
      <c r="I1413" s="170"/>
      <c r="J1413" s="171"/>
      <c r="K1413" s="171"/>
      <c r="L1413" s="168" t="s">
        <v>416</v>
      </c>
      <c r="M1413" s="171"/>
      <c r="N1413" s="171"/>
      <c r="O1413" s="171"/>
      <c r="P1413" s="170"/>
    </row>
    <row r="1414" spans="1:16" x14ac:dyDescent="0.25">
      <c r="A1414" s="168"/>
      <c r="B1414" s="177">
        <v>102318782</v>
      </c>
      <c r="C1414" s="178">
        <v>87221131</v>
      </c>
      <c r="D1414" s="179" t="s">
        <v>5116</v>
      </c>
      <c r="E1414" s="180" t="s">
        <v>3164</v>
      </c>
      <c r="F1414" s="181" t="s">
        <v>381</v>
      </c>
      <c r="G1414" s="170"/>
      <c r="H1414" s="170"/>
      <c r="I1414" s="170"/>
      <c r="J1414" s="171"/>
      <c r="K1414" s="171"/>
      <c r="L1414" s="168" t="s">
        <v>416</v>
      </c>
      <c r="M1414" s="171"/>
      <c r="N1414" s="171"/>
      <c r="O1414" s="171"/>
      <c r="P1414" s="170"/>
    </row>
    <row r="1415" spans="1:16" x14ac:dyDescent="0.25">
      <c r="A1415" s="168"/>
      <c r="B1415" s="177">
        <v>102319065</v>
      </c>
      <c r="C1415" s="178">
        <v>82401764</v>
      </c>
      <c r="D1415" s="179" t="s">
        <v>5416</v>
      </c>
      <c r="E1415" s="180" t="s">
        <v>3692</v>
      </c>
      <c r="F1415" s="181" t="s">
        <v>381</v>
      </c>
      <c r="G1415" s="170"/>
      <c r="H1415" s="170"/>
      <c r="I1415" s="170"/>
      <c r="J1415" s="171"/>
      <c r="K1415" s="171"/>
      <c r="L1415" s="168" t="s">
        <v>425</v>
      </c>
      <c r="M1415" s="171"/>
      <c r="N1415" s="171"/>
      <c r="O1415" s="171"/>
      <c r="P1415" s="170"/>
    </row>
    <row r="1416" spans="1:16" x14ac:dyDescent="0.25">
      <c r="A1416" s="168"/>
      <c r="B1416" s="177">
        <v>102319031</v>
      </c>
      <c r="C1416" s="178">
        <v>72015379</v>
      </c>
      <c r="D1416" s="179" t="s">
        <v>5381</v>
      </c>
      <c r="E1416" s="180" t="s">
        <v>3628</v>
      </c>
      <c r="F1416" s="181" t="s">
        <v>379</v>
      </c>
      <c r="G1416" s="170"/>
      <c r="H1416" s="170"/>
      <c r="I1416" s="170"/>
      <c r="J1416" s="171"/>
      <c r="K1416" s="171"/>
      <c r="L1416" s="168" t="s">
        <v>424</v>
      </c>
      <c r="M1416" s="171"/>
      <c r="N1416" s="171"/>
      <c r="O1416" s="171"/>
      <c r="P1416" s="170"/>
    </row>
    <row r="1417" spans="1:16" x14ac:dyDescent="0.25">
      <c r="A1417" s="168"/>
      <c r="B1417" s="177">
        <v>102318993</v>
      </c>
      <c r="C1417" s="178">
        <v>76496453</v>
      </c>
      <c r="D1417" s="179" t="s">
        <v>5340</v>
      </c>
      <c r="E1417" s="180" t="s">
        <v>3559</v>
      </c>
      <c r="F1417" s="181" t="s">
        <v>379</v>
      </c>
      <c r="G1417" s="170"/>
      <c r="H1417" s="170"/>
      <c r="I1417" s="170"/>
      <c r="J1417" s="171"/>
      <c r="K1417" s="171"/>
      <c r="L1417" s="168" t="s">
        <v>423</v>
      </c>
      <c r="M1417" s="171"/>
      <c r="N1417" s="171"/>
      <c r="O1417" s="171"/>
      <c r="P1417" s="170"/>
    </row>
    <row r="1418" spans="1:16" x14ac:dyDescent="0.25">
      <c r="A1418" s="168"/>
      <c r="B1418" s="177">
        <v>102319066</v>
      </c>
      <c r="C1418" s="178">
        <v>84363714</v>
      </c>
      <c r="D1418" s="179" t="s">
        <v>5417</v>
      </c>
      <c r="E1418" s="180" t="s">
        <v>3694</v>
      </c>
      <c r="F1418" s="181" t="s">
        <v>379</v>
      </c>
      <c r="G1418" s="170"/>
      <c r="H1418" s="170"/>
      <c r="I1418" s="170"/>
      <c r="J1418" s="171"/>
      <c r="K1418" s="171"/>
      <c r="L1418" s="168" t="s">
        <v>425</v>
      </c>
      <c r="M1418" s="171"/>
      <c r="N1418" s="171"/>
      <c r="O1418" s="171"/>
      <c r="P1418" s="170"/>
    </row>
    <row r="1419" spans="1:16" x14ac:dyDescent="0.25">
      <c r="A1419" s="168"/>
      <c r="B1419" s="177">
        <v>102319100</v>
      </c>
      <c r="C1419" s="178">
        <v>88713038</v>
      </c>
      <c r="D1419" s="179" t="s">
        <v>5452</v>
      </c>
      <c r="E1419" s="180" t="s">
        <v>3759</v>
      </c>
      <c r="F1419" s="181" t="s">
        <v>379</v>
      </c>
      <c r="G1419" s="170"/>
      <c r="H1419" s="170"/>
      <c r="I1419" s="170"/>
      <c r="J1419" s="171"/>
      <c r="K1419" s="171"/>
      <c r="L1419" s="168" t="s">
        <v>426</v>
      </c>
      <c r="M1419" s="171"/>
      <c r="N1419" s="171"/>
      <c r="O1419" s="171"/>
      <c r="P1419" s="170"/>
    </row>
    <row r="1420" spans="1:16" x14ac:dyDescent="0.25">
      <c r="A1420" s="168"/>
      <c r="B1420" s="177">
        <v>102319032</v>
      </c>
      <c r="C1420" s="178">
        <v>77739364</v>
      </c>
      <c r="D1420" s="179" t="s">
        <v>5382</v>
      </c>
      <c r="E1420" s="180" t="s">
        <v>3630</v>
      </c>
      <c r="F1420" s="181" t="s">
        <v>379</v>
      </c>
      <c r="G1420" s="170"/>
      <c r="H1420" s="170"/>
      <c r="I1420" s="170"/>
      <c r="J1420" s="171"/>
      <c r="K1420" s="171"/>
      <c r="L1420" s="168" t="s">
        <v>424</v>
      </c>
      <c r="M1420" s="171"/>
      <c r="N1420" s="171"/>
      <c r="O1420" s="171"/>
      <c r="P1420" s="170"/>
    </row>
    <row r="1421" spans="1:16" x14ac:dyDescent="0.25">
      <c r="A1421" s="168"/>
      <c r="B1421" s="177">
        <v>102318927</v>
      </c>
      <c r="C1421" s="178">
        <v>76801224</v>
      </c>
      <c r="D1421" s="179" t="s">
        <v>5271</v>
      </c>
      <c r="E1421" s="180" t="s">
        <v>3434</v>
      </c>
      <c r="F1421" s="181" t="s">
        <v>381</v>
      </c>
      <c r="G1421" s="170"/>
      <c r="H1421" s="170"/>
      <c r="I1421" s="170"/>
      <c r="J1421" s="171"/>
      <c r="K1421" s="171"/>
      <c r="L1421" s="168" t="s">
        <v>421</v>
      </c>
      <c r="M1421" s="171"/>
      <c r="N1421" s="171"/>
      <c r="O1421" s="171"/>
      <c r="P1421" s="170"/>
    </row>
    <row r="1422" spans="1:16" x14ac:dyDescent="0.25">
      <c r="A1422" s="168"/>
      <c r="B1422" s="177">
        <v>102318890</v>
      </c>
      <c r="C1422" s="178">
        <v>88270112</v>
      </c>
      <c r="D1422" s="179" t="s">
        <v>5232</v>
      </c>
      <c r="E1422" s="180" t="s">
        <v>3366</v>
      </c>
      <c r="F1422" s="181" t="s">
        <v>381</v>
      </c>
      <c r="G1422" s="170"/>
      <c r="H1422" s="170"/>
      <c r="I1422" s="170"/>
      <c r="J1422" s="171"/>
      <c r="K1422" s="171"/>
      <c r="L1422" s="168" t="s">
        <v>420</v>
      </c>
      <c r="M1422" s="171"/>
      <c r="N1422" s="171"/>
      <c r="O1422" s="171"/>
      <c r="P1422" s="170"/>
    </row>
    <row r="1423" spans="1:16" x14ac:dyDescent="0.25">
      <c r="A1423" s="168"/>
      <c r="B1423" s="177">
        <v>102318783</v>
      </c>
      <c r="C1423" s="178">
        <v>85798636</v>
      </c>
      <c r="D1423" s="179" t="s">
        <v>5117</v>
      </c>
      <c r="E1423" s="180" t="s">
        <v>3166</v>
      </c>
      <c r="F1423" s="181" t="s">
        <v>381</v>
      </c>
      <c r="G1423" s="170"/>
      <c r="H1423" s="170"/>
      <c r="I1423" s="170"/>
      <c r="J1423" s="171"/>
      <c r="K1423" s="171"/>
      <c r="L1423" s="168" t="s">
        <v>416</v>
      </c>
      <c r="M1423" s="171"/>
      <c r="N1423" s="171"/>
      <c r="O1423" s="171"/>
      <c r="P1423" s="170"/>
    </row>
    <row r="1424" spans="1:16" x14ac:dyDescent="0.25">
      <c r="A1424" s="168"/>
      <c r="B1424" s="177">
        <v>102319101</v>
      </c>
      <c r="C1424" s="178">
        <v>72254343</v>
      </c>
      <c r="D1424" s="179" t="s">
        <v>5453</v>
      </c>
      <c r="E1424" s="180" t="s">
        <v>3761</v>
      </c>
      <c r="F1424" s="181" t="s">
        <v>379</v>
      </c>
      <c r="G1424" s="170"/>
      <c r="H1424" s="170"/>
      <c r="I1424" s="170"/>
      <c r="J1424" s="171"/>
      <c r="K1424" s="171"/>
      <c r="L1424" s="168" t="s">
        <v>426</v>
      </c>
      <c r="M1424" s="171"/>
      <c r="N1424" s="171"/>
      <c r="O1424" s="171"/>
      <c r="P1424" s="170"/>
    </row>
    <row r="1425" spans="1:16" x14ac:dyDescent="0.25">
      <c r="A1425" s="168"/>
      <c r="B1425" s="177">
        <v>102318994</v>
      </c>
      <c r="C1425" s="178">
        <v>76749939</v>
      </c>
      <c r="D1425" s="179" t="s">
        <v>5341</v>
      </c>
      <c r="E1425" s="180" t="s">
        <v>3561</v>
      </c>
      <c r="F1425" s="181" t="s">
        <v>379</v>
      </c>
      <c r="G1425" s="170"/>
      <c r="H1425" s="170"/>
      <c r="I1425" s="170"/>
      <c r="J1425" s="171"/>
      <c r="K1425" s="171"/>
      <c r="L1425" s="168" t="s">
        <v>423</v>
      </c>
      <c r="M1425" s="171"/>
      <c r="N1425" s="171"/>
      <c r="O1425" s="171"/>
      <c r="P1425" s="170"/>
    </row>
    <row r="1426" spans="1:16" x14ac:dyDescent="0.25">
      <c r="A1426" s="168"/>
      <c r="B1426" s="177">
        <v>102318814</v>
      </c>
      <c r="C1426" s="178">
        <v>83899515</v>
      </c>
      <c r="D1426" s="179" t="s">
        <v>5150</v>
      </c>
      <c r="E1426" s="180" t="s">
        <v>3224</v>
      </c>
      <c r="F1426" s="181" t="s">
        <v>379</v>
      </c>
      <c r="G1426" s="170"/>
      <c r="H1426" s="170"/>
      <c r="I1426" s="170"/>
      <c r="J1426" s="171"/>
      <c r="K1426" s="171"/>
      <c r="L1426" s="168" t="s">
        <v>417</v>
      </c>
      <c r="M1426" s="171"/>
      <c r="N1426" s="171"/>
      <c r="O1426" s="171"/>
      <c r="P1426" s="170"/>
    </row>
    <row r="1427" spans="1:16" x14ac:dyDescent="0.25">
      <c r="A1427" s="168"/>
      <c r="B1427" s="177">
        <v>102319067</v>
      </c>
      <c r="C1427" s="178">
        <v>83311277</v>
      </c>
      <c r="D1427" s="179" t="s">
        <v>5418</v>
      </c>
      <c r="E1427" s="180" t="s">
        <v>3696</v>
      </c>
      <c r="F1427" s="181" t="s">
        <v>379</v>
      </c>
      <c r="G1427" s="170"/>
      <c r="H1427" s="170"/>
      <c r="I1427" s="170"/>
      <c r="J1427" s="171"/>
      <c r="K1427" s="171"/>
      <c r="L1427" s="168" t="s">
        <v>425</v>
      </c>
      <c r="M1427" s="171"/>
      <c r="N1427" s="171"/>
      <c r="O1427" s="171"/>
      <c r="P1427" s="170"/>
    </row>
    <row r="1428" spans="1:16" x14ac:dyDescent="0.25">
      <c r="A1428" s="168"/>
      <c r="B1428" s="177">
        <v>102319068</v>
      </c>
      <c r="C1428" s="178">
        <v>88438965</v>
      </c>
      <c r="D1428" s="179" t="s">
        <v>5419</v>
      </c>
      <c r="E1428" s="180" t="s">
        <v>3698</v>
      </c>
      <c r="F1428" s="181" t="s">
        <v>379</v>
      </c>
      <c r="G1428" s="170"/>
      <c r="H1428" s="170"/>
      <c r="I1428" s="170"/>
      <c r="J1428" s="171"/>
      <c r="K1428" s="171"/>
      <c r="L1428" s="168" t="s">
        <v>425</v>
      </c>
      <c r="M1428" s="171"/>
      <c r="N1428" s="171"/>
      <c r="O1428" s="171"/>
      <c r="P1428" s="170"/>
    </row>
    <row r="1429" spans="1:16" x14ac:dyDescent="0.25">
      <c r="A1429" s="168"/>
      <c r="B1429" s="177">
        <v>102318743</v>
      </c>
      <c r="C1429" s="178">
        <v>74316539</v>
      </c>
      <c r="D1429" s="179" t="s">
        <v>5076</v>
      </c>
      <c r="E1429" s="180" t="s">
        <v>3088</v>
      </c>
      <c r="F1429" s="181" t="s">
        <v>381</v>
      </c>
      <c r="G1429" s="170"/>
      <c r="H1429" s="170"/>
      <c r="I1429" s="170"/>
      <c r="J1429" s="171"/>
      <c r="K1429" s="171"/>
      <c r="L1429" s="168" t="s">
        <v>404</v>
      </c>
      <c r="M1429" s="171"/>
      <c r="N1429" s="171"/>
      <c r="O1429" s="171"/>
      <c r="P1429" s="170"/>
    </row>
    <row r="1430" spans="1:16" x14ac:dyDescent="0.25">
      <c r="A1430" s="168"/>
      <c r="B1430" s="177">
        <v>102318891</v>
      </c>
      <c r="C1430" s="178">
        <v>89183841</v>
      </c>
      <c r="D1430" s="179" t="s">
        <v>5233</v>
      </c>
      <c r="E1430" s="180" t="s">
        <v>3368</v>
      </c>
      <c r="F1430" s="181" t="s">
        <v>381</v>
      </c>
      <c r="G1430" s="170"/>
      <c r="H1430" s="170"/>
      <c r="I1430" s="170"/>
      <c r="J1430" s="171"/>
      <c r="K1430" s="171"/>
      <c r="L1430" s="168" t="s">
        <v>420</v>
      </c>
      <c r="M1430" s="171"/>
      <c r="N1430" s="171"/>
      <c r="O1430" s="171"/>
      <c r="P1430" s="170"/>
    </row>
    <row r="1431" spans="1:16" x14ac:dyDescent="0.25">
      <c r="A1431" s="168"/>
      <c r="B1431" s="177">
        <v>102318961</v>
      </c>
      <c r="C1431" s="178">
        <v>75496839</v>
      </c>
      <c r="D1431" s="179" t="s">
        <v>5308</v>
      </c>
      <c r="E1431" s="180" t="s">
        <v>3497</v>
      </c>
      <c r="F1431" s="181" t="s">
        <v>379</v>
      </c>
      <c r="G1431" s="170"/>
      <c r="H1431" s="170"/>
      <c r="I1431" s="170"/>
      <c r="J1431" s="171"/>
      <c r="K1431" s="171"/>
      <c r="L1431" s="168" t="s">
        <v>422</v>
      </c>
      <c r="M1431" s="171"/>
      <c r="N1431" s="171"/>
      <c r="O1431" s="171"/>
      <c r="P1431" s="170"/>
    </row>
    <row r="1432" spans="1:16" x14ac:dyDescent="0.25">
      <c r="A1432" s="168"/>
      <c r="B1432" s="177">
        <v>102318744</v>
      </c>
      <c r="C1432" s="178">
        <v>77024892</v>
      </c>
      <c r="D1432" s="179" t="s">
        <v>5077</v>
      </c>
      <c r="E1432" s="180" t="s">
        <v>3090</v>
      </c>
      <c r="F1432" s="181" t="s">
        <v>379</v>
      </c>
      <c r="G1432" s="170"/>
      <c r="H1432" s="170"/>
      <c r="I1432" s="170"/>
      <c r="J1432" s="171"/>
      <c r="K1432" s="171"/>
      <c r="L1432" s="168" t="s">
        <v>404</v>
      </c>
      <c r="M1432" s="171"/>
      <c r="N1432" s="171"/>
      <c r="O1432" s="171"/>
      <c r="P1432" s="170"/>
    </row>
    <row r="1433" spans="1:16" x14ac:dyDescent="0.25">
      <c r="A1433" s="168"/>
      <c r="B1433" s="177">
        <v>102319033</v>
      </c>
      <c r="C1433" s="178">
        <v>78941755</v>
      </c>
      <c r="D1433" s="179" t="s">
        <v>5383</v>
      </c>
      <c r="E1433" s="180" t="s">
        <v>3632</v>
      </c>
      <c r="F1433" s="181" t="s">
        <v>379</v>
      </c>
      <c r="G1433" s="170"/>
      <c r="H1433" s="170"/>
      <c r="I1433" s="170"/>
      <c r="J1433" s="171"/>
      <c r="K1433" s="171"/>
      <c r="L1433" s="168" t="s">
        <v>424</v>
      </c>
      <c r="M1433" s="171"/>
      <c r="N1433" s="171"/>
      <c r="O1433" s="171"/>
      <c r="P1433" s="170"/>
    </row>
    <row r="1434" spans="1:16" x14ac:dyDescent="0.25">
      <c r="A1434" s="168"/>
      <c r="B1434" s="177">
        <v>102318815</v>
      </c>
      <c r="C1434" s="178">
        <v>75630300</v>
      </c>
      <c r="D1434" s="179" t="s">
        <v>5151</v>
      </c>
      <c r="E1434" s="180" t="s">
        <v>3226</v>
      </c>
      <c r="F1434" s="181" t="s">
        <v>381</v>
      </c>
      <c r="G1434" s="170"/>
      <c r="H1434" s="170"/>
      <c r="I1434" s="170"/>
      <c r="J1434" s="171"/>
      <c r="K1434" s="171"/>
      <c r="L1434" s="168" t="s">
        <v>417</v>
      </c>
      <c r="M1434" s="171"/>
      <c r="N1434" s="171"/>
      <c r="O1434" s="171"/>
      <c r="P1434" s="170"/>
    </row>
    <row r="1435" spans="1:16" x14ac:dyDescent="0.25">
      <c r="A1435" s="168"/>
      <c r="B1435" s="177">
        <v>102318784</v>
      </c>
      <c r="C1435" s="178">
        <v>75839709</v>
      </c>
      <c r="D1435" s="179" t="s">
        <v>5118</v>
      </c>
      <c r="E1435" s="180" t="s">
        <v>3168</v>
      </c>
      <c r="F1435" s="181" t="s">
        <v>381</v>
      </c>
      <c r="G1435" s="170"/>
      <c r="H1435" s="170"/>
      <c r="I1435" s="170"/>
      <c r="J1435" s="171"/>
      <c r="K1435" s="171"/>
      <c r="L1435" s="168" t="s">
        <v>416</v>
      </c>
      <c r="M1435" s="171"/>
      <c r="N1435" s="171"/>
      <c r="O1435" s="171"/>
      <c r="P1435" s="170"/>
    </row>
    <row r="1436" spans="1:16" x14ac:dyDescent="0.25">
      <c r="A1436" s="168"/>
      <c r="B1436" s="177">
        <v>102319069</v>
      </c>
      <c r="C1436" s="178">
        <v>72972593</v>
      </c>
      <c r="D1436" s="179" t="s">
        <v>5420</v>
      </c>
      <c r="E1436" s="180" t="s">
        <v>3700</v>
      </c>
      <c r="F1436" s="181" t="s">
        <v>379</v>
      </c>
      <c r="G1436" s="170"/>
      <c r="H1436" s="170"/>
      <c r="I1436" s="170"/>
      <c r="J1436" s="171"/>
      <c r="K1436" s="171"/>
      <c r="L1436" s="168" t="s">
        <v>425</v>
      </c>
      <c r="M1436" s="171"/>
      <c r="N1436" s="171"/>
      <c r="O1436" s="171"/>
      <c r="P1436" s="170"/>
    </row>
    <row r="1437" spans="1:16" x14ac:dyDescent="0.25">
      <c r="A1437" s="168"/>
      <c r="B1437" s="177">
        <v>102318995</v>
      </c>
      <c r="C1437" s="178">
        <v>78492820</v>
      </c>
      <c r="D1437" s="179" t="s">
        <v>5342</v>
      </c>
      <c r="E1437" s="180" t="s">
        <v>3563</v>
      </c>
      <c r="F1437" s="181" t="s">
        <v>381</v>
      </c>
      <c r="G1437" s="170"/>
      <c r="H1437" s="170"/>
      <c r="I1437" s="170"/>
      <c r="J1437" s="171"/>
      <c r="K1437" s="171"/>
      <c r="L1437" s="168" t="s">
        <v>423</v>
      </c>
      <c r="M1437" s="171"/>
      <c r="N1437" s="171"/>
      <c r="O1437" s="171"/>
      <c r="P1437" s="170"/>
    </row>
    <row r="1438" spans="1:16" x14ac:dyDescent="0.25">
      <c r="A1438" s="168"/>
      <c r="B1438" s="177">
        <v>102318816</v>
      </c>
      <c r="C1438" s="178">
        <v>82801923</v>
      </c>
      <c r="D1438" s="179" t="s">
        <v>5152</v>
      </c>
      <c r="E1438" s="180" t="s">
        <v>3228</v>
      </c>
      <c r="F1438" s="181" t="s">
        <v>381</v>
      </c>
      <c r="G1438" s="170"/>
      <c r="H1438" s="170"/>
      <c r="I1438" s="170"/>
      <c r="J1438" s="171"/>
      <c r="K1438" s="171"/>
      <c r="L1438" s="168" t="s">
        <v>417</v>
      </c>
      <c r="M1438" s="171"/>
      <c r="N1438" s="171"/>
      <c r="O1438" s="171"/>
      <c r="P1438" s="170"/>
    </row>
    <row r="1439" spans="1:16" x14ac:dyDescent="0.25">
      <c r="A1439" s="168"/>
      <c r="B1439" s="177">
        <v>102318855</v>
      </c>
      <c r="C1439" s="178">
        <v>3079548873</v>
      </c>
      <c r="D1439" s="179" t="s">
        <v>5194</v>
      </c>
      <c r="E1439" s="180" t="s">
        <v>3301</v>
      </c>
      <c r="F1439" s="181" t="s">
        <v>381</v>
      </c>
      <c r="G1439" s="170"/>
      <c r="H1439" s="170"/>
      <c r="I1439" s="170"/>
      <c r="J1439" s="171"/>
      <c r="K1439" s="171"/>
      <c r="L1439" s="168" t="s">
        <v>419</v>
      </c>
      <c r="M1439" s="171"/>
      <c r="N1439" s="171"/>
      <c r="O1439" s="171"/>
      <c r="P1439" s="170"/>
    </row>
    <row r="1440" spans="1:16" x14ac:dyDescent="0.25">
      <c r="A1440" s="168"/>
      <c r="B1440" s="177">
        <v>102318745</v>
      </c>
      <c r="C1440" s="178">
        <v>75115777</v>
      </c>
      <c r="D1440" s="179" t="s">
        <v>5078</v>
      </c>
      <c r="E1440" s="180" t="s">
        <v>3092</v>
      </c>
      <c r="F1440" s="181" t="s">
        <v>381</v>
      </c>
      <c r="G1440" s="170"/>
      <c r="H1440" s="170"/>
      <c r="I1440" s="170"/>
      <c r="J1440" s="171"/>
      <c r="K1440" s="171"/>
      <c r="L1440" s="168" t="s">
        <v>404</v>
      </c>
      <c r="M1440" s="171"/>
      <c r="N1440" s="171"/>
      <c r="O1440" s="171"/>
      <c r="P1440" s="170"/>
    </row>
    <row r="1441" spans="1:16" x14ac:dyDescent="0.25">
      <c r="A1441" s="168"/>
      <c r="B1441" s="177">
        <v>102318996</v>
      </c>
      <c r="C1441" s="178">
        <v>74325501</v>
      </c>
      <c r="D1441" s="179" t="s">
        <v>5343</v>
      </c>
      <c r="E1441" s="180" t="s">
        <v>3565</v>
      </c>
      <c r="F1441" s="181" t="s">
        <v>379</v>
      </c>
      <c r="G1441" s="170"/>
      <c r="H1441" s="170"/>
      <c r="I1441" s="170"/>
      <c r="J1441" s="171"/>
      <c r="K1441" s="171"/>
      <c r="L1441" s="168" t="s">
        <v>423</v>
      </c>
      <c r="M1441" s="171"/>
      <c r="N1441" s="171"/>
      <c r="O1441" s="171"/>
      <c r="P1441" s="170"/>
    </row>
    <row r="1442" spans="1:16" x14ac:dyDescent="0.25">
      <c r="A1442" s="168"/>
      <c r="B1442" s="177">
        <v>102319102</v>
      </c>
      <c r="C1442" s="178">
        <v>78808121</v>
      </c>
      <c r="D1442" s="179" t="s">
        <v>5454</v>
      </c>
      <c r="E1442" s="180" t="s">
        <v>3763</v>
      </c>
      <c r="F1442" s="181" t="s">
        <v>381</v>
      </c>
      <c r="G1442" s="170"/>
      <c r="H1442" s="170"/>
      <c r="I1442" s="170"/>
      <c r="J1442" s="171"/>
      <c r="K1442" s="171"/>
      <c r="L1442" s="168" t="s">
        <v>426</v>
      </c>
      <c r="M1442" s="171"/>
      <c r="N1442" s="171"/>
      <c r="O1442" s="171"/>
      <c r="P1442" s="170"/>
    </row>
    <row r="1443" spans="1:16" x14ac:dyDescent="0.25">
      <c r="A1443" s="168"/>
      <c r="B1443" s="177">
        <v>102318785</v>
      </c>
      <c r="C1443" s="178">
        <v>85379842</v>
      </c>
      <c r="D1443" s="179" t="s">
        <v>5119</v>
      </c>
      <c r="E1443" s="180" t="s">
        <v>3170</v>
      </c>
      <c r="F1443" s="181" t="s">
        <v>379</v>
      </c>
      <c r="G1443" s="170"/>
      <c r="H1443" s="170"/>
      <c r="I1443" s="170"/>
      <c r="J1443" s="171"/>
      <c r="K1443" s="171"/>
      <c r="L1443" s="168" t="s">
        <v>416</v>
      </c>
      <c r="M1443" s="171"/>
      <c r="N1443" s="171"/>
      <c r="O1443" s="171"/>
      <c r="P1443" s="170"/>
    </row>
    <row r="1444" spans="1:16" x14ac:dyDescent="0.25">
      <c r="A1444" s="168"/>
      <c r="B1444" s="177">
        <v>102319103</v>
      </c>
      <c r="C1444" s="178">
        <v>78780376</v>
      </c>
      <c r="D1444" s="179" t="s">
        <v>5455</v>
      </c>
      <c r="E1444" s="180" t="s">
        <v>3765</v>
      </c>
      <c r="F1444" s="181" t="s">
        <v>379</v>
      </c>
      <c r="G1444" s="170"/>
      <c r="H1444" s="170"/>
      <c r="I1444" s="170"/>
      <c r="J1444" s="171"/>
      <c r="K1444" s="171"/>
      <c r="L1444" s="168" t="s">
        <v>426</v>
      </c>
      <c r="M1444" s="171"/>
      <c r="N1444" s="171"/>
      <c r="O1444" s="171"/>
      <c r="P1444" s="170"/>
    </row>
    <row r="1445" spans="1:16" x14ac:dyDescent="0.25">
      <c r="A1445" s="168"/>
      <c r="B1445" s="177">
        <v>102318746</v>
      </c>
      <c r="C1445" s="178">
        <v>89847230</v>
      </c>
      <c r="D1445" s="179" t="s">
        <v>5079</v>
      </c>
      <c r="E1445" s="180" t="s">
        <v>3094</v>
      </c>
      <c r="F1445" s="181" t="s">
        <v>381</v>
      </c>
      <c r="G1445" s="170"/>
      <c r="H1445" s="170"/>
      <c r="I1445" s="170"/>
      <c r="J1445" s="171"/>
      <c r="K1445" s="171"/>
      <c r="L1445" s="168" t="s">
        <v>404</v>
      </c>
      <c r="M1445" s="171"/>
      <c r="N1445" s="171"/>
      <c r="O1445" s="171"/>
      <c r="P1445" s="170"/>
    </row>
    <row r="1446" spans="1:16" x14ac:dyDescent="0.25">
      <c r="A1446" s="168"/>
      <c r="B1446" s="177">
        <v>102319134</v>
      </c>
      <c r="C1446" s="178">
        <v>89706496</v>
      </c>
      <c r="D1446" s="179" t="s">
        <v>5195</v>
      </c>
      <c r="E1446" s="180" t="s">
        <v>3855</v>
      </c>
      <c r="F1446" s="181" t="s">
        <v>381</v>
      </c>
      <c r="G1446" s="170"/>
      <c r="H1446" s="170"/>
      <c r="I1446" s="170"/>
      <c r="J1446" s="171"/>
      <c r="K1446" s="171"/>
      <c r="L1446" s="168" t="s">
        <v>419</v>
      </c>
      <c r="M1446" s="171"/>
      <c r="N1446" s="171"/>
      <c r="O1446" s="171"/>
      <c r="P1446" s="170" t="s">
        <v>5497</v>
      </c>
    </row>
    <row r="1447" spans="1:16" x14ac:dyDescent="0.25">
      <c r="A1447" s="168"/>
      <c r="B1447" s="177">
        <v>102318747</v>
      </c>
      <c r="C1447" s="178">
        <v>87993601</v>
      </c>
      <c r="D1447" s="179" t="s">
        <v>5080</v>
      </c>
      <c r="E1447" s="180" t="s">
        <v>3096</v>
      </c>
      <c r="F1447" s="181" t="s">
        <v>381</v>
      </c>
      <c r="G1447" s="170"/>
      <c r="H1447" s="170"/>
      <c r="I1447" s="170"/>
      <c r="J1447" s="171"/>
      <c r="K1447" s="171"/>
      <c r="L1447" s="168" t="s">
        <v>404</v>
      </c>
      <c r="M1447" s="171"/>
      <c r="N1447" s="171"/>
      <c r="O1447" s="171"/>
      <c r="P1447" s="170"/>
    </row>
    <row r="1448" spans="1:16" x14ac:dyDescent="0.25">
      <c r="A1448" s="168"/>
      <c r="B1448" s="177">
        <v>102318856</v>
      </c>
      <c r="C1448" s="178">
        <v>86577769</v>
      </c>
      <c r="D1448" s="179" t="s">
        <v>5196</v>
      </c>
      <c r="E1448" s="180" t="s">
        <v>3303</v>
      </c>
      <c r="F1448" s="181" t="s">
        <v>381</v>
      </c>
      <c r="G1448" s="170"/>
      <c r="H1448" s="170"/>
      <c r="I1448" s="170"/>
      <c r="J1448" s="171"/>
      <c r="K1448" s="171"/>
      <c r="L1448" s="168" t="s">
        <v>419</v>
      </c>
      <c r="M1448" s="171"/>
      <c r="N1448" s="171"/>
      <c r="O1448" s="171"/>
      <c r="P1448" s="170"/>
    </row>
    <row r="1449" spans="1:16" x14ac:dyDescent="0.25">
      <c r="A1449" s="168"/>
      <c r="B1449" s="177">
        <v>102318786</v>
      </c>
      <c r="C1449" s="178">
        <v>82036680</v>
      </c>
      <c r="D1449" s="179" t="s">
        <v>5120</v>
      </c>
      <c r="E1449" s="180" t="s">
        <v>3172</v>
      </c>
      <c r="F1449" s="181" t="s">
        <v>381</v>
      </c>
      <c r="G1449" s="170"/>
      <c r="H1449" s="170"/>
      <c r="I1449" s="170"/>
      <c r="J1449" s="171"/>
      <c r="K1449" s="171"/>
      <c r="L1449" s="168" t="s">
        <v>416</v>
      </c>
      <c r="M1449" s="171"/>
      <c r="N1449" s="171"/>
      <c r="O1449" s="171"/>
      <c r="P1449" s="170"/>
    </row>
    <row r="1450" spans="1:16" x14ac:dyDescent="0.25">
      <c r="A1450" s="168"/>
      <c r="B1450" s="177">
        <v>102318997</v>
      </c>
      <c r="C1450" s="178">
        <v>71977413</v>
      </c>
      <c r="D1450" s="179" t="s">
        <v>5344</v>
      </c>
      <c r="E1450" s="180" t="s">
        <v>3567</v>
      </c>
      <c r="F1450" s="181" t="s">
        <v>379</v>
      </c>
      <c r="G1450" s="170"/>
      <c r="H1450" s="170"/>
      <c r="I1450" s="170"/>
      <c r="J1450" s="171"/>
      <c r="K1450" s="171"/>
      <c r="L1450" s="168" t="s">
        <v>423</v>
      </c>
      <c r="M1450" s="171"/>
      <c r="N1450" s="171"/>
      <c r="O1450" s="171"/>
      <c r="P1450" s="170"/>
    </row>
    <row r="1451" spans="1:16" x14ac:dyDescent="0.25">
      <c r="A1451" s="168"/>
      <c r="B1451" s="177">
        <v>102318748</v>
      </c>
      <c r="C1451" s="178">
        <v>83121409</v>
      </c>
      <c r="D1451" s="179" t="s">
        <v>5081</v>
      </c>
      <c r="E1451" s="180" t="s">
        <v>3098</v>
      </c>
      <c r="F1451" s="181" t="s">
        <v>379</v>
      </c>
      <c r="G1451" s="170"/>
      <c r="H1451" s="170"/>
      <c r="I1451" s="170"/>
      <c r="J1451" s="171"/>
      <c r="K1451" s="171"/>
      <c r="L1451" s="168" t="s">
        <v>404</v>
      </c>
      <c r="M1451" s="171"/>
      <c r="N1451" s="171"/>
      <c r="O1451" s="171"/>
      <c r="P1451" s="170"/>
    </row>
    <row r="1452" spans="1:16" x14ac:dyDescent="0.25">
      <c r="A1452" s="168"/>
      <c r="B1452" s="177">
        <v>102318892</v>
      </c>
      <c r="C1452" s="178">
        <v>76658479</v>
      </c>
      <c r="D1452" s="179" t="s">
        <v>5234</v>
      </c>
      <c r="E1452" s="180" t="s">
        <v>3370</v>
      </c>
      <c r="F1452" s="181" t="s">
        <v>381</v>
      </c>
      <c r="G1452" s="170"/>
      <c r="H1452" s="170"/>
      <c r="I1452" s="170"/>
      <c r="J1452" s="171"/>
      <c r="K1452" s="171"/>
      <c r="L1452" s="168" t="s">
        <v>420</v>
      </c>
      <c r="M1452" s="171"/>
      <c r="N1452" s="171"/>
      <c r="O1452" s="171"/>
      <c r="P1452" s="170"/>
    </row>
    <row r="1453" spans="1:16" x14ac:dyDescent="0.25">
      <c r="A1453" s="168"/>
      <c r="B1453" s="177">
        <v>102318893</v>
      </c>
      <c r="C1453" s="178">
        <v>68269702</v>
      </c>
      <c r="D1453" s="179" t="s">
        <v>5235</v>
      </c>
      <c r="E1453" s="180" t="s">
        <v>3372</v>
      </c>
      <c r="F1453" s="181" t="s">
        <v>381</v>
      </c>
      <c r="G1453" s="170"/>
      <c r="H1453" s="170"/>
      <c r="I1453" s="170"/>
      <c r="J1453" s="171"/>
      <c r="K1453" s="171"/>
      <c r="L1453" s="168" t="s">
        <v>420</v>
      </c>
      <c r="M1453" s="171"/>
      <c r="N1453" s="171"/>
      <c r="O1453" s="171"/>
      <c r="P1453" s="170"/>
    </row>
    <row r="1454" spans="1:16" x14ac:dyDescent="0.25">
      <c r="A1454" s="168"/>
      <c r="B1454" s="177">
        <v>102319104</v>
      </c>
      <c r="C1454" s="178">
        <v>89531076</v>
      </c>
      <c r="D1454" s="179" t="s">
        <v>5456</v>
      </c>
      <c r="E1454" s="180" t="s">
        <v>3767</v>
      </c>
      <c r="F1454" s="181" t="s">
        <v>379</v>
      </c>
      <c r="G1454" s="170"/>
      <c r="H1454" s="170"/>
      <c r="I1454" s="170"/>
      <c r="J1454" s="171"/>
      <c r="K1454" s="171"/>
      <c r="L1454" s="168" t="s">
        <v>426</v>
      </c>
      <c r="M1454" s="171"/>
      <c r="N1454" s="171"/>
      <c r="O1454" s="171"/>
      <c r="P1454" s="170"/>
    </row>
    <row r="1455" spans="1:16" x14ac:dyDescent="0.25">
      <c r="A1455" s="168"/>
      <c r="B1455" s="177">
        <v>102318749</v>
      </c>
      <c r="C1455" s="178">
        <v>76487771</v>
      </c>
      <c r="D1455" s="179" t="s">
        <v>5082</v>
      </c>
      <c r="E1455" s="180" t="s">
        <v>3100</v>
      </c>
      <c r="F1455" s="181" t="s">
        <v>381</v>
      </c>
      <c r="G1455" s="170"/>
      <c r="H1455" s="170"/>
      <c r="I1455" s="170"/>
      <c r="J1455" s="171"/>
      <c r="K1455" s="171"/>
      <c r="L1455" s="168" t="s">
        <v>404</v>
      </c>
      <c r="M1455" s="171"/>
      <c r="N1455" s="171"/>
      <c r="O1455" s="171"/>
      <c r="P1455" s="170"/>
    </row>
    <row r="1456" spans="1:16" x14ac:dyDescent="0.25">
      <c r="A1456" s="168"/>
      <c r="B1456" s="177">
        <v>102318750</v>
      </c>
      <c r="C1456" s="178">
        <v>83861812</v>
      </c>
      <c r="D1456" s="179" t="s">
        <v>5083</v>
      </c>
      <c r="E1456" s="180" t="s">
        <v>3102</v>
      </c>
      <c r="F1456" s="181" t="s">
        <v>379</v>
      </c>
      <c r="G1456" s="170"/>
      <c r="H1456" s="170"/>
      <c r="I1456" s="170"/>
      <c r="J1456" s="171"/>
      <c r="K1456" s="171"/>
      <c r="L1456" s="168" t="s">
        <v>404</v>
      </c>
      <c r="M1456" s="171"/>
      <c r="N1456" s="171"/>
      <c r="O1456" s="171"/>
      <c r="P1456" s="170"/>
    </row>
    <row r="1457" spans="1:16" x14ac:dyDescent="0.25">
      <c r="A1457" s="168"/>
      <c r="B1457" s="177">
        <v>102318894</v>
      </c>
      <c r="C1457" s="178">
        <v>71027097</v>
      </c>
      <c r="D1457" s="179" t="s">
        <v>5236</v>
      </c>
      <c r="E1457" s="180" t="s">
        <v>3374</v>
      </c>
      <c r="F1457" s="181" t="s">
        <v>381</v>
      </c>
      <c r="G1457" s="170"/>
      <c r="H1457" s="170"/>
      <c r="I1457" s="170"/>
      <c r="J1457" s="171"/>
      <c r="K1457" s="171"/>
      <c r="L1457" s="168" t="s">
        <v>420</v>
      </c>
      <c r="M1457" s="171"/>
      <c r="N1457" s="171"/>
      <c r="O1457" s="171"/>
      <c r="P1457" s="170"/>
    </row>
    <row r="1458" spans="1:16" x14ac:dyDescent="0.25">
      <c r="A1458" s="168"/>
      <c r="B1458" s="177">
        <v>102319034</v>
      </c>
      <c r="C1458" s="178">
        <v>74829155</v>
      </c>
      <c r="D1458" s="179" t="s">
        <v>5384</v>
      </c>
      <c r="E1458" s="180" t="s">
        <v>3634</v>
      </c>
      <c r="F1458" s="181" t="s">
        <v>379</v>
      </c>
      <c r="G1458" s="170"/>
      <c r="H1458" s="170"/>
      <c r="I1458" s="170"/>
      <c r="J1458" s="171"/>
      <c r="K1458" s="171"/>
      <c r="L1458" s="168" t="s">
        <v>424</v>
      </c>
      <c r="M1458" s="171"/>
      <c r="N1458" s="171"/>
      <c r="O1458" s="171"/>
      <c r="P1458" s="170"/>
    </row>
    <row r="1459" spans="1:16" x14ac:dyDescent="0.25">
      <c r="A1459" s="168"/>
      <c r="B1459" s="177">
        <v>102318998</v>
      </c>
      <c r="C1459" s="178">
        <v>83206263</v>
      </c>
      <c r="D1459" s="179" t="s">
        <v>5345</v>
      </c>
      <c r="E1459" s="180" t="s">
        <v>3569</v>
      </c>
      <c r="F1459" s="181" t="s">
        <v>379</v>
      </c>
      <c r="G1459" s="170"/>
      <c r="H1459" s="170"/>
      <c r="I1459" s="170"/>
      <c r="J1459" s="171"/>
      <c r="K1459" s="171"/>
      <c r="L1459" s="168" t="s">
        <v>423</v>
      </c>
      <c r="M1459" s="171"/>
      <c r="N1459" s="171"/>
      <c r="O1459" s="171"/>
      <c r="P1459" s="170"/>
    </row>
    <row r="1460" spans="1:16" x14ac:dyDescent="0.25">
      <c r="A1460" s="168"/>
      <c r="B1460" s="177">
        <v>102319070</v>
      </c>
      <c r="C1460" s="178">
        <v>88114927</v>
      </c>
      <c r="D1460" s="179" t="s">
        <v>5421</v>
      </c>
      <c r="E1460" s="180" t="s">
        <v>3702</v>
      </c>
      <c r="F1460" s="181" t="s">
        <v>379</v>
      </c>
      <c r="G1460" s="170"/>
      <c r="H1460" s="170"/>
      <c r="I1460" s="170"/>
      <c r="J1460" s="171"/>
      <c r="K1460" s="171"/>
      <c r="L1460" s="168" t="s">
        <v>425</v>
      </c>
      <c r="M1460" s="171"/>
      <c r="N1460" s="171"/>
      <c r="O1460" s="171"/>
      <c r="P1460" s="170"/>
    </row>
    <row r="1461" spans="1:16" x14ac:dyDescent="0.25">
      <c r="A1461" s="168"/>
      <c r="B1461" s="177">
        <v>102318817</v>
      </c>
      <c r="C1461" s="178">
        <v>83015573</v>
      </c>
      <c r="D1461" s="179" t="s">
        <v>5153</v>
      </c>
      <c r="E1461" s="180" t="s">
        <v>3230</v>
      </c>
      <c r="F1461" s="181" t="s">
        <v>379</v>
      </c>
      <c r="G1461" s="170"/>
      <c r="H1461" s="170"/>
      <c r="I1461" s="170"/>
      <c r="J1461" s="171"/>
      <c r="K1461" s="171"/>
      <c r="L1461" s="168" t="s">
        <v>417</v>
      </c>
      <c r="M1461" s="171"/>
      <c r="N1461" s="171"/>
      <c r="O1461" s="171"/>
      <c r="P1461" s="170"/>
    </row>
    <row r="1462" spans="1:16" x14ac:dyDescent="0.25">
      <c r="A1462" s="168"/>
      <c r="B1462" s="177">
        <v>102318999</v>
      </c>
      <c r="C1462" s="178">
        <v>89020959</v>
      </c>
      <c r="D1462" s="179" t="s">
        <v>5346</v>
      </c>
      <c r="E1462" s="180" t="s">
        <v>3571</v>
      </c>
      <c r="F1462" s="181" t="s">
        <v>379</v>
      </c>
      <c r="G1462" s="170"/>
      <c r="H1462" s="170"/>
      <c r="I1462" s="170"/>
      <c r="J1462" s="171"/>
      <c r="K1462" s="171"/>
      <c r="L1462" s="168" t="s">
        <v>423</v>
      </c>
      <c r="M1462" s="171"/>
      <c r="N1462" s="171"/>
      <c r="O1462" s="171"/>
      <c r="P1462" s="170"/>
    </row>
    <row r="1463" spans="1:16" x14ac:dyDescent="0.25">
      <c r="A1463" s="168"/>
      <c r="B1463" s="177">
        <v>102319071</v>
      </c>
      <c r="C1463" s="178">
        <v>72311255</v>
      </c>
      <c r="D1463" s="179" t="s">
        <v>5422</v>
      </c>
      <c r="E1463" s="180" t="s">
        <v>3704</v>
      </c>
      <c r="F1463" s="181" t="s">
        <v>379</v>
      </c>
      <c r="G1463" s="170"/>
      <c r="H1463" s="170"/>
      <c r="I1463" s="170"/>
      <c r="J1463" s="171"/>
      <c r="K1463" s="171"/>
      <c r="L1463" s="168" t="s">
        <v>425</v>
      </c>
      <c r="M1463" s="171"/>
      <c r="N1463" s="171"/>
      <c r="O1463" s="171"/>
      <c r="P1463" s="170"/>
    </row>
    <row r="1464" spans="1:16" x14ac:dyDescent="0.25">
      <c r="A1464" s="168"/>
      <c r="B1464" s="177">
        <v>102318895</v>
      </c>
      <c r="C1464" s="178">
        <v>76956361</v>
      </c>
      <c r="D1464" s="179" t="s">
        <v>5237</v>
      </c>
      <c r="E1464" s="180" t="s">
        <v>5238</v>
      </c>
      <c r="F1464" s="181" t="s">
        <v>379</v>
      </c>
      <c r="G1464" s="170"/>
      <c r="H1464" s="170"/>
      <c r="I1464" s="170"/>
      <c r="J1464" s="171"/>
      <c r="K1464" s="171"/>
      <c r="L1464" s="168" t="s">
        <v>420</v>
      </c>
      <c r="M1464" s="171"/>
      <c r="N1464" s="171"/>
      <c r="O1464" s="171"/>
      <c r="P1464" s="170" t="s">
        <v>5498</v>
      </c>
    </row>
    <row r="1465" spans="1:16" x14ac:dyDescent="0.25">
      <c r="A1465" s="168"/>
      <c r="B1465" s="177">
        <v>102318962</v>
      </c>
      <c r="C1465" s="178">
        <v>83512450</v>
      </c>
      <c r="D1465" s="179" t="s">
        <v>5309</v>
      </c>
      <c r="E1465" s="180" t="s">
        <v>3499</v>
      </c>
      <c r="F1465" s="181" t="s">
        <v>379</v>
      </c>
      <c r="G1465" s="170"/>
      <c r="H1465" s="170"/>
      <c r="I1465" s="170"/>
      <c r="J1465" s="171"/>
      <c r="K1465" s="171"/>
      <c r="L1465" s="168" t="s">
        <v>422</v>
      </c>
      <c r="M1465" s="171"/>
      <c r="N1465" s="171"/>
      <c r="O1465" s="171"/>
      <c r="P1465" s="170"/>
    </row>
    <row r="1466" spans="1:16" x14ac:dyDescent="0.25">
      <c r="A1466" s="168"/>
      <c r="B1466" s="177">
        <v>102319105</v>
      </c>
      <c r="C1466" s="178">
        <v>87620447</v>
      </c>
      <c r="D1466" s="179" t="s">
        <v>5457</v>
      </c>
      <c r="E1466" s="180" t="s">
        <v>3769</v>
      </c>
      <c r="F1466" s="181" t="s">
        <v>379</v>
      </c>
      <c r="G1466" s="170"/>
      <c r="H1466" s="170"/>
      <c r="I1466" s="170"/>
      <c r="J1466" s="171"/>
      <c r="K1466" s="171"/>
      <c r="L1466" s="168" t="s">
        <v>426</v>
      </c>
      <c r="M1466" s="171"/>
      <c r="N1466" s="171"/>
      <c r="O1466" s="171"/>
      <c r="P1466" s="170"/>
    </row>
    <row r="1467" spans="1:16" x14ac:dyDescent="0.25">
      <c r="A1467" s="168"/>
      <c r="B1467" s="177">
        <v>102318818</v>
      </c>
      <c r="C1467" s="178">
        <v>79592277</v>
      </c>
      <c r="D1467" s="179" t="s">
        <v>5154</v>
      </c>
      <c r="E1467" s="180" t="s">
        <v>3232</v>
      </c>
      <c r="F1467" s="181" t="s">
        <v>379</v>
      </c>
      <c r="G1467" s="170"/>
      <c r="H1467" s="170"/>
      <c r="I1467" s="170"/>
      <c r="J1467" s="171"/>
      <c r="K1467" s="171"/>
      <c r="L1467" s="168" t="s">
        <v>417</v>
      </c>
      <c r="M1467" s="171"/>
      <c r="N1467" s="171"/>
      <c r="O1467" s="171"/>
      <c r="P1467" s="170"/>
    </row>
    <row r="1468" spans="1:16" x14ac:dyDescent="0.25">
      <c r="A1468" s="168"/>
      <c r="B1468" s="177">
        <v>102318819</v>
      </c>
      <c r="C1468" s="178">
        <v>89303968</v>
      </c>
      <c r="D1468" s="179" t="s">
        <v>5155</v>
      </c>
      <c r="E1468" s="180" t="s">
        <v>3234</v>
      </c>
      <c r="F1468" s="181" t="s">
        <v>381</v>
      </c>
      <c r="G1468" s="170"/>
      <c r="H1468" s="170"/>
      <c r="I1468" s="170"/>
      <c r="J1468" s="171"/>
      <c r="K1468" s="171"/>
      <c r="L1468" s="168" t="s">
        <v>417</v>
      </c>
      <c r="M1468" s="171"/>
      <c r="N1468" s="171"/>
      <c r="O1468" s="171"/>
      <c r="P1468" s="170"/>
    </row>
    <row r="1469" spans="1:16" x14ac:dyDescent="0.25">
      <c r="A1469" s="168"/>
      <c r="B1469" s="177">
        <v>102318857</v>
      </c>
      <c r="C1469" s="178">
        <v>82696637</v>
      </c>
      <c r="D1469" s="179" t="s">
        <v>5197</v>
      </c>
      <c r="E1469" s="180" t="s">
        <v>3305</v>
      </c>
      <c r="F1469" s="181" t="s">
        <v>379</v>
      </c>
      <c r="G1469" s="170"/>
      <c r="H1469" s="170"/>
      <c r="I1469" s="170"/>
      <c r="J1469" s="171"/>
      <c r="K1469" s="171"/>
      <c r="L1469" s="168" t="s">
        <v>419</v>
      </c>
      <c r="M1469" s="171"/>
      <c r="N1469" s="171"/>
      <c r="O1469" s="171"/>
      <c r="P1469" s="170"/>
    </row>
    <row r="1470" spans="1:16" x14ac:dyDescent="0.25">
      <c r="A1470" s="168"/>
      <c r="B1470" s="177">
        <v>102318858</v>
      </c>
      <c r="C1470" s="178">
        <v>81410684</v>
      </c>
      <c r="D1470" s="179" t="s">
        <v>5198</v>
      </c>
      <c r="E1470" s="180" t="s">
        <v>3307</v>
      </c>
      <c r="F1470" s="181" t="s">
        <v>379</v>
      </c>
      <c r="G1470" s="170"/>
      <c r="H1470" s="170"/>
      <c r="I1470" s="170"/>
      <c r="J1470" s="171"/>
      <c r="K1470" s="171"/>
      <c r="L1470" s="168" t="s">
        <v>419</v>
      </c>
      <c r="M1470" s="171"/>
      <c r="N1470" s="171"/>
      <c r="O1470" s="171"/>
      <c r="P1470" s="170"/>
    </row>
    <row r="1471" spans="1:16" x14ac:dyDescent="0.25">
      <c r="A1471" s="168"/>
      <c r="B1471" s="177">
        <v>102319072</v>
      </c>
      <c r="C1471" s="178">
        <v>77788249</v>
      </c>
      <c r="D1471" s="179" t="s">
        <v>5423</v>
      </c>
      <c r="E1471" s="180" t="s">
        <v>3706</v>
      </c>
      <c r="F1471" s="181" t="s">
        <v>379</v>
      </c>
      <c r="G1471" s="170"/>
      <c r="H1471" s="170"/>
      <c r="I1471" s="170"/>
      <c r="J1471" s="171"/>
      <c r="K1471" s="171"/>
      <c r="L1471" s="168" t="s">
        <v>425</v>
      </c>
      <c r="M1471" s="171"/>
      <c r="N1471" s="171"/>
      <c r="O1471" s="171"/>
      <c r="P1471" s="170"/>
    </row>
    <row r="1472" spans="1:16" x14ac:dyDescent="0.25">
      <c r="A1472" s="168"/>
      <c r="B1472" s="177">
        <v>102318751</v>
      </c>
      <c r="C1472" s="178">
        <v>73444383</v>
      </c>
      <c r="D1472" s="179" t="s">
        <v>5084</v>
      </c>
      <c r="E1472" s="180" t="s">
        <v>3104</v>
      </c>
      <c r="F1472" s="181" t="s">
        <v>381</v>
      </c>
      <c r="G1472" s="170"/>
      <c r="H1472" s="170"/>
      <c r="I1472" s="170"/>
      <c r="J1472" s="171"/>
      <c r="K1472" s="171"/>
      <c r="L1472" s="168" t="s">
        <v>404</v>
      </c>
      <c r="M1472" s="171"/>
      <c r="N1472" s="171"/>
      <c r="O1472" s="171"/>
      <c r="P1472" s="170"/>
    </row>
    <row r="1473" spans="1:16" x14ac:dyDescent="0.25">
      <c r="A1473" s="168"/>
      <c r="B1473" s="177">
        <v>102319035</v>
      </c>
      <c r="C1473" s="178">
        <v>79340182</v>
      </c>
      <c r="D1473" s="179" t="s">
        <v>5385</v>
      </c>
      <c r="E1473" s="180" t="s">
        <v>3636</v>
      </c>
      <c r="F1473" s="181" t="s">
        <v>379</v>
      </c>
      <c r="G1473" s="170"/>
      <c r="H1473" s="170"/>
      <c r="I1473" s="170"/>
      <c r="J1473" s="171"/>
      <c r="K1473" s="171"/>
      <c r="L1473" s="168" t="s">
        <v>424</v>
      </c>
      <c r="M1473" s="171"/>
      <c r="N1473" s="171"/>
      <c r="O1473" s="171"/>
      <c r="P1473" s="170"/>
    </row>
    <row r="1474" spans="1:16" x14ac:dyDescent="0.25">
      <c r="A1474" s="168"/>
      <c r="B1474" s="177">
        <v>102318787</v>
      </c>
      <c r="C1474" s="178">
        <v>78614373</v>
      </c>
      <c r="D1474" s="179" t="s">
        <v>5121</v>
      </c>
      <c r="E1474" s="180" t="s">
        <v>5122</v>
      </c>
      <c r="F1474" s="181" t="s">
        <v>379</v>
      </c>
      <c r="G1474" s="170"/>
      <c r="H1474" s="170"/>
      <c r="I1474" s="170"/>
      <c r="J1474" s="171"/>
      <c r="K1474" s="171"/>
      <c r="L1474" s="168" t="s">
        <v>416</v>
      </c>
      <c r="M1474" s="171"/>
      <c r="N1474" s="171"/>
      <c r="O1474" s="171"/>
      <c r="P1474" s="170" t="s">
        <v>5491</v>
      </c>
    </row>
    <row r="1475" spans="1:16" x14ac:dyDescent="0.25">
      <c r="A1475" s="168"/>
      <c r="B1475" s="177">
        <v>102319036</v>
      </c>
      <c r="C1475" s="178">
        <v>88310873</v>
      </c>
      <c r="D1475" s="179" t="s">
        <v>5386</v>
      </c>
      <c r="E1475" s="180" t="s">
        <v>3638</v>
      </c>
      <c r="F1475" s="181" t="s">
        <v>379</v>
      </c>
      <c r="G1475" s="170"/>
      <c r="H1475" s="170"/>
      <c r="I1475" s="170"/>
      <c r="J1475" s="171"/>
      <c r="K1475" s="171"/>
      <c r="L1475" s="168" t="s">
        <v>424</v>
      </c>
      <c r="M1475" s="171"/>
      <c r="N1475" s="171"/>
      <c r="O1475" s="171"/>
      <c r="P1475" s="170"/>
    </row>
    <row r="1476" spans="1:16" x14ac:dyDescent="0.25">
      <c r="A1476" s="168"/>
      <c r="B1476" s="177">
        <v>102319106</v>
      </c>
      <c r="C1476" s="178">
        <v>82051135</v>
      </c>
      <c r="D1476" s="179" t="s">
        <v>5458</v>
      </c>
      <c r="E1476" s="180" t="s">
        <v>3771</v>
      </c>
      <c r="F1476" s="181" t="s">
        <v>379</v>
      </c>
      <c r="G1476" s="170"/>
      <c r="H1476" s="170"/>
      <c r="I1476" s="170"/>
      <c r="J1476" s="171"/>
      <c r="K1476" s="171"/>
      <c r="L1476" s="168" t="s">
        <v>426</v>
      </c>
      <c r="M1476" s="171"/>
      <c r="N1476" s="171"/>
      <c r="O1476" s="171"/>
      <c r="P1476" s="170"/>
    </row>
    <row r="1477" spans="1:16" x14ac:dyDescent="0.25">
      <c r="A1477" s="168"/>
      <c r="B1477" s="177">
        <v>102318896</v>
      </c>
      <c r="C1477" s="178">
        <v>84707089</v>
      </c>
      <c r="D1477" s="179" t="s">
        <v>5239</v>
      </c>
      <c r="E1477" s="180" t="s">
        <v>3376</v>
      </c>
      <c r="F1477" s="181" t="s">
        <v>379</v>
      </c>
      <c r="G1477" s="170"/>
      <c r="H1477" s="170"/>
      <c r="I1477" s="170"/>
      <c r="J1477" s="171"/>
      <c r="K1477" s="171"/>
      <c r="L1477" s="168" t="s">
        <v>420</v>
      </c>
      <c r="M1477" s="171"/>
      <c r="N1477" s="171"/>
      <c r="O1477" s="171"/>
      <c r="P1477" s="170"/>
    </row>
    <row r="1478" spans="1:16" x14ac:dyDescent="0.25">
      <c r="A1478" s="168"/>
      <c r="B1478" s="177">
        <v>102318788</v>
      </c>
      <c r="C1478" s="178">
        <v>92148002</v>
      </c>
      <c r="D1478" s="179" t="s">
        <v>5123</v>
      </c>
      <c r="E1478" s="180" t="s">
        <v>5124</v>
      </c>
      <c r="F1478" s="181" t="s">
        <v>381</v>
      </c>
      <c r="G1478" s="170"/>
      <c r="H1478" s="170"/>
      <c r="I1478" s="170"/>
      <c r="J1478" s="171"/>
      <c r="K1478" s="171"/>
      <c r="L1478" s="168" t="s">
        <v>416</v>
      </c>
      <c r="M1478" s="171"/>
      <c r="N1478" s="171"/>
      <c r="O1478" s="171"/>
      <c r="P1478" s="170" t="s">
        <v>5489</v>
      </c>
    </row>
    <row r="1479" spans="1:16" x14ac:dyDescent="0.25">
      <c r="A1479" s="168"/>
      <c r="B1479" s="177">
        <v>102318820</v>
      </c>
      <c r="C1479" s="178">
        <v>85593058</v>
      </c>
      <c r="D1479" s="179" t="s">
        <v>5156</v>
      </c>
      <c r="E1479" s="180" t="s">
        <v>3236</v>
      </c>
      <c r="F1479" s="181" t="s">
        <v>381</v>
      </c>
      <c r="G1479" s="170"/>
      <c r="H1479" s="170"/>
      <c r="I1479" s="170"/>
      <c r="J1479" s="171"/>
      <c r="K1479" s="171"/>
      <c r="L1479" s="168" t="s">
        <v>417</v>
      </c>
      <c r="M1479" s="171"/>
      <c r="N1479" s="171"/>
      <c r="O1479" s="171"/>
      <c r="P1479" s="170"/>
    </row>
    <row r="1480" spans="1:16" x14ac:dyDescent="0.25">
      <c r="A1480" s="168"/>
      <c r="B1480" s="177">
        <v>102318752</v>
      </c>
      <c r="C1480" s="178">
        <v>86597062</v>
      </c>
      <c r="D1480" s="179" t="s">
        <v>5085</v>
      </c>
      <c r="E1480" s="180" t="s">
        <v>3106</v>
      </c>
      <c r="F1480" s="181" t="s">
        <v>381</v>
      </c>
      <c r="G1480" s="170"/>
      <c r="H1480" s="170"/>
      <c r="I1480" s="170"/>
      <c r="J1480" s="171"/>
      <c r="K1480" s="171"/>
      <c r="L1480" s="168" t="s">
        <v>404</v>
      </c>
      <c r="M1480" s="171"/>
      <c r="N1480" s="171"/>
      <c r="O1480" s="171"/>
      <c r="P1480" s="170"/>
    </row>
    <row r="1481" spans="1:16" x14ac:dyDescent="0.25">
      <c r="A1481" s="168"/>
      <c r="B1481" s="177">
        <v>102318821</v>
      </c>
      <c r="C1481" s="178">
        <v>81858563</v>
      </c>
      <c r="D1481" s="179" t="s">
        <v>5157</v>
      </c>
      <c r="E1481" s="180" t="s">
        <v>3238</v>
      </c>
      <c r="F1481" s="181" t="s">
        <v>381</v>
      </c>
      <c r="G1481" s="170"/>
      <c r="H1481" s="170"/>
      <c r="I1481" s="170"/>
      <c r="J1481" s="171"/>
      <c r="K1481" s="171"/>
      <c r="L1481" s="168" t="s">
        <v>417</v>
      </c>
      <c r="M1481" s="171"/>
      <c r="N1481" s="171"/>
      <c r="O1481" s="171"/>
      <c r="P1481" s="170"/>
    </row>
    <row r="1482" spans="1:16" x14ac:dyDescent="0.25">
      <c r="A1482" s="168"/>
      <c r="B1482" s="177">
        <v>102319000</v>
      </c>
      <c r="C1482" s="178">
        <v>75828721</v>
      </c>
      <c r="D1482" s="179" t="s">
        <v>5347</v>
      </c>
      <c r="E1482" s="180" t="s">
        <v>3573</v>
      </c>
      <c r="F1482" s="181" t="s">
        <v>381</v>
      </c>
      <c r="G1482" s="170"/>
      <c r="H1482" s="170"/>
      <c r="I1482" s="170"/>
      <c r="J1482" s="171"/>
      <c r="K1482" s="171"/>
      <c r="L1482" s="168" t="s">
        <v>423</v>
      </c>
      <c r="M1482" s="171"/>
      <c r="N1482" s="171"/>
      <c r="O1482" s="171"/>
      <c r="P1482" s="170"/>
    </row>
    <row r="1483" spans="1:16" x14ac:dyDescent="0.25">
      <c r="A1483" s="168"/>
      <c r="B1483" s="177">
        <v>102318834</v>
      </c>
      <c r="C1483" s="178">
        <v>81094469</v>
      </c>
      <c r="D1483" s="179" t="s">
        <v>5158</v>
      </c>
      <c r="E1483" s="180" t="s">
        <v>5159</v>
      </c>
      <c r="F1483" s="181" t="s">
        <v>381</v>
      </c>
      <c r="G1483" s="170"/>
      <c r="H1483" s="170"/>
      <c r="I1483" s="170"/>
      <c r="J1483" s="171"/>
      <c r="K1483" s="171"/>
      <c r="L1483" s="168" t="s">
        <v>417</v>
      </c>
      <c r="M1483" s="171"/>
      <c r="N1483" s="171"/>
      <c r="O1483" s="171"/>
      <c r="P1483" s="170"/>
    </row>
    <row r="1484" spans="1:16" x14ac:dyDescent="0.25">
      <c r="A1484" s="168"/>
      <c r="B1484" s="177">
        <v>102318822</v>
      </c>
      <c r="C1484" s="178">
        <v>87904714</v>
      </c>
      <c r="D1484" s="179" t="s">
        <v>5160</v>
      </c>
      <c r="E1484" s="180" t="s">
        <v>3240</v>
      </c>
      <c r="F1484" s="181" t="s">
        <v>381</v>
      </c>
      <c r="G1484" s="170"/>
      <c r="H1484" s="170"/>
      <c r="I1484" s="170"/>
      <c r="J1484" s="171"/>
      <c r="K1484" s="171"/>
      <c r="L1484" s="168" t="s">
        <v>417</v>
      </c>
      <c r="M1484" s="171"/>
      <c r="N1484" s="171"/>
      <c r="O1484" s="171"/>
      <c r="P1484" s="170"/>
    </row>
    <row r="1485" spans="1:16" x14ac:dyDescent="0.25">
      <c r="A1485" s="168"/>
      <c r="B1485" s="177">
        <v>102318789</v>
      </c>
      <c r="C1485" s="178">
        <v>85343931</v>
      </c>
      <c r="D1485" s="179" t="s">
        <v>5125</v>
      </c>
      <c r="E1485" s="180" t="s">
        <v>3174</v>
      </c>
      <c r="F1485" s="181" t="s">
        <v>381</v>
      </c>
      <c r="G1485" s="170"/>
      <c r="H1485" s="170"/>
      <c r="I1485" s="170"/>
      <c r="J1485" s="171"/>
      <c r="K1485" s="171"/>
      <c r="L1485" s="168" t="s">
        <v>416</v>
      </c>
      <c r="M1485" s="171"/>
      <c r="N1485" s="171"/>
      <c r="O1485" s="171"/>
      <c r="P1485" s="170"/>
    </row>
    <row r="1486" spans="1:16" x14ac:dyDescent="0.25">
      <c r="A1486" s="168"/>
      <c r="B1486" s="177">
        <v>102319073</v>
      </c>
      <c r="C1486" s="178">
        <v>68296356</v>
      </c>
      <c r="D1486" s="179" t="s">
        <v>5424</v>
      </c>
      <c r="E1486" s="180" t="s">
        <v>3708</v>
      </c>
      <c r="F1486" s="181" t="s">
        <v>379</v>
      </c>
      <c r="G1486" s="170"/>
      <c r="H1486" s="170"/>
      <c r="I1486" s="170"/>
      <c r="J1486" s="171"/>
      <c r="K1486" s="171"/>
      <c r="L1486" s="168" t="s">
        <v>425</v>
      </c>
      <c r="M1486" s="171"/>
      <c r="N1486" s="171"/>
      <c r="O1486" s="171"/>
      <c r="P1486" s="170"/>
    </row>
    <row r="1487" spans="1:16" x14ac:dyDescent="0.25">
      <c r="A1487" s="168"/>
      <c r="B1487" s="177">
        <v>102318963</v>
      </c>
      <c r="C1487" s="178">
        <v>76859975</v>
      </c>
      <c r="D1487" s="179" t="s">
        <v>5310</v>
      </c>
      <c r="E1487" s="180" t="s">
        <v>3501</v>
      </c>
      <c r="F1487" s="181" t="s">
        <v>379</v>
      </c>
      <c r="G1487" s="170"/>
      <c r="H1487" s="170"/>
      <c r="I1487" s="170"/>
      <c r="J1487" s="171"/>
      <c r="K1487" s="171"/>
      <c r="L1487" s="168" t="s">
        <v>422</v>
      </c>
      <c r="M1487" s="171"/>
      <c r="N1487" s="171"/>
      <c r="O1487" s="171"/>
      <c r="P1487" s="170"/>
    </row>
    <row r="1488" spans="1:16" x14ac:dyDescent="0.25">
      <c r="A1488" s="168"/>
      <c r="B1488" s="177">
        <v>102318897</v>
      </c>
      <c r="C1488" s="178">
        <v>72740728</v>
      </c>
      <c r="D1488" s="179" t="s">
        <v>5240</v>
      </c>
      <c r="E1488" s="180" t="s">
        <v>3378</v>
      </c>
      <c r="F1488" s="181" t="s">
        <v>379</v>
      </c>
      <c r="G1488" s="170"/>
      <c r="H1488" s="170"/>
      <c r="I1488" s="170"/>
      <c r="J1488" s="171"/>
      <c r="K1488" s="171"/>
      <c r="L1488" s="168" t="s">
        <v>420</v>
      </c>
      <c r="M1488" s="171"/>
      <c r="N1488" s="171"/>
      <c r="O1488" s="171"/>
      <c r="P1488" s="170"/>
    </row>
    <row r="1489" spans="1:16" x14ac:dyDescent="0.25">
      <c r="A1489" s="168"/>
      <c r="B1489" s="177">
        <v>102319107</v>
      </c>
      <c r="C1489" s="178">
        <v>71987104</v>
      </c>
      <c r="D1489" s="179" t="s">
        <v>5459</v>
      </c>
      <c r="E1489" s="180" t="s">
        <v>3773</v>
      </c>
      <c r="F1489" s="181" t="s">
        <v>379</v>
      </c>
      <c r="G1489" s="170"/>
      <c r="H1489" s="170"/>
      <c r="I1489" s="170"/>
      <c r="J1489" s="171"/>
      <c r="K1489" s="171"/>
      <c r="L1489" s="168" t="s">
        <v>426</v>
      </c>
      <c r="M1489" s="171"/>
      <c r="N1489" s="171"/>
      <c r="O1489" s="171"/>
      <c r="P1489" s="170"/>
    </row>
    <row r="1490" spans="1:16" x14ac:dyDescent="0.25">
      <c r="A1490" s="168"/>
      <c r="B1490" s="177">
        <v>102318859</v>
      </c>
      <c r="C1490" s="178">
        <v>76189032</v>
      </c>
      <c r="D1490" s="179" t="s">
        <v>5199</v>
      </c>
      <c r="E1490" s="180" t="s">
        <v>3309</v>
      </c>
      <c r="F1490" s="181" t="s">
        <v>381</v>
      </c>
      <c r="G1490" s="170"/>
      <c r="H1490" s="170"/>
      <c r="I1490" s="170"/>
      <c r="J1490" s="171"/>
      <c r="K1490" s="171"/>
      <c r="L1490" s="168" t="s">
        <v>419</v>
      </c>
      <c r="M1490" s="171"/>
      <c r="N1490" s="171"/>
      <c r="O1490" s="171"/>
      <c r="P1490" s="170"/>
    </row>
    <row r="1491" spans="1:16" x14ac:dyDescent="0.25">
      <c r="A1491" s="168"/>
      <c r="B1491" s="177">
        <v>102318860</v>
      </c>
      <c r="C1491" s="178">
        <v>86999695</v>
      </c>
      <c r="D1491" s="179" t="s">
        <v>5200</v>
      </c>
      <c r="E1491" s="180" t="s">
        <v>3311</v>
      </c>
      <c r="F1491" s="181" t="s">
        <v>381</v>
      </c>
      <c r="G1491" s="170"/>
      <c r="H1491" s="170"/>
      <c r="I1491" s="170"/>
      <c r="J1491" s="171"/>
      <c r="K1491" s="171"/>
      <c r="L1491" s="168" t="s">
        <v>419</v>
      </c>
      <c r="M1491" s="171"/>
      <c r="N1491" s="171"/>
      <c r="O1491" s="171"/>
      <c r="P1491" s="170"/>
    </row>
    <row r="1492" spans="1:16" x14ac:dyDescent="0.25">
      <c r="A1492" s="168"/>
      <c r="B1492" s="177">
        <v>102319037</v>
      </c>
      <c r="C1492" s="178">
        <v>88166127</v>
      </c>
      <c r="D1492" s="179" t="s">
        <v>5387</v>
      </c>
      <c r="E1492" s="180" t="s">
        <v>3640</v>
      </c>
      <c r="F1492" s="181" t="s">
        <v>381</v>
      </c>
      <c r="G1492" s="170"/>
      <c r="H1492" s="170"/>
      <c r="I1492" s="170"/>
      <c r="J1492" s="171"/>
      <c r="K1492" s="171"/>
      <c r="L1492" s="168" t="s">
        <v>424</v>
      </c>
      <c r="M1492" s="171"/>
      <c r="N1492" s="171"/>
      <c r="O1492" s="171"/>
      <c r="P1492" s="170"/>
    </row>
    <row r="1493" spans="1:16" x14ac:dyDescent="0.25">
      <c r="A1493" s="168"/>
      <c r="B1493" s="177">
        <v>102318928</v>
      </c>
      <c r="C1493" s="178">
        <v>85897220</v>
      </c>
      <c r="D1493" s="179" t="s">
        <v>5272</v>
      </c>
      <c r="E1493" s="180" t="s">
        <v>5273</v>
      </c>
      <c r="F1493" s="181" t="s">
        <v>379</v>
      </c>
      <c r="G1493" s="170"/>
      <c r="H1493" s="170"/>
      <c r="I1493" s="170"/>
      <c r="J1493" s="171"/>
      <c r="K1493" s="171"/>
      <c r="L1493" s="168" t="s">
        <v>421</v>
      </c>
      <c r="M1493" s="171"/>
      <c r="N1493" s="171"/>
      <c r="O1493" s="171"/>
      <c r="P1493" s="170" t="s">
        <v>5492</v>
      </c>
    </row>
    <row r="1494" spans="1:16" x14ac:dyDescent="0.25">
      <c r="A1494" s="168"/>
      <c r="B1494" s="177">
        <v>102318964</v>
      </c>
      <c r="C1494" s="178">
        <v>72435891</v>
      </c>
      <c r="D1494" s="179" t="s">
        <v>5311</v>
      </c>
      <c r="E1494" s="180" t="s">
        <v>3503</v>
      </c>
      <c r="F1494" s="181" t="s">
        <v>381</v>
      </c>
      <c r="G1494" s="170"/>
      <c r="H1494" s="170"/>
      <c r="I1494" s="170"/>
      <c r="J1494" s="171"/>
      <c r="K1494" s="171"/>
      <c r="L1494" s="168" t="s">
        <v>422</v>
      </c>
      <c r="M1494" s="171"/>
      <c r="N1494" s="171"/>
      <c r="O1494" s="171"/>
      <c r="P1494" s="170"/>
    </row>
    <row r="1495" spans="1:16" x14ac:dyDescent="0.25">
      <c r="A1495" s="168"/>
      <c r="B1495" s="177">
        <v>102319108</v>
      </c>
      <c r="C1495" s="178">
        <v>72392486</v>
      </c>
      <c r="D1495" s="179" t="s">
        <v>5460</v>
      </c>
      <c r="E1495" s="180" t="s">
        <v>3775</v>
      </c>
      <c r="F1495" s="181" t="s">
        <v>379</v>
      </c>
      <c r="G1495" s="170"/>
      <c r="H1495" s="170"/>
      <c r="I1495" s="170"/>
      <c r="J1495" s="171"/>
      <c r="K1495" s="171"/>
      <c r="L1495" s="168" t="s">
        <v>426</v>
      </c>
      <c r="M1495" s="171"/>
      <c r="N1495" s="171"/>
      <c r="O1495" s="171"/>
      <c r="P1495" s="170"/>
    </row>
    <row r="1496" spans="1:16" x14ac:dyDescent="0.25">
      <c r="A1496" s="168"/>
      <c r="B1496" s="177">
        <v>102319074</v>
      </c>
      <c r="C1496" s="178">
        <v>74221882</v>
      </c>
      <c r="D1496" s="179" t="s">
        <v>5425</v>
      </c>
      <c r="E1496" s="180" t="s">
        <v>3710</v>
      </c>
      <c r="F1496" s="181" t="s">
        <v>379</v>
      </c>
      <c r="G1496" s="170"/>
      <c r="H1496" s="170"/>
      <c r="I1496" s="170"/>
      <c r="J1496" s="171"/>
      <c r="K1496" s="171"/>
      <c r="L1496" s="168" t="s">
        <v>425</v>
      </c>
      <c r="M1496" s="171"/>
      <c r="N1496" s="171"/>
      <c r="O1496" s="171"/>
      <c r="P1496" s="170"/>
    </row>
    <row r="1497" spans="1:16" x14ac:dyDescent="0.25">
      <c r="A1497" s="168"/>
      <c r="B1497" s="177">
        <v>102318965</v>
      </c>
      <c r="C1497" s="178">
        <v>74265098</v>
      </c>
      <c r="D1497" s="179" t="s">
        <v>5312</v>
      </c>
      <c r="E1497" s="180" t="s">
        <v>3505</v>
      </c>
      <c r="F1497" s="181" t="s">
        <v>379</v>
      </c>
      <c r="G1497" s="170"/>
      <c r="H1497" s="170"/>
      <c r="I1497" s="170"/>
      <c r="J1497" s="171"/>
      <c r="K1497" s="171"/>
      <c r="L1497" s="168" t="s">
        <v>422</v>
      </c>
      <c r="M1497" s="171"/>
      <c r="N1497" s="171"/>
      <c r="O1497" s="171"/>
      <c r="P1497" s="170"/>
    </row>
    <row r="1498" spans="1:16" x14ac:dyDescent="0.25">
      <c r="A1498" s="168"/>
      <c r="B1498" s="177">
        <v>102318861</v>
      </c>
      <c r="C1498" s="178">
        <v>72738420</v>
      </c>
      <c r="D1498" s="179" t="s">
        <v>5201</v>
      </c>
      <c r="E1498" s="180" t="s">
        <v>3313</v>
      </c>
      <c r="F1498" s="181" t="s">
        <v>379</v>
      </c>
      <c r="G1498" s="170"/>
      <c r="H1498" s="170"/>
      <c r="I1498" s="170"/>
      <c r="J1498" s="171"/>
      <c r="K1498" s="171"/>
      <c r="L1498" s="168" t="s">
        <v>419</v>
      </c>
      <c r="M1498" s="171"/>
      <c r="N1498" s="171"/>
      <c r="O1498" s="171"/>
      <c r="P1498" s="170"/>
    </row>
    <row r="1499" spans="1:16" x14ac:dyDescent="0.25">
      <c r="A1499" s="168"/>
      <c r="B1499" s="177">
        <v>102318966</v>
      </c>
      <c r="C1499" s="178">
        <v>74595453</v>
      </c>
      <c r="D1499" s="179" t="s">
        <v>5313</v>
      </c>
      <c r="E1499" s="180" t="s">
        <v>3507</v>
      </c>
      <c r="F1499" s="181" t="s">
        <v>381</v>
      </c>
      <c r="G1499" s="170"/>
      <c r="H1499" s="170"/>
      <c r="I1499" s="170"/>
      <c r="J1499" s="171"/>
      <c r="K1499" s="171"/>
      <c r="L1499" s="168" t="s">
        <v>422</v>
      </c>
      <c r="M1499" s="171"/>
      <c r="N1499" s="171"/>
      <c r="O1499" s="171"/>
      <c r="P1499" s="170"/>
    </row>
    <row r="1500" spans="1:16" x14ac:dyDescent="0.25">
      <c r="A1500" s="168"/>
      <c r="B1500" s="177">
        <v>102319109</v>
      </c>
      <c r="C1500" s="178">
        <v>79621468</v>
      </c>
      <c r="D1500" s="179" t="s">
        <v>5461</v>
      </c>
      <c r="E1500" s="180" t="s">
        <v>3777</v>
      </c>
      <c r="F1500" s="181" t="s">
        <v>379</v>
      </c>
      <c r="G1500" s="170"/>
      <c r="H1500" s="170"/>
      <c r="I1500" s="170"/>
      <c r="J1500" s="171"/>
      <c r="K1500" s="171"/>
      <c r="L1500" s="168" t="s">
        <v>426</v>
      </c>
      <c r="M1500" s="171"/>
      <c r="N1500" s="171"/>
      <c r="O1500" s="171"/>
      <c r="P1500" s="170"/>
    </row>
    <row r="1501" spans="1:16" x14ac:dyDescent="0.25">
      <c r="A1501" s="168"/>
      <c r="B1501" s="177">
        <v>102319075</v>
      </c>
      <c r="C1501" s="178">
        <v>41192086</v>
      </c>
      <c r="D1501" s="179" t="s">
        <v>5426</v>
      </c>
      <c r="E1501" s="180" t="s">
        <v>3712</v>
      </c>
      <c r="F1501" s="181" t="s">
        <v>379</v>
      </c>
      <c r="G1501" s="170"/>
      <c r="H1501" s="170"/>
      <c r="I1501" s="170"/>
      <c r="J1501" s="171"/>
      <c r="K1501" s="171"/>
      <c r="L1501" s="168" t="s">
        <v>425</v>
      </c>
      <c r="M1501" s="171"/>
      <c r="N1501" s="171"/>
      <c r="O1501" s="171"/>
      <c r="P1501" s="170"/>
    </row>
    <row r="1502" spans="1:16" x14ac:dyDescent="0.25">
      <c r="A1502" s="168"/>
      <c r="B1502" s="177">
        <v>102318862</v>
      </c>
      <c r="C1502" s="178">
        <v>71414617</v>
      </c>
      <c r="D1502" s="179" t="s">
        <v>5202</v>
      </c>
      <c r="E1502" s="180" t="s">
        <v>3315</v>
      </c>
      <c r="F1502" s="181" t="s">
        <v>381</v>
      </c>
      <c r="G1502" s="170"/>
      <c r="H1502" s="170"/>
      <c r="I1502" s="170"/>
      <c r="J1502" s="171"/>
      <c r="K1502" s="171"/>
      <c r="L1502" s="168" t="s">
        <v>419</v>
      </c>
      <c r="M1502" s="171"/>
      <c r="N1502" s="171"/>
      <c r="O1502" s="171"/>
      <c r="P1502" s="170"/>
    </row>
    <row r="1503" spans="1:16" x14ac:dyDescent="0.25">
      <c r="A1503" s="168"/>
      <c r="B1503" s="177">
        <v>102318929</v>
      </c>
      <c r="C1503" s="178">
        <v>75107827</v>
      </c>
      <c r="D1503" s="179" t="s">
        <v>5274</v>
      </c>
      <c r="E1503" s="180" t="s">
        <v>3436</v>
      </c>
      <c r="F1503" s="181" t="s">
        <v>381</v>
      </c>
      <c r="G1503" s="170"/>
      <c r="H1503" s="170"/>
      <c r="I1503" s="170"/>
      <c r="J1503" s="171"/>
      <c r="K1503" s="171"/>
      <c r="L1503" s="168" t="s">
        <v>421</v>
      </c>
      <c r="M1503" s="171"/>
      <c r="N1503" s="171"/>
      <c r="O1503" s="171"/>
      <c r="P1503" s="170"/>
    </row>
    <row r="1504" spans="1:16" x14ac:dyDescent="0.25">
      <c r="A1504" s="168"/>
      <c r="B1504" s="177">
        <v>102318930</v>
      </c>
      <c r="C1504" s="178">
        <v>78821648</v>
      </c>
      <c r="D1504" s="179" t="s">
        <v>5275</v>
      </c>
      <c r="E1504" s="180" t="s">
        <v>3438</v>
      </c>
      <c r="F1504" s="181" t="s">
        <v>381</v>
      </c>
      <c r="G1504" s="170"/>
      <c r="H1504" s="170"/>
      <c r="I1504" s="170"/>
      <c r="J1504" s="171"/>
      <c r="K1504" s="171"/>
      <c r="L1504" s="168" t="s">
        <v>421</v>
      </c>
      <c r="M1504" s="171"/>
      <c r="N1504" s="171"/>
      <c r="O1504" s="171"/>
      <c r="P1504" s="170"/>
    </row>
    <row r="1505" spans="1:16" x14ac:dyDescent="0.25">
      <c r="A1505" s="168"/>
      <c r="B1505" s="177">
        <v>102319038</v>
      </c>
      <c r="C1505" s="178">
        <v>85065917</v>
      </c>
      <c r="D1505" s="179" t="s">
        <v>5388</v>
      </c>
      <c r="E1505" s="180" t="s">
        <v>3642</v>
      </c>
      <c r="F1505" s="181" t="s">
        <v>379</v>
      </c>
      <c r="G1505" s="170"/>
      <c r="H1505" s="170"/>
      <c r="I1505" s="170"/>
      <c r="J1505" s="171"/>
      <c r="K1505" s="171"/>
      <c r="L1505" s="168" t="s">
        <v>424</v>
      </c>
      <c r="M1505" s="171"/>
      <c r="N1505" s="171"/>
      <c r="O1505" s="171"/>
      <c r="P1505" s="170"/>
    </row>
    <row r="1506" spans="1:16" x14ac:dyDescent="0.25">
      <c r="A1506" s="168"/>
      <c r="B1506" s="177">
        <v>102319076</v>
      </c>
      <c r="C1506" s="178">
        <v>84184222</v>
      </c>
      <c r="D1506" s="179" t="s">
        <v>5427</v>
      </c>
      <c r="E1506" s="180" t="s">
        <v>3714</v>
      </c>
      <c r="F1506" s="181" t="s">
        <v>379</v>
      </c>
      <c r="G1506" s="170"/>
      <c r="H1506" s="170"/>
      <c r="I1506" s="170"/>
      <c r="J1506" s="171"/>
      <c r="K1506" s="171"/>
      <c r="L1506" s="168" t="s">
        <v>425</v>
      </c>
      <c r="M1506" s="171"/>
      <c r="N1506" s="171"/>
      <c r="O1506" s="171"/>
      <c r="P1506" s="170"/>
    </row>
    <row r="1507" spans="1:16" x14ac:dyDescent="0.25">
      <c r="A1507" s="168"/>
      <c r="B1507" s="177">
        <v>102318967</v>
      </c>
      <c r="C1507" s="178">
        <v>85990745</v>
      </c>
      <c r="D1507" s="179" t="s">
        <v>5314</v>
      </c>
      <c r="E1507" s="180" t="s">
        <v>3509</v>
      </c>
      <c r="F1507" s="181" t="s">
        <v>379</v>
      </c>
      <c r="G1507" s="170"/>
      <c r="H1507" s="170"/>
      <c r="I1507" s="170"/>
      <c r="J1507" s="171"/>
      <c r="K1507" s="171"/>
      <c r="L1507" s="168" t="s">
        <v>422</v>
      </c>
      <c r="M1507" s="171"/>
      <c r="N1507" s="171"/>
      <c r="O1507" s="171"/>
      <c r="P1507" s="170"/>
    </row>
    <row r="1508" spans="1:16" x14ac:dyDescent="0.25">
      <c r="A1508" s="168"/>
      <c r="B1508" s="177">
        <v>102318968</v>
      </c>
      <c r="C1508" s="178">
        <v>79975268</v>
      </c>
      <c r="D1508" s="179" t="s">
        <v>5315</v>
      </c>
      <c r="E1508" s="180" t="s">
        <v>3511</v>
      </c>
      <c r="F1508" s="181" t="s">
        <v>379</v>
      </c>
      <c r="G1508" s="170"/>
      <c r="H1508" s="170"/>
      <c r="I1508" s="170"/>
      <c r="J1508" s="171"/>
      <c r="K1508" s="171"/>
      <c r="L1508" s="168" t="s">
        <v>422</v>
      </c>
      <c r="M1508" s="171"/>
      <c r="N1508" s="171"/>
      <c r="O1508" s="171"/>
      <c r="P1508" s="170"/>
    </row>
    <row r="1509" spans="1:16" x14ac:dyDescent="0.25">
      <c r="A1509" s="168"/>
      <c r="B1509" s="177">
        <v>102318931</v>
      </c>
      <c r="C1509" s="178">
        <v>82066322</v>
      </c>
      <c r="D1509" s="179" t="s">
        <v>5276</v>
      </c>
      <c r="E1509" s="180" t="s">
        <v>3440</v>
      </c>
      <c r="F1509" s="181" t="s">
        <v>381</v>
      </c>
      <c r="G1509" s="170"/>
      <c r="H1509" s="170"/>
      <c r="I1509" s="170"/>
      <c r="J1509" s="171"/>
      <c r="K1509" s="171"/>
      <c r="L1509" s="168" t="s">
        <v>421</v>
      </c>
      <c r="M1509" s="171"/>
      <c r="N1509" s="171"/>
      <c r="O1509" s="171"/>
      <c r="P1509" s="170"/>
    </row>
    <row r="1510" spans="1:16" x14ac:dyDescent="0.25">
      <c r="A1510" s="168"/>
      <c r="B1510" s="177">
        <v>102319039</v>
      </c>
      <c r="C1510" s="178">
        <v>73616122</v>
      </c>
      <c r="D1510" s="179" t="s">
        <v>5389</v>
      </c>
      <c r="E1510" s="180" t="s">
        <v>3644</v>
      </c>
      <c r="F1510" s="181" t="s">
        <v>379</v>
      </c>
      <c r="G1510" s="170"/>
      <c r="H1510" s="170"/>
      <c r="I1510" s="170"/>
      <c r="J1510" s="171"/>
      <c r="K1510" s="171"/>
      <c r="L1510" s="168" t="s">
        <v>424</v>
      </c>
      <c r="M1510" s="171"/>
      <c r="N1510" s="171"/>
      <c r="O1510" s="171"/>
      <c r="P1510" s="170"/>
    </row>
    <row r="1511" spans="1:16" x14ac:dyDescent="0.25">
      <c r="A1511" s="168"/>
      <c r="B1511" s="177">
        <v>102318790</v>
      </c>
      <c r="C1511" s="178">
        <v>75257725</v>
      </c>
      <c r="D1511" s="179" t="s">
        <v>5126</v>
      </c>
      <c r="E1511" s="180" t="s">
        <v>3176</v>
      </c>
      <c r="F1511" s="181" t="s">
        <v>379</v>
      </c>
      <c r="G1511" s="170"/>
      <c r="H1511" s="170"/>
      <c r="I1511" s="170"/>
      <c r="J1511" s="171"/>
      <c r="K1511" s="171"/>
      <c r="L1511" s="168" t="s">
        <v>416</v>
      </c>
      <c r="M1511" s="171"/>
      <c r="N1511" s="171"/>
      <c r="O1511" s="171"/>
      <c r="P1511" s="170"/>
    </row>
    <row r="1512" spans="1:16" x14ac:dyDescent="0.25">
      <c r="A1512" s="168"/>
      <c r="B1512" s="177">
        <v>102318791</v>
      </c>
      <c r="C1512" s="178">
        <v>81320475</v>
      </c>
      <c r="D1512" s="179" t="s">
        <v>5127</v>
      </c>
      <c r="E1512" s="180" t="s">
        <v>3178</v>
      </c>
      <c r="F1512" s="181" t="s">
        <v>381</v>
      </c>
      <c r="G1512" s="170"/>
      <c r="H1512" s="170"/>
      <c r="I1512" s="170"/>
      <c r="J1512" s="171"/>
      <c r="K1512" s="171"/>
      <c r="L1512" s="168" t="s">
        <v>416</v>
      </c>
      <c r="M1512" s="171"/>
      <c r="N1512" s="171"/>
      <c r="O1512" s="171"/>
      <c r="P1512" s="170"/>
    </row>
    <row r="1513" spans="1:16" x14ac:dyDescent="0.25">
      <c r="A1513" s="168"/>
      <c r="B1513" s="177">
        <v>102318792</v>
      </c>
      <c r="C1513" s="178">
        <v>81715088</v>
      </c>
      <c r="D1513" s="179" t="s">
        <v>5128</v>
      </c>
      <c r="E1513" s="180" t="s">
        <v>3180</v>
      </c>
      <c r="F1513" s="181" t="s">
        <v>381</v>
      </c>
      <c r="G1513" s="170"/>
      <c r="H1513" s="170"/>
      <c r="I1513" s="170"/>
      <c r="J1513" s="171"/>
      <c r="K1513" s="171"/>
      <c r="L1513" s="168" t="s">
        <v>416</v>
      </c>
      <c r="M1513" s="171"/>
      <c r="N1513" s="171"/>
      <c r="O1513" s="171"/>
      <c r="P1513" s="170"/>
    </row>
    <row r="1514" spans="1:16" x14ac:dyDescent="0.25">
      <c r="A1514" s="168"/>
      <c r="B1514" s="177">
        <v>102318823</v>
      </c>
      <c r="C1514" s="178">
        <v>84947055</v>
      </c>
      <c r="D1514" s="179" t="s">
        <v>5161</v>
      </c>
      <c r="E1514" s="180" t="s">
        <v>3242</v>
      </c>
      <c r="F1514" s="181" t="s">
        <v>381</v>
      </c>
      <c r="G1514" s="170"/>
      <c r="H1514" s="170"/>
      <c r="I1514" s="170"/>
      <c r="J1514" s="171"/>
      <c r="K1514" s="171"/>
      <c r="L1514" s="168" t="s">
        <v>417</v>
      </c>
      <c r="M1514" s="171"/>
      <c r="N1514" s="171"/>
      <c r="O1514" s="171"/>
      <c r="P1514" s="170"/>
    </row>
    <row r="1515" spans="1:16" x14ac:dyDescent="0.25">
      <c r="A1515" s="168"/>
      <c r="B1515" s="177">
        <v>102318969</v>
      </c>
      <c r="C1515" s="178">
        <v>72889132</v>
      </c>
      <c r="D1515" s="179" t="s">
        <v>5316</v>
      </c>
      <c r="E1515" s="180" t="s">
        <v>3513</v>
      </c>
      <c r="F1515" s="181" t="s">
        <v>379</v>
      </c>
      <c r="G1515" s="170"/>
      <c r="H1515" s="170"/>
      <c r="I1515" s="170"/>
      <c r="J1515" s="171"/>
      <c r="K1515" s="171"/>
      <c r="L1515" s="168" t="s">
        <v>422</v>
      </c>
      <c r="M1515" s="171"/>
      <c r="N1515" s="171"/>
      <c r="O1515" s="171"/>
      <c r="P1515" s="170"/>
    </row>
    <row r="1516" spans="1:16" x14ac:dyDescent="0.25">
      <c r="A1516" s="168"/>
      <c r="B1516" s="177">
        <v>102318898</v>
      </c>
      <c r="C1516" s="178">
        <v>86523589</v>
      </c>
      <c r="D1516" s="179" t="s">
        <v>5241</v>
      </c>
      <c r="E1516" s="180" t="s">
        <v>3380</v>
      </c>
      <c r="F1516" s="181" t="s">
        <v>381</v>
      </c>
      <c r="G1516" s="170"/>
      <c r="H1516" s="170"/>
      <c r="I1516" s="170"/>
      <c r="J1516" s="171"/>
      <c r="K1516" s="171"/>
      <c r="L1516" s="168" t="s">
        <v>420</v>
      </c>
      <c r="M1516" s="171"/>
      <c r="N1516" s="171"/>
      <c r="O1516" s="171"/>
      <c r="P1516" s="170"/>
    </row>
    <row r="1517" spans="1:16" x14ac:dyDescent="0.25">
      <c r="A1517" s="168"/>
      <c r="B1517" s="177">
        <v>102318824</v>
      </c>
      <c r="C1517" s="178">
        <v>72225646</v>
      </c>
      <c r="D1517" s="179" t="s">
        <v>5162</v>
      </c>
      <c r="E1517" s="180" t="s">
        <v>3244</v>
      </c>
      <c r="F1517" s="181" t="s">
        <v>381</v>
      </c>
      <c r="G1517" s="170"/>
      <c r="H1517" s="170"/>
      <c r="I1517" s="170"/>
      <c r="J1517" s="171"/>
      <c r="K1517" s="171"/>
      <c r="L1517" s="168" t="s">
        <v>417</v>
      </c>
      <c r="M1517" s="171"/>
      <c r="N1517" s="171"/>
      <c r="O1517" s="171"/>
      <c r="P1517" s="170"/>
    </row>
    <row r="1518" spans="1:16" x14ac:dyDescent="0.25">
      <c r="A1518" s="168"/>
      <c r="B1518" s="177">
        <v>102318753</v>
      </c>
      <c r="C1518" s="178">
        <v>88168979</v>
      </c>
      <c r="D1518" s="179" t="s">
        <v>5086</v>
      </c>
      <c r="E1518" s="180" t="s">
        <v>3108</v>
      </c>
      <c r="F1518" s="181" t="s">
        <v>381</v>
      </c>
      <c r="G1518" s="170"/>
      <c r="H1518" s="170"/>
      <c r="I1518" s="170"/>
      <c r="J1518" s="171"/>
      <c r="K1518" s="171"/>
      <c r="L1518" s="168" t="s">
        <v>404</v>
      </c>
      <c r="M1518" s="171"/>
      <c r="N1518" s="171"/>
      <c r="O1518" s="171"/>
      <c r="P1518" s="170"/>
    </row>
    <row r="1519" spans="1:16" x14ac:dyDescent="0.25">
      <c r="A1519" s="168"/>
      <c r="B1519" s="177">
        <v>102318754</v>
      </c>
      <c r="C1519" s="178">
        <v>75463246</v>
      </c>
      <c r="D1519" s="179" t="s">
        <v>5087</v>
      </c>
      <c r="E1519" s="180" t="s">
        <v>3110</v>
      </c>
      <c r="F1519" s="181" t="s">
        <v>381</v>
      </c>
      <c r="G1519" s="170"/>
      <c r="H1519" s="170"/>
      <c r="I1519" s="170"/>
      <c r="J1519" s="171"/>
      <c r="K1519" s="171"/>
      <c r="L1519" s="168" t="s">
        <v>404</v>
      </c>
      <c r="M1519" s="171"/>
      <c r="N1519" s="171"/>
      <c r="O1519" s="171"/>
      <c r="P1519" s="170"/>
    </row>
    <row r="1520" spans="1:16" x14ac:dyDescent="0.25">
      <c r="A1520" s="168"/>
      <c r="B1520" s="177">
        <v>102318755</v>
      </c>
      <c r="C1520" s="178">
        <v>71783553</v>
      </c>
      <c r="D1520" s="179" t="s">
        <v>5088</v>
      </c>
      <c r="E1520" s="180" t="s">
        <v>3112</v>
      </c>
      <c r="F1520" s="181" t="s">
        <v>381</v>
      </c>
      <c r="G1520" s="170"/>
      <c r="H1520" s="170"/>
      <c r="I1520" s="170"/>
      <c r="J1520" s="171"/>
      <c r="K1520" s="171"/>
      <c r="L1520" s="168" t="s">
        <v>404</v>
      </c>
      <c r="M1520" s="171"/>
      <c r="N1520" s="171"/>
      <c r="O1520" s="171"/>
      <c r="P1520" s="170"/>
    </row>
    <row r="1521" spans="1:16" x14ac:dyDescent="0.25">
      <c r="A1521" s="168"/>
      <c r="B1521" s="177">
        <v>102318970</v>
      </c>
      <c r="C1521" s="178">
        <v>79226269</v>
      </c>
      <c r="D1521" s="179" t="s">
        <v>5317</v>
      </c>
      <c r="E1521" s="180" t="s">
        <v>3515</v>
      </c>
      <c r="F1521" s="181" t="s">
        <v>381</v>
      </c>
      <c r="G1521" s="170"/>
      <c r="H1521" s="170"/>
      <c r="I1521" s="170"/>
      <c r="J1521" s="171"/>
      <c r="K1521" s="171"/>
      <c r="L1521" s="168" t="s">
        <v>422</v>
      </c>
      <c r="M1521" s="171"/>
      <c r="N1521" s="171"/>
      <c r="O1521" s="171"/>
      <c r="P1521" s="170"/>
    </row>
    <row r="1522" spans="1:16" x14ac:dyDescent="0.25">
      <c r="A1522" s="168"/>
      <c r="B1522" s="177">
        <v>102319040</v>
      </c>
      <c r="C1522" s="178">
        <v>79453942</v>
      </c>
      <c r="D1522" s="179" t="s">
        <v>5390</v>
      </c>
      <c r="E1522" s="180" t="s">
        <v>3646</v>
      </c>
      <c r="F1522" s="181" t="s">
        <v>379</v>
      </c>
      <c r="G1522" s="170"/>
      <c r="H1522" s="170"/>
      <c r="I1522" s="170"/>
      <c r="J1522" s="171"/>
      <c r="K1522" s="171"/>
      <c r="L1522" s="168" t="s">
        <v>424</v>
      </c>
      <c r="M1522" s="171"/>
      <c r="N1522" s="171"/>
      <c r="O1522" s="171"/>
      <c r="P1522" s="170"/>
    </row>
    <row r="1523" spans="1:16" x14ac:dyDescent="0.25">
      <c r="A1523" s="168"/>
      <c r="B1523" s="177">
        <v>102318825</v>
      </c>
      <c r="C1523" s="178">
        <v>82349698</v>
      </c>
      <c r="D1523" s="179" t="s">
        <v>5163</v>
      </c>
      <c r="E1523" s="180" t="s">
        <v>3246</v>
      </c>
      <c r="F1523" s="181" t="s">
        <v>381</v>
      </c>
      <c r="G1523" s="170"/>
      <c r="H1523" s="170"/>
      <c r="I1523" s="170"/>
      <c r="J1523" s="171"/>
      <c r="K1523" s="171"/>
      <c r="L1523" s="168" t="s">
        <v>417</v>
      </c>
      <c r="M1523" s="171"/>
      <c r="N1523" s="171"/>
      <c r="O1523" s="171"/>
      <c r="P1523" s="170"/>
    </row>
    <row r="1524" spans="1:16" x14ac:dyDescent="0.25">
      <c r="A1524" s="168"/>
      <c r="B1524" s="177">
        <v>102319110</v>
      </c>
      <c r="C1524" s="178">
        <v>85722366</v>
      </c>
      <c r="D1524" s="179" t="s">
        <v>5462</v>
      </c>
      <c r="E1524" s="180" t="s">
        <v>3779</v>
      </c>
      <c r="F1524" s="181" t="s">
        <v>381</v>
      </c>
      <c r="G1524" s="170"/>
      <c r="H1524" s="170"/>
      <c r="I1524" s="170"/>
      <c r="J1524" s="171"/>
      <c r="K1524" s="171"/>
      <c r="L1524" s="168" t="s">
        <v>426</v>
      </c>
      <c r="M1524" s="171"/>
      <c r="N1524" s="171"/>
      <c r="O1524" s="171"/>
      <c r="P1524" s="170"/>
    </row>
    <row r="1525" spans="1:16" x14ac:dyDescent="0.25">
      <c r="A1525" s="168"/>
      <c r="B1525" s="177">
        <v>102318793</v>
      </c>
      <c r="C1525" s="178">
        <v>71667824</v>
      </c>
      <c r="D1525" s="179" t="s">
        <v>5129</v>
      </c>
      <c r="E1525" s="180" t="s">
        <v>3182</v>
      </c>
      <c r="F1525" s="181" t="s">
        <v>381</v>
      </c>
      <c r="G1525" s="170"/>
      <c r="H1525" s="170"/>
      <c r="I1525" s="170"/>
      <c r="J1525" s="171"/>
      <c r="K1525" s="171"/>
      <c r="L1525" s="168" t="s">
        <v>416</v>
      </c>
      <c r="M1525" s="171"/>
      <c r="N1525" s="171"/>
      <c r="O1525" s="171"/>
      <c r="P1525" s="170"/>
    </row>
    <row r="1526" spans="1:16" x14ac:dyDescent="0.25">
      <c r="A1526" s="168"/>
      <c r="B1526" s="177">
        <v>102318863</v>
      </c>
      <c r="C1526" s="178">
        <v>81041092</v>
      </c>
      <c r="D1526" s="179" t="s">
        <v>5203</v>
      </c>
      <c r="E1526" s="180" t="s">
        <v>3317</v>
      </c>
      <c r="F1526" s="181" t="s">
        <v>381</v>
      </c>
      <c r="G1526" s="170"/>
      <c r="H1526" s="170"/>
      <c r="I1526" s="170"/>
      <c r="J1526" s="171"/>
      <c r="K1526" s="171"/>
      <c r="L1526" s="168" t="s">
        <v>419</v>
      </c>
      <c r="M1526" s="171"/>
      <c r="N1526" s="171"/>
      <c r="O1526" s="171"/>
      <c r="P1526" s="170"/>
    </row>
    <row r="1527" spans="1:16" x14ac:dyDescent="0.25">
      <c r="A1527" s="168"/>
      <c r="B1527" s="177">
        <v>102319111</v>
      </c>
      <c r="C1527" s="178">
        <v>71072346</v>
      </c>
      <c r="D1527" s="179" t="s">
        <v>5463</v>
      </c>
      <c r="E1527" s="180" t="s">
        <v>3780</v>
      </c>
      <c r="F1527" s="181" t="s">
        <v>379</v>
      </c>
      <c r="G1527" s="170"/>
      <c r="H1527" s="170"/>
      <c r="I1527" s="170"/>
      <c r="J1527" s="171"/>
      <c r="K1527" s="171"/>
      <c r="L1527" s="168" t="s">
        <v>426</v>
      </c>
      <c r="M1527" s="171"/>
      <c r="N1527" s="171"/>
      <c r="O1527" s="171"/>
      <c r="P1527" s="170"/>
    </row>
    <row r="1528" spans="1:16" x14ac:dyDescent="0.25">
      <c r="A1528" s="168"/>
      <c r="B1528" s="177">
        <v>102318756</v>
      </c>
      <c r="C1528" s="178">
        <v>82007607</v>
      </c>
      <c r="D1528" s="179" t="s">
        <v>5089</v>
      </c>
      <c r="E1528" s="180" t="s">
        <v>3114</v>
      </c>
      <c r="F1528" s="181" t="s">
        <v>381</v>
      </c>
      <c r="G1528" s="170"/>
      <c r="H1528" s="170"/>
      <c r="I1528" s="170"/>
      <c r="J1528" s="171"/>
      <c r="K1528" s="171"/>
      <c r="L1528" s="168" t="s">
        <v>404</v>
      </c>
      <c r="M1528" s="171"/>
      <c r="N1528" s="171"/>
      <c r="O1528" s="171"/>
      <c r="P1528" s="170"/>
    </row>
    <row r="1529" spans="1:16" x14ac:dyDescent="0.25">
      <c r="A1529" s="168"/>
      <c r="B1529" s="177">
        <v>102318826</v>
      </c>
      <c r="C1529" s="178">
        <v>75071757</v>
      </c>
      <c r="D1529" s="179" t="s">
        <v>5164</v>
      </c>
      <c r="E1529" s="180" t="s">
        <v>3248</v>
      </c>
      <c r="F1529" s="181" t="s">
        <v>381</v>
      </c>
      <c r="G1529" s="170"/>
      <c r="H1529" s="170"/>
      <c r="I1529" s="170"/>
      <c r="J1529" s="171"/>
      <c r="K1529" s="171"/>
      <c r="L1529" s="168" t="s">
        <v>417</v>
      </c>
      <c r="M1529" s="171"/>
      <c r="N1529" s="171"/>
      <c r="O1529" s="171"/>
      <c r="P1529" s="170"/>
    </row>
    <row r="1530" spans="1:16" x14ac:dyDescent="0.25">
      <c r="A1530" s="168"/>
      <c r="B1530" s="177">
        <v>102319001</v>
      </c>
      <c r="C1530" s="178">
        <v>86107477</v>
      </c>
      <c r="D1530" s="179" t="s">
        <v>5348</v>
      </c>
      <c r="E1530" s="180" t="s">
        <v>3575</v>
      </c>
      <c r="F1530" s="181" t="s">
        <v>381</v>
      </c>
      <c r="G1530" s="170"/>
      <c r="H1530" s="170"/>
      <c r="I1530" s="170"/>
      <c r="J1530" s="171"/>
      <c r="K1530" s="171"/>
      <c r="L1530" s="168" t="s">
        <v>423</v>
      </c>
      <c r="M1530" s="171"/>
      <c r="N1530" s="171"/>
      <c r="O1530" s="171"/>
      <c r="P1530" s="170"/>
    </row>
    <row r="1531" spans="1:16" x14ac:dyDescent="0.25">
      <c r="A1531" s="168"/>
      <c r="B1531" s="177">
        <v>102318971</v>
      </c>
      <c r="C1531" s="178">
        <v>72223405</v>
      </c>
      <c r="D1531" s="179" t="s">
        <v>5318</v>
      </c>
      <c r="E1531" s="180" t="s">
        <v>3517</v>
      </c>
      <c r="F1531" s="181" t="s">
        <v>381</v>
      </c>
      <c r="G1531" s="170"/>
      <c r="H1531" s="170"/>
      <c r="I1531" s="170"/>
      <c r="J1531" s="171"/>
      <c r="K1531" s="171"/>
      <c r="L1531" s="168" t="s">
        <v>422</v>
      </c>
      <c r="M1531" s="171"/>
      <c r="N1531" s="171"/>
      <c r="O1531" s="171"/>
      <c r="P1531" s="170"/>
    </row>
    <row r="1532" spans="1:16" x14ac:dyDescent="0.25">
      <c r="A1532" s="168"/>
      <c r="B1532" s="177">
        <v>102318864</v>
      </c>
      <c r="C1532" s="178">
        <v>72947211</v>
      </c>
      <c r="D1532" s="179" t="s">
        <v>5204</v>
      </c>
      <c r="E1532" s="180" t="s">
        <v>3319</v>
      </c>
      <c r="F1532" s="181" t="s">
        <v>381</v>
      </c>
      <c r="G1532" s="170"/>
      <c r="H1532" s="170"/>
      <c r="I1532" s="170"/>
      <c r="J1532" s="171"/>
      <c r="K1532" s="171"/>
      <c r="L1532" s="168" t="s">
        <v>419</v>
      </c>
      <c r="M1532" s="171"/>
      <c r="N1532" s="171"/>
      <c r="O1532" s="171"/>
      <c r="P1532" s="170"/>
    </row>
    <row r="1533" spans="1:16" x14ac:dyDescent="0.25">
      <c r="A1533" s="168"/>
      <c r="B1533" s="177">
        <v>102318827</v>
      </c>
      <c r="C1533" s="178">
        <v>88205829</v>
      </c>
      <c r="D1533" s="179" t="s">
        <v>5165</v>
      </c>
      <c r="E1533" s="180" t="s">
        <v>3250</v>
      </c>
      <c r="F1533" s="181" t="s">
        <v>381</v>
      </c>
      <c r="G1533" s="170"/>
      <c r="H1533" s="170"/>
      <c r="I1533" s="170"/>
      <c r="J1533" s="171"/>
      <c r="K1533" s="171"/>
      <c r="L1533" s="168" t="s">
        <v>417</v>
      </c>
      <c r="M1533" s="171"/>
      <c r="N1533" s="171"/>
      <c r="O1533" s="171"/>
      <c r="P1533" s="170"/>
    </row>
    <row r="1534" spans="1:16" x14ac:dyDescent="0.25">
      <c r="A1534" s="168"/>
      <c r="B1534" s="177">
        <v>102318757</v>
      </c>
      <c r="C1534" s="178">
        <v>87008346</v>
      </c>
      <c r="D1534" s="179" t="s">
        <v>5090</v>
      </c>
      <c r="E1534" s="180" t="s">
        <v>3116</v>
      </c>
      <c r="F1534" s="181" t="s">
        <v>381</v>
      </c>
      <c r="G1534" s="170"/>
      <c r="H1534" s="170"/>
      <c r="I1534" s="170"/>
      <c r="J1534" s="171"/>
      <c r="K1534" s="171"/>
      <c r="L1534" s="168" t="s">
        <v>404</v>
      </c>
      <c r="M1534" s="171"/>
      <c r="N1534" s="171"/>
      <c r="O1534" s="171"/>
      <c r="P1534" s="170"/>
    </row>
    <row r="1535" spans="1:16" x14ac:dyDescent="0.25">
      <c r="A1535" s="168"/>
      <c r="B1535" s="177">
        <v>102319112</v>
      </c>
      <c r="C1535" s="178">
        <v>78023199</v>
      </c>
      <c r="D1535" s="179" t="s">
        <v>5464</v>
      </c>
      <c r="E1535" s="180" t="s">
        <v>3782</v>
      </c>
      <c r="F1535" s="181" t="s">
        <v>381</v>
      </c>
      <c r="G1535" s="170"/>
      <c r="H1535" s="170"/>
      <c r="I1535" s="170"/>
      <c r="J1535" s="171"/>
      <c r="K1535" s="171"/>
      <c r="L1535" s="168" t="s">
        <v>426</v>
      </c>
      <c r="M1535" s="171"/>
      <c r="N1535" s="171"/>
      <c r="O1535" s="171"/>
      <c r="P1535" s="170"/>
    </row>
    <row r="1536" spans="1:16" x14ac:dyDescent="0.25">
      <c r="A1536" s="168"/>
      <c r="B1536" s="177">
        <v>102319113</v>
      </c>
      <c r="C1536" s="178">
        <v>77077836</v>
      </c>
      <c r="D1536" s="179" t="s">
        <v>5465</v>
      </c>
      <c r="E1536" s="180" t="s">
        <v>3784</v>
      </c>
      <c r="F1536" s="181" t="s">
        <v>379</v>
      </c>
      <c r="G1536" s="170"/>
      <c r="H1536" s="170"/>
      <c r="I1536" s="170"/>
      <c r="J1536" s="171"/>
      <c r="K1536" s="171"/>
      <c r="L1536" s="168" t="s">
        <v>426</v>
      </c>
      <c r="M1536" s="171"/>
      <c r="N1536" s="171"/>
      <c r="O1536" s="171"/>
      <c r="P1536" s="170"/>
    </row>
    <row r="1537" spans="1:16" x14ac:dyDescent="0.25">
      <c r="A1537" s="168"/>
      <c r="B1537" s="177">
        <v>102319114</v>
      </c>
      <c r="C1537" s="178">
        <v>75243125</v>
      </c>
      <c r="D1537" s="179" t="s">
        <v>5466</v>
      </c>
      <c r="E1537" s="180" t="s">
        <v>3786</v>
      </c>
      <c r="F1537" s="181" t="s">
        <v>379</v>
      </c>
      <c r="G1537" s="170"/>
      <c r="H1537" s="170"/>
      <c r="I1537" s="170"/>
      <c r="J1537" s="171"/>
      <c r="K1537" s="171"/>
      <c r="L1537" s="168" t="s">
        <v>426</v>
      </c>
      <c r="M1537" s="171"/>
      <c r="N1537" s="171"/>
      <c r="O1537" s="171"/>
      <c r="P1537" s="170"/>
    </row>
    <row r="1538" spans="1:16" x14ac:dyDescent="0.25">
      <c r="A1538" s="168"/>
      <c r="B1538" s="177">
        <v>102319077</v>
      </c>
      <c r="C1538" s="178">
        <v>82117383</v>
      </c>
      <c r="D1538" s="179" t="s">
        <v>5428</v>
      </c>
      <c r="E1538" s="180" t="s">
        <v>3716</v>
      </c>
      <c r="F1538" s="181" t="s">
        <v>379</v>
      </c>
      <c r="G1538" s="170"/>
      <c r="H1538" s="170"/>
      <c r="I1538" s="170"/>
      <c r="J1538" s="171"/>
      <c r="K1538" s="171"/>
      <c r="L1538" s="168" t="s">
        <v>425</v>
      </c>
      <c r="M1538" s="171"/>
      <c r="N1538" s="171"/>
      <c r="O1538" s="171"/>
      <c r="P1538" s="170"/>
    </row>
    <row r="1539" spans="1:16" x14ac:dyDescent="0.25">
      <c r="A1539" s="168"/>
      <c r="B1539" s="177">
        <v>102318758</v>
      </c>
      <c r="C1539" s="178">
        <v>82388418</v>
      </c>
      <c r="D1539" s="179" t="s">
        <v>5091</v>
      </c>
      <c r="E1539" s="180" t="s">
        <v>3118</v>
      </c>
      <c r="F1539" s="181" t="s">
        <v>381</v>
      </c>
      <c r="G1539" s="170"/>
      <c r="H1539" s="170"/>
      <c r="I1539" s="170"/>
      <c r="J1539" s="171"/>
      <c r="K1539" s="171"/>
      <c r="L1539" s="168" t="s">
        <v>404</v>
      </c>
      <c r="M1539" s="171"/>
      <c r="N1539" s="171"/>
      <c r="O1539" s="171"/>
      <c r="P1539" s="170"/>
    </row>
    <row r="1540" spans="1:16" x14ac:dyDescent="0.25">
      <c r="A1540" s="168"/>
      <c r="B1540" s="177">
        <v>102318865</v>
      </c>
      <c r="C1540" s="178">
        <v>88026581</v>
      </c>
      <c r="D1540" s="179" t="s">
        <v>5205</v>
      </c>
      <c r="E1540" s="180" t="s">
        <v>3321</v>
      </c>
      <c r="F1540" s="181" t="s">
        <v>381</v>
      </c>
      <c r="G1540" s="170"/>
      <c r="H1540" s="170"/>
      <c r="I1540" s="170"/>
      <c r="J1540" s="171"/>
      <c r="K1540" s="171"/>
      <c r="L1540" s="168" t="s">
        <v>419</v>
      </c>
      <c r="M1540" s="171"/>
      <c r="N1540" s="171"/>
      <c r="O1540" s="171"/>
      <c r="P1540" s="170"/>
    </row>
    <row r="1541" spans="1:16" x14ac:dyDescent="0.25">
      <c r="A1541" s="168"/>
      <c r="B1541" s="177">
        <v>102319115</v>
      </c>
      <c r="C1541" s="178">
        <v>77184290</v>
      </c>
      <c r="D1541" s="179" t="s">
        <v>5467</v>
      </c>
      <c r="E1541" s="180" t="s">
        <v>3788</v>
      </c>
      <c r="F1541" s="181" t="s">
        <v>379</v>
      </c>
      <c r="G1541" s="170"/>
      <c r="H1541" s="170"/>
      <c r="I1541" s="170"/>
      <c r="J1541" s="171"/>
      <c r="K1541" s="171"/>
      <c r="L1541" s="168" t="s">
        <v>426</v>
      </c>
      <c r="M1541" s="171"/>
      <c r="N1541" s="171"/>
      <c r="O1541" s="171"/>
      <c r="P1541" s="170"/>
    </row>
    <row r="1542" spans="1:16" x14ac:dyDescent="0.25">
      <c r="A1542" s="168"/>
      <c r="B1542" s="177">
        <v>102319002</v>
      </c>
      <c r="C1542" s="178">
        <v>79066763</v>
      </c>
      <c r="D1542" s="179" t="s">
        <v>5349</v>
      </c>
      <c r="E1542" s="180" t="s">
        <v>3577</v>
      </c>
      <c r="F1542" s="181" t="s">
        <v>381</v>
      </c>
      <c r="G1542" s="170"/>
      <c r="H1542" s="170"/>
      <c r="I1542" s="170"/>
      <c r="J1542" s="171"/>
      <c r="K1542" s="171"/>
      <c r="L1542" s="168" t="s">
        <v>423</v>
      </c>
      <c r="M1542" s="171"/>
      <c r="N1542" s="171"/>
      <c r="O1542" s="171"/>
      <c r="P1542" s="170"/>
    </row>
    <row r="1543" spans="1:16" x14ac:dyDescent="0.25">
      <c r="A1543" s="168"/>
      <c r="B1543" s="177">
        <v>102319116</v>
      </c>
      <c r="C1543" s="178">
        <v>83056153</v>
      </c>
      <c r="D1543" s="179" t="s">
        <v>5468</v>
      </c>
      <c r="E1543" s="180" t="s">
        <v>3790</v>
      </c>
      <c r="F1543" s="181" t="s">
        <v>379</v>
      </c>
      <c r="G1543" s="170"/>
      <c r="H1543" s="170"/>
      <c r="I1543" s="170"/>
      <c r="J1543" s="171"/>
      <c r="K1543" s="171"/>
      <c r="L1543" s="168" t="s">
        <v>426</v>
      </c>
      <c r="M1543" s="171"/>
      <c r="N1543" s="171"/>
      <c r="O1543" s="171"/>
      <c r="P1543" s="170"/>
    </row>
    <row r="1544" spans="1:16" x14ac:dyDescent="0.25">
      <c r="A1544" s="168"/>
      <c r="B1544" s="177">
        <v>102318866</v>
      </c>
      <c r="C1544" s="178">
        <v>86374712</v>
      </c>
      <c r="D1544" s="179" t="s">
        <v>5206</v>
      </c>
      <c r="E1544" s="180" t="s">
        <v>3323</v>
      </c>
      <c r="F1544" s="181" t="s">
        <v>381</v>
      </c>
      <c r="G1544" s="170"/>
      <c r="H1544" s="170"/>
      <c r="I1544" s="170"/>
      <c r="J1544" s="171"/>
      <c r="K1544" s="171"/>
      <c r="L1544" s="168" t="s">
        <v>419</v>
      </c>
      <c r="M1544" s="171"/>
      <c r="N1544" s="171"/>
      <c r="O1544" s="171"/>
      <c r="P1544" s="170"/>
    </row>
    <row r="1545" spans="1:16" x14ac:dyDescent="0.25">
      <c r="A1545" s="168"/>
      <c r="B1545" s="177">
        <v>102318972</v>
      </c>
      <c r="C1545" s="178">
        <v>84544230</v>
      </c>
      <c r="D1545" s="179" t="s">
        <v>5319</v>
      </c>
      <c r="E1545" s="180" t="s">
        <v>3519</v>
      </c>
      <c r="F1545" s="181" t="s">
        <v>381</v>
      </c>
      <c r="G1545" s="170"/>
      <c r="H1545" s="170"/>
      <c r="I1545" s="170"/>
      <c r="J1545" s="171"/>
      <c r="K1545" s="171"/>
      <c r="L1545" s="168" t="s">
        <v>422</v>
      </c>
      <c r="M1545" s="171"/>
      <c r="N1545" s="171"/>
      <c r="O1545" s="171"/>
      <c r="P1545" s="170"/>
    </row>
    <row r="1546" spans="1:16" x14ac:dyDescent="0.25">
      <c r="A1546" s="168"/>
      <c r="B1546" s="177">
        <v>102319003</v>
      </c>
      <c r="C1546" s="178">
        <v>3084332395</v>
      </c>
      <c r="D1546" s="179" t="s">
        <v>5350</v>
      </c>
      <c r="E1546" s="180" t="s">
        <v>3579</v>
      </c>
      <c r="F1546" s="181" t="s">
        <v>381</v>
      </c>
      <c r="G1546" s="170"/>
      <c r="H1546" s="170"/>
      <c r="I1546" s="170"/>
      <c r="J1546" s="171"/>
      <c r="K1546" s="171"/>
      <c r="L1546" s="168" t="s">
        <v>423</v>
      </c>
      <c r="M1546" s="171"/>
      <c r="N1546" s="171"/>
      <c r="O1546" s="171"/>
      <c r="P1546" s="170"/>
    </row>
    <row r="1547" spans="1:16" x14ac:dyDescent="0.25">
      <c r="A1547" s="168"/>
      <c r="B1547" s="177">
        <v>102318759</v>
      </c>
      <c r="C1547" s="178">
        <v>88620854</v>
      </c>
      <c r="D1547" s="179" t="s">
        <v>5092</v>
      </c>
      <c r="E1547" s="180" t="s">
        <v>3120</v>
      </c>
      <c r="F1547" s="181" t="s">
        <v>381</v>
      </c>
      <c r="G1547" s="170"/>
      <c r="H1547" s="170"/>
      <c r="I1547" s="170"/>
      <c r="J1547" s="171"/>
      <c r="K1547" s="171"/>
      <c r="L1547" s="168" t="s">
        <v>404</v>
      </c>
      <c r="M1547" s="171"/>
      <c r="N1547" s="171"/>
      <c r="O1547" s="171"/>
      <c r="P1547" s="170"/>
    </row>
    <row r="1548" spans="1:16" x14ac:dyDescent="0.25">
      <c r="A1548" s="168"/>
      <c r="B1548" s="177">
        <v>102318932</v>
      </c>
      <c r="C1548" s="178">
        <v>84863083</v>
      </c>
      <c r="D1548" s="179" t="s">
        <v>5277</v>
      </c>
      <c r="E1548" s="180" t="s">
        <v>3442</v>
      </c>
      <c r="F1548" s="181" t="s">
        <v>381</v>
      </c>
      <c r="G1548" s="170"/>
      <c r="H1548" s="170"/>
      <c r="I1548" s="170"/>
      <c r="J1548" s="171"/>
      <c r="K1548" s="171"/>
      <c r="L1548" s="168" t="s">
        <v>421</v>
      </c>
      <c r="M1548" s="171"/>
      <c r="N1548" s="171"/>
      <c r="O1548" s="171"/>
      <c r="P1548" s="170"/>
    </row>
    <row r="1549" spans="1:16" x14ac:dyDescent="0.25">
      <c r="A1549" s="168"/>
      <c r="B1549" s="177">
        <v>102318760</v>
      </c>
      <c r="C1549" s="178">
        <v>82811386</v>
      </c>
      <c r="D1549" s="179" t="s">
        <v>5093</v>
      </c>
      <c r="E1549" s="180" t="s">
        <v>3122</v>
      </c>
      <c r="F1549" s="181" t="s">
        <v>379</v>
      </c>
      <c r="G1549" s="170"/>
      <c r="H1549" s="170"/>
      <c r="I1549" s="170"/>
      <c r="J1549" s="171"/>
      <c r="K1549" s="171"/>
      <c r="L1549" s="168" t="s">
        <v>404</v>
      </c>
      <c r="M1549" s="171"/>
      <c r="N1549" s="171"/>
      <c r="O1549" s="171"/>
      <c r="P1549" s="170"/>
    </row>
    <row r="1550" spans="1:16" x14ac:dyDescent="0.25">
      <c r="A1550" s="168"/>
      <c r="B1550" s="177">
        <v>102319004</v>
      </c>
      <c r="C1550" s="178">
        <v>88938197</v>
      </c>
      <c r="D1550" s="179" t="s">
        <v>5351</v>
      </c>
      <c r="E1550" s="180" t="s">
        <v>3581</v>
      </c>
      <c r="F1550" s="181" t="s">
        <v>379</v>
      </c>
      <c r="G1550" s="170"/>
      <c r="H1550" s="170"/>
      <c r="I1550" s="170"/>
      <c r="J1550" s="171"/>
      <c r="K1550" s="171"/>
      <c r="L1550" s="168" t="s">
        <v>423</v>
      </c>
      <c r="M1550" s="171"/>
      <c r="N1550" s="171"/>
      <c r="O1550" s="171"/>
      <c r="P1550" s="170"/>
    </row>
    <row r="1551" spans="1:16" x14ac:dyDescent="0.25">
      <c r="A1551" s="168"/>
      <c r="B1551" s="177">
        <v>102318899</v>
      </c>
      <c r="C1551" s="178">
        <v>71278183</v>
      </c>
      <c r="D1551" s="179" t="s">
        <v>5242</v>
      </c>
      <c r="E1551" s="180" t="s">
        <v>3382</v>
      </c>
      <c r="F1551" s="181" t="s">
        <v>379</v>
      </c>
      <c r="G1551" s="170"/>
      <c r="H1551" s="170"/>
      <c r="I1551" s="170"/>
      <c r="J1551" s="171"/>
      <c r="K1551" s="171"/>
      <c r="L1551" s="168" t="s">
        <v>420</v>
      </c>
      <c r="M1551" s="171"/>
      <c r="N1551" s="171"/>
      <c r="O1551" s="171"/>
      <c r="P1551" s="170"/>
    </row>
    <row r="1552" spans="1:16" x14ac:dyDescent="0.25">
      <c r="A1552" s="168"/>
      <c r="B1552" s="177">
        <v>102319005</v>
      </c>
      <c r="C1552" s="178">
        <v>72069739</v>
      </c>
      <c r="D1552" s="179" t="s">
        <v>5352</v>
      </c>
      <c r="E1552" s="180" t="s">
        <v>3583</v>
      </c>
      <c r="F1552" s="181" t="s">
        <v>379</v>
      </c>
      <c r="G1552" s="170"/>
      <c r="H1552" s="170"/>
      <c r="I1552" s="170"/>
      <c r="J1552" s="171"/>
      <c r="K1552" s="171"/>
      <c r="L1552" s="168" t="s">
        <v>423</v>
      </c>
      <c r="M1552" s="171"/>
      <c r="N1552" s="171"/>
      <c r="O1552" s="171"/>
      <c r="P1552" s="170"/>
    </row>
    <row r="1553" spans="1:16" x14ac:dyDescent="0.25">
      <c r="A1553" s="168"/>
      <c r="B1553" s="177">
        <v>102319041</v>
      </c>
      <c r="C1553" s="178">
        <v>83575608</v>
      </c>
      <c r="D1553" s="179" t="s">
        <v>5391</v>
      </c>
      <c r="E1553" s="180" t="s">
        <v>3648</v>
      </c>
      <c r="F1553" s="181" t="s">
        <v>379</v>
      </c>
      <c r="G1553" s="170"/>
      <c r="H1553" s="170"/>
      <c r="I1553" s="170"/>
      <c r="J1553" s="171"/>
      <c r="K1553" s="171"/>
      <c r="L1553" s="168" t="s">
        <v>424</v>
      </c>
      <c r="M1553" s="171"/>
      <c r="N1553" s="171"/>
      <c r="O1553" s="171"/>
      <c r="P1553" s="170"/>
    </row>
    <row r="1554" spans="1:16" x14ac:dyDescent="0.25">
      <c r="A1554" s="168"/>
      <c r="B1554" s="177">
        <v>102318867</v>
      </c>
      <c r="C1554" s="178">
        <v>83443043</v>
      </c>
      <c r="D1554" s="179" t="s">
        <v>5207</v>
      </c>
      <c r="E1554" s="180" t="s">
        <v>3325</v>
      </c>
      <c r="F1554" s="181" t="s">
        <v>379</v>
      </c>
      <c r="G1554" s="170"/>
      <c r="H1554" s="170"/>
      <c r="I1554" s="170"/>
      <c r="J1554" s="171"/>
      <c r="K1554" s="171"/>
      <c r="L1554" s="168" t="s">
        <v>419</v>
      </c>
      <c r="M1554" s="171"/>
      <c r="N1554" s="171"/>
      <c r="O1554" s="171"/>
      <c r="P1554" s="170"/>
    </row>
    <row r="1555" spans="1:16" x14ac:dyDescent="0.25">
      <c r="A1555" s="168"/>
      <c r="B1555" s="177">
        <v>102318933</v>
      </c>
      <c r="C1555" s="178">
        <v>82151321</v>
      </c>
      <c r="D1555" s="179" t="s">
        <v>5278</v>
      </c>
      <c r="E1555" s="180" t="s">
        <v>3444</v>
      </c>
      <c r="F1555" s="181" t="s">
        <v>379</v>
      </c>
      <c r="G1555" s="170"/>
      <c r="H1555" s="170"/>
      <c r="I1555" s="170"/>
      <c r="J1555" s="171"/>
      <c r="K1555" s="171"/>
      <c r="L1555" s="168" t="s">
        <v>421</v>
      </c>
      <c r="M1555" s="171"/>
      <c r="N1555" s="171"/>
      <c r="O1555" s="171"/>
      <c r="P1555" s="170"/>
    </row>
    <row r="1556" spans="1:16" x14ac:dyDescent="0.25">
      <c r="A1556" s="168"/>
      <c r="B1556" s="177">
        <v>102318794</v>
      </c>
      <c r="C1556" s="178">
        <v>89247870</v>
      </c>
      <c r="D1556" s="179" t="s">
        <v>5130</v>
      </c>
      <c r="E1556" s="180" t="s">
        <v>3184</v>
      </c>
      <c r="F1556" s="181" t="s">
        <v>379</v>
      </c>
      <c r="G1556" s="170"/>
      <c r="H1556" s="170"/>
      <c r="I1556" s="170"/>
      <c r="J1556" s="171"/>
      <c r="K1556" s="171"/>
      <c r="L1556" s="168" t="s">
        <v>416</v>
      </c>
      <c r="M1556" s="171"/>
      <c r="N1556" s="171"/>
      <c r="O1556" s="171"/>
      <c r="P1556" s="170"/>
    </row>
    <row r="1557" spans="1:16" x14ac:dyDescent="0.25">
      <c r="A1557" s="168"/>
      <c r="B1557" s="177">
        <v>102318934</v>
      </c>
      <c r="C1557" s="178">
        <v>74698309</v>
      </c>
      <c r="D1557" s="179" t="s">
        <v>5279</v>
      </c>
      <c r="E1557" s="180" t="s">
        <v>3446</v>
      </c>
      <c r="F1557" s="181" t="s">
        <v>379</v>
      </c>
      <c r="G1557" s="170"/>
      <c r="H1557" s="170"/>
      <c r="I1557" s="170"/>
      <c r="J1557" s="171"/>
      <c r="K1557" s="171"/>
      <c r="L1557" s="168" t="s">
        <v>421</v>
      </c>
      <c r="M1557" s="171"/>
      <c r="N1557" s="171"/>
      <c r="O1557" s="171"/>
      <c r="P1557" s="170"/>
    </row>
    <row r="1558" spans="1:16" x14ac:dyDescent="0.25">
      <c r="A1558" s="168"/>
      <c r="B1558" s="177">
        <v>102319078</v>
      </c>
      <c r="C1558" s="178">
        <v>87193240</v>
      </c>
      <c r="D1558" s="179" t="s">
        <v>5429</v>
      </c>
      <c r="E1558" s="180" t="s">
        <v>3718</v>
      </c>
      <c r="F1558" s="181" t="s">
        <v>379</v>
      </c>
      <c r="G1558" s="170"/>
      <c r="H1558" s="170"/>
      <c r="I1558" s="170"/>
      <c r="J1558" s="171"/>
      <c r="K1558" s="171"/>
      <c r="L1558" s="168" t="s">
        <v>425</v>
      </c>
      <c r="M1558" s="171"/>
      <c r="N1558" s="171"/>
      <c r="O1558" s="171"/>
      <c r="P1558" s="170"/>
    </row>
    <row r="1559" spans="1:16" x14ac:dyDescent="0.25">
      <c r="A1559" s="168"/>
      <c r="B1559" s="177">
        <v>102318828</v>
      </c>
      <c r="C1559" s="178">
        <v>77692756</v>
      </c>
      <c r="D1559" s="179" t="s">
        <v>5166</v>
      </c>
      <c r="E1559" s="180" t="s">
        <v>3252</v>
      </c>
      <c r="F1559" s="181" t="s">
        <v>379</v>
      </c>
      <c r="G1559" s="170"/>
      <c r="H1559" s="170"/>
      <c r="I1559" s="170"/>
      <c r="J1559" s="171"/>
      <c r="K1559" s="171"/>
      <c r="L1559" s="168" t="s">
        <v>417</v>
      </c>
      <c r="M1559" s="171"/>
      <c r="N1559" s="171"/>
      <c r="O1559" s="171"/>
      <c r="P1559" s="170"/>
    </row>
    <row r="1560" spans="1:16" x14ac:dyDescent="0.25">
      <c r="A1560" s="168"/>
      <c r="B1560" s="177">
        <v>102318868</v>
      </c>
      <c r="C1560" s="178">
        <v>75022031</v>
      </c>
      <c r="D1560" s="179" t="s">
        <v>5208</v>
      </c>
      <c r="E1560" s="180" t="s">
        <v>3327</v>
      </c>
      <c r="F1560" s="181" t="s">
        <v>379</v>
      </c>
      <c r="G1560" s="170"/>
      <c r="H1560" s="170"/>
      <c r="I1560" s="170"/>
      <c r="J1560" s="171"/>
      <c r="K1560" s="171"/>
      <c r="L1560" s="168" t="s">
        <v>419</v>
      </c>
      <c r="M1560" s="171"/>
      <c r="N1560" s="171"/>
      <c r="O1560" s="171"/>
      <c r="P1560" s="170"/>
    </row>
    <row r="1561" spans="1:16" x14ac:dyDescent="0.25">
      <c r="A1561" s="168"/>
      <c r="B1561" s="177">
        <v>102318935</v>
      </c>
      <c r="C1561" s="178">
        <v>75463815</v>
      </c>
      <c r="D1561" s="179" t="s">
        <v>5280</v>
      </c>
      <c r="E1561" s="180" t="s">
        <v>5281</v>
      </c>
      <c r="F1561" s="181" t="s">
        <v>379</v>
      </c>
      <c r="G1561" s="170"/>
      <c r="H1561" s="170"/>
      <c r="I1561" s="170"/>
      <c r="J1561" s="171"/>
      <c r="K1561" s="171"/>
      <c r="L1561" s="168" t="s">
        <v>421</v>
      </c>
      <c r="M1561" s="171"/>
      <c r="N1561" s="171"/>
      <c r="O1561" s="171"/>
      <c r="P1561" s="170" t="s">
        <v>5493</v>
      </c>
    </row>
    <row r="1562" spans="1:16" x14ac:dyDescent="0.25">
      <c r="A1562" s="168"/>
      <c r="B1562" s="177">
        <v>102318973</v>
      </c>
      <c r="C1562" s="178">
        <v>89804315</v>
      </c>
      <c r="D1562" s="179" t="s">
        <v>5320</v>
      </c>
      <c r="E1562" s="180" t="s">
        <v>3521</v>
      </c>
      <c r="F1562" s="181" t="s">
        <v>379</v>
      </c>
      <c r="G1562" s="170"/>
      <c r="H1562" s="170"/>
      <c r="I1562" s="170"/>
      <c r="J1562" s="171"/>
      <c r="K1562" s="171"/>
      <c r="L1562" s="168" t="s">
        <v>422</v>
      </c>
      <c r="M1562" s="171"/>
      <c r="N1562" s="171"/>
      <c r="O1562" s="171"/>
      <c r="P1562" s="170"/>
    </row>
    <row r="1563" spans="1:16" x14ac:dyDescent="0.25">
      <c r="A1563" s="168"/>
      <c r="B1563" s="177">
        <v>102319042</v>
      </c>
      <c r="C1563" s="178">
        <v>72905286</v>
      </c>
      <c r="D1563" s="179" t="s">
        <v>5392</v>
      </c>
      <c r="E1563" s="180" t="s">
        <v>3650</v>
      </c>
      <c r="F1563" s="181" t="s">
        <v>379</v>
      </c>
      <c r="G1563" s="170"/>
      <c r="H1563" s="170"/>
      <c r="I1563" s="170"/>
      <c r="J1563" s="171"/>
      <c r="K1563" s="171"/>
      <c r="L1563" s="168" t="s">
        <v>424</v>
      </c>
      <c r="M1563" s="171"/>
      <c r="N1563" s="171"/>
      <c r="O1563" s="171"/>
      <c r="P1563" s="170"/>
    </row>
    <row r="1564" spans="1:16" x14ac:dyDescent="0.25">
      <c r="A1564" s="168"/>
      <c r="B1564" s="177">
        <v>102319006</v>
      </c>
      <c r="C1564" s="178">
        <v>82713327</v>
      </c>
      <c r="D1564" s="179" t="s">
        <v>5353</v>
      </c>
      <c r="E1564" s="180" t="s">
        <v>3585</v>
      </c>
      <c r="F1564" s="181" t="s">
        <v>379</v>
      </c>
      <c r="G1564" s="170"/>
      <c r="H1564" s="170"/>
      <c r="I1564" s="170"/>
      <c r="J1564" s="171"/>
      <c r="K1564" s="171"/>
      <c r="L1564" s="168" t="s">
        <v>423</v>
      </c>
      <c r="M1564" s="171"/>
      <c r="N1564" s="171"/>
      <c r="O1564" s="171"/>
      <c r="P1564" s="170"/>
    </row>
    <row r="1565" spans="1:16" x14ac:dyDescent="0.25">
      <c r="A1565" s="168"/>
      <c r="B1565" s="177">
        <v>102319043</v>
      </c>
      <c r="C1565" s="178">
        <v>88112658</v>
      </c>
      <c r="D1565" s="179" t="s">
        <v>5393</v>
      </c>
      <c r="E1565" s="180" t="s">
        <v>3652</v>
      </c>
      <c r="F1565" s="181" t="s">
        <v>379</v>
      </c>
      <c r="G1565" s="170"/>
      <c r="H1565" s="170"/>
      <c r="I1565" s="170"/>
      <c r="J1565" s="171"/>
      <c r="K1565" s="171"/>
      <c r="L1565" s="168" t="s">
        <v>424</v>
      </c>
      <c r="M1565" s="171"/>
      <c r="N1565" s="171"/>
      <c r="O1565" s="171"/>
      <c r="P1565" s="170"/>
    </row>
    <row r="1566" spans="1:16" x14ac:dyDescent="0.25">
      <c r="A1566" s="168"/>
      <c r="B1566" s="177">
        <v>102319044</v>
      </c>
      <c r="C1566" s="178">
        <v>71300595</v>
      </c>
      <c r="D1566" s="179" t="s">
        <v>5394</v>
      </c>
      <c r="E1566" s="180" t="s">
        <v>3654</v>
      </c>
      <c r="F1566" s="181" t="s">
        <v>379</v>
      </c>
      <c r="G1566" s="170"/>
      <c r="H1566" s="170"/>
      <c r="I1566" s="170"/>
      <c r="J1566" s="171"/>
      <c r="K1566" s="171"/>
      <c r="L1566" s="168" t="s">
        <v>424</v>
      </c>
      <c r="M1566" s="171"/>
      <c r="N1566" s="171"/>
      <c r="O1566" s="171"/>
      <c r="P1566" s="170"/>
    </row>
    <row r="1567" spans="1:16" x14ac:dyDescent="0.25">
      <c r="A1567" s="168"/>
      <c r="B1567" s="177">
        <v>102319007</v>
      </c>
      <c r="C1567" s="178">
        <v>77256308</v>
      </c>
      <c r="D1567" s="179" t="s">
        <v>5354</v>
      </c>
      <c r="E1567" s="180" t="s">
        <v>3587</v>
      </c>
      <c r="F1567" s="181" t="s">
        <v>379</v>
      </c>
      <c r="G1567" s="170"/>
      <c r="H1567" s="170"/>
      <c r="I1567" s="170"/>
      <c r="J1567" s="171"/>
      <c r="K1567" s="171"/>
      <c r="L1567" s="168" t="s">
        <v>423</v>
      </c>
      <c r="M1567" s="171"/>
      <c r="N1567" s="171"/>
      <c r="O1567" s="171"/>
      <c r="P1567" s="170"/>
    </row>
    <row r="1568" spans="1:16" x14ac:dyDescent="0.25">
      <c r="A1568" s="168"/>
      <c r="B1568" s="177">
        <v>102319079</v>
      </c>
      <c r="C1568" s="178">
        <v>77687408</v>
      </c>
      <c r="D1568" s="179" t="s">
        <v>5430</v>
      </c>
      <c r="E1568" s="180" t="s">
        <v>3720</v>
      </c>
      <c r="F1568" s="181" t="s">
        <v>379</v>
      </c>
      <c r="G1568" s="170"/>
      <c r="H1568" s="170"/>
      <c r="I1568" s="170"/>
      <c r="J1568" s="171"/>
      <c r="K1568" s="171"/>
      <c r="L1568" s="168" t="s">
        <v>425</v>
      </c>
      <c r="M1568" s="171"/>
      <c r="N1568" s="171"/>
      <c r="O1568" s="171"/>
      <c r="P1568" s="170"/>
    </row>
    <row r="1569" spans="1:16" x14ac:dyDescent="0.25">
      <c r="A1569" s="168"/>
      <c r="B1569" s="177">
        <v>102318936</v>
      </c>
      <c r="C1569" s="178">
        <v>86955126</v>
      </c>
      <c r="D1569" s="179" t="s">
        <v>5282</v>
      </c>
      <c r="E1569" s="180" t="s">
        <v>3448</v>
      </c>
      <c r="F1569" s="181" t="s">
        <v>379</v>
      </c>
      <c r="G1569" s="170"/>
      <c r="H1569" s="170"/>
      <c r="I1569" s="170"/>
      <c r="J1569" s="171"/>
      <c r="K1569" s="171"/>
      <c r="L1569" s="168" t="s">
        <v>421</v>
      </c>
      <c r="M1569" s="171"/>
      <c r="N1569" s="171"/>
      <c r="O1569" s="171"/>
      <c r="P1569" s="170"/>
    </row>
    <row r="1570" spans="1:16" x14ac:dyDescent="0.25">
      <c r="A1570" s="168"/>
      <c r="B1570" s="177">
        <v>102319080</v>
      </c>
      <c r="C1570" s="178">
        <v>84178875</v>
      </c>
      <c r="D1570" s="179" t="s">
        <v>5431</v>
      </c>
      <c r="E1570" s="180" t="s">
        <v>3722</v>
      </c>
      <c r="F1570" s="181" t="s">
        <v>379</v>
      </c>
      <c r="G1570" s="170"/>
      <c r="H1570" s="170"/>
      <c r="I1570" s="170"/>
      <c r="J1570" s="171"/>
      <c r="K1570" s="171"/>
      <c r="L1570" s="168" t="s">
        <v>425</v>
      </c>
      <c r="M1570" s="171"/>
      <c r="N1570" s="171"/>
      <c r="O1570" s="171"/>
      <c r="P1570" s="170"/>
    </row>
    <row r="1571" spans="1:16" x14ac:dyDescent="0.25">
      <c r="A1571" s="168"/>
      <c r="B1571" s="177">
        <v>102319045</v>
      </c>
      <c r="C1571" s="178">
        <v>87939609</v>
      </c>
      <c r="D1571" s="179" t="s">
        <v>5395</v>
      </c>
      <c r="E1571" s="180" t="s">
        <v>3656</v>
      </c>
      <c r="F1571" s="181" t="s">
        <v>379</v>
      </c>
      <c r="G1571" s="170"/>
      <c r="H1571" s="170"/>
      <c r="I1571" s="170"/>
      <c r="J1571" s="171"/>
      <c r="K1571" s="171"/>
      <c r="L1571" s="168" t="s">
        <v>424</v>
      </c>
      <c r="M1571" s="171"/>
      <c r="N1571" s="171"/>
      <c r="O1571" s="171"/>
      <c r="P1571" s="170"/>
    </row>
    <row r="1572" spans="1:16" x14ac:dyDescent="0.25">
      <c r="A1572" s="168"/>
      <c r="B1572" s="177">
        <v>102318974</v>
      </c>
      <c r="C1572" s="178">
        <v>87406078</v>
      </c>
      <c r="D1572" s="179" t="s">
        <v>5321</v>
      </c>
      <c r="E1572" s="180" t="s">
        <v>3523</v>
      </c>
      <c r="F1572" s="181" t="s">
        <v>379</v>
      </c>
      <c r="G1572" s="170"/>
      <c r="H1572" s="170"/>
      <c r="I1572" s="170"/>
      <c r="J1572" s="171"/>
      <c r="K1572" s="171"/>
      <c r="L1572" s="168" t="s">
        <v>422</v>
      </c>
      <c r="M1572" s="171"/>
      <c r="N1572" s="171"/>
      <c r="O1572" s="171"/>
      <c r="P1572" s="170"/>
    </row>
    <row r="1573" spans="1:16" x14ac:dyDescent="0.25">
      <c r="A1573" s="168"/>
      <c r="B1573" s="177">
        <v>102319008</v>
      </c>
      <c r="C1573" s="178">
        <v>86816679</v>
      </c>
      <c r="D1573" s="179" t="s">
        <v>5355</v>
      </c>
      <c r="E1573" s="180" t="s">
        <v>3589</v>
      </c>
      <c r="F1573" s="181" t="s">
        <v>379</v>
      </c>
      <c r="G1573" s="170"/>
      <c r="H1573" s="170"/>
      <c r="I1573" s="170"/>
      <c r="J1573" s="171"/>
      <c r="K1573" s="171"/>
      <c r="L1573" s="168" t="s">
        <v>423</v>
      </c>
      <c r="M1573" s="171"/>
      <c r="N1573" s="171"/>
      <c r="O1573" s="171"/>
      <c r="P1573" s="170"/>
    </row>
    <row r="1574" spans="1:16" x14ac:dyDescent="0.25">
      <c r="A1574" s="168"/>
      <c r="B1574" s="177">
        <v>102318937</v>
      </c>
      <c r="C1574" s="178">
        <v>78843246</v>
      </c>
      <c r="D1574" s="179" t="s">
        <v>5283</v>
      </c>
      <c r="E1574" s="180" t="s">
        <v>3450</v>
      </c>
      <c r="F1574" s="181" t="s">
        <v>379</v>
      </c>
      <c r="G1574" s="170"/>
      <c r="H1574" s="170"/>
      <c r="I1574" s="170"/>
      <c r="J1574" s="171"/>
      <c r="K1574" s="171"/>
      <c r="L1574" s="168" t="s">
        <v>421</v>
      </c>
      <c r="M1574" s="171"/>
      <c r="N1574" s="171"/>
      <c r="O1574" s="171"/>
      <c r="P1574" s="170"/>
    </row>
    <row r="1575" spans="1:16" x14ac:dyDescent="0.25">
      <c r="A1575" s="168"/>
      <c r="B1575" s="177">
        <v>102318869</v>
      </c>
      <c r="C1575" s="178">
        <v>81624922</v>
      </c>
      <c r="D1575" s="179" t="s">
        <v>5209</v>
      </c>
      <c r="E1575" s="180" t="s">
        <v>3328</v>
      </c>
      <c r="F1575" s="181" t="s">
        <v>379</v>
      </c>
      <c r="G1575" s="170"/>
      <c r="H1575" s="170"/>
      <c r="I1575" s="170"/>
      <c r="J1575" s="171"/>
      <c r="K1575" s="171"/>
      <c r="L1575" s="168" t="s">
        <v>419</v>
      </c>
      <c r="M1575" s="171"/>
      <c r="N1575" s="171"/>
      <c r="O1575" s="171"/>
      <c r="P1575" s="170"/>
    </row>
    <row r="1576" spans="1:16" x14ac:dyDescent="0.25">
      <c r="A1576" s="168"/>
      <c r="B1576" s="177">
        <v>102318829</v>
      </c>
      <c r="C1576" s="178">
        <v>81322572</v>
      </c>
      <c r="D1576" s="179" t="s">
        <v>5167</v>
      </c>
      <c r="E1576" s="180" t="s">
        <v>3254</v>
      </c>
      <c r="F1576" s="181" t="s">
        <v>379</v>
      </c>
      <c r="G1576" s="170"/>
      <c r="H1576" s="170"/>
      <c r="I1576" s="170"/>
      <c r="J1576" s="171"/>
      <c r="K1576" s="171"/>
      <c r="L1576" s="168" t="s">
        <v>417</v>
      </c>
      <c r="M1576" s="171"/>
      <c r="N1576" s="171"/>
      <c r="O1576" s="171"/>
      <c r="P1576" s="170"/>
    </row>
    <row r="1577" spans="1:16" x14ac:dyDescent="0.25">
      <c r="A1577" s="168"/>
      <c r="B1577" s="177">
        <v>102319081</v>
      </c>
      <c r="C1577" s="178">
        <v>76239172</v>
      </c>
      <c r="D1577" s="179" t="s">
        <v>5432</v>
      </c>
      <c r="E1577" s="180" t="s">
        <v>3724</v>
      </c>
      <c r="F1577" s="181" t="s">
        <v>379</v>
      </c>
      <c r="G1577" s="170"/>
      <c r="H1577" s="170"/>
      <c r="I1577" s="170"/>
      <c r="J1577" s="171"/>
      <c r="K1577" s="171"/>
      <c r="L1577" s="168" t="s">
        <v>425</v>
      </c>
      <c r="M1577" s="171"/>
      <c r="N1577" s="171"/>
      <c r="O1577" s="171"/>
      <c r="P1577" s="170"/>
    </row>
    <row r="1578" spans="1:16" x14ac:dyDescent="0.25">
      <c r="A1578" s="168"/>
      <c r="B1578" s="177">
        <v>102318795</v>
      </c>
      <c r="C1578" s="178">
        <v>88331583</v>
      </c>
      <c r="D1578" s="179" t="s">
        <v>5131</v>
      </c>
      <c r="E1578" s="180" t="s">
        <v>3186</v>
      </c>
      <c r="F1578" s="181" t="s">
        <v>379</v>
      </c>
      <c r="G1578" s="170"/>
      <c r="H1578" s="170"/>
      <c r="I1578" s="170"/>
      <c r="J1578" s="171"/>
      <c r="K1578" s="171"/>
      <c r="L1578" s="168" t="s">
        <v>416</v>
      </c>
      <c r="M1578" s="171"/>
      <c r="N1578" s="171"/>
      <c r="O1578" s="171"/>
      <c r="P1578" s="170"/>
    </row>
    <row r="1579" spans="1:16" x14ac:dyDescent="0.25">
      <c r="A1579" s="168"/>
      <c r="B1579" s="177">
        <v>102318900</v>
      </c>
      <c r="C1579" s="178">
        <v>77060411</v>
      </c>
      <c r="D1579" s="179" t="s">
        <v>5243</v>
      </c>
      <c r="E1579" s="180" t="s">
        <v>3384</v>
      </c>
      <c r="F1579" s="181" t="s">
        <v>379</v>
      </c>
      <c r="G1579" s="170"/>
      <c r="H1579" s="170"/>
      <c r="I1579" s="170"/>
      <c r="J1579" s="171"/>
      <c r="K1579" s="171"/>
      <c r="L1579" s="168" t="s">
        <v>420</v>
      </c>
      <c r="M1579" s="171"/>
      <c r="N1579" s="171"/>
      <c r="O1579" s="171"/>
      <c r="P1579" s="170"/>
    </row>
    <row r="1580" spans="1:16" x14ac:dyDescent="0.25">
      <c r="A1580" s="168"/>
      <c r="B1580" s="177">
        <v>102319082</v>
      </c>
      <c r="C1580" s="178">
        <v>78988895</v>
      </c>
      <c r="D1580" s="179" t="s">
        <v>5433</v>
      </c>
      <c r="E1580" s="180" t="s">
        <v>3846</v>
      </c>
      <c r="F1580" s="181" t="s">
        <v>379</v>
      </c>
      <c r="G1580" s="170"/>
      <c r="H1580" s="170"/>
      <c r="I1580" s="170"/>
      <c r="J1580" s="171"/>
      <c r="K1580" s="171"/>
      <c r="L1580" s="168" t="s">
        <v>425</v>
      </c>
      <c r="M1580" s="171"/>
      <c r="N1580" s="171"/>
      <c r="O1580" s="171"/>
      <c r="P1580" s="170"/>
    </row>
    <row r="1581" spans="1:16" x14ac:dyDescent="0.25">
      <c r="A1581" s="168"/>
      <c r="B1581" s="177">
        <v>102318938</v>
      </c>
      <c r="C1581" s="178">
        <v>75338762</v>
      </c>
      <c r="D1581" s="179" t="s">
        <v>5284</v>
      </c>
      <c r="E1581" s="180" t="s">
        <v>3452</v>
      </c>
      <c r="F1581" s="181" t="s">
        <v>379</v>
      </c>
      <c r="G1581" s="170"/>
      <c r="H1581" s="170"/>
      <c r="I1581" s="170"/>
      <c r="J1581" s="171"/>
      <c r="K1581" s="171"/>
      <c r="L1581" s="168" t="s">
        <v>421</v>
      </c>
      <c r="M1581" s="171"/>
      <c r="N1581" s="171"/>
      <c r="O1581" s="171"/>
      <c r="P1581" s="170"/>
    </row>
    <row r="1582" spans="1:16" x14ac:dyDescent="0.25">
      <c r="A1582" s="168"/>
      <c r="B1582" s="177">
        <v>102319009</v>
      </c>
      <c r="C1582" s="178">
        <v>96116251</v>
      </c>
      <c r="D1582" s="179" t="s">
        <v>5356</v>
      </c>
      <c r="E1582" s="180" t="s">
        <v>3591</v>
      </c>
      <c r="F1582" s="181" t="s">
        <v>379</v>
      </c>
      <c r="G1582" s="170"/>
      <c r="H1582" s="170"/>
      <c r="I1582" s="170"/>
      <c r="J1582" s="171"/>
      <c r="K1582" s="171"/>
      <c r="L1582" s="168" t="s">
        <v>423</v>
      </c>
      <c r="M1582" s="171"/>
      <c r="N1582" s="171"/>
      <c r="O1582" s="171"/>
      <c r="P1582" s="170"/>
    </row>
    <row r="1583" spans="1:16" x14ac:dyDescent="0.25">
      <c r="A1583" s="168"/>
      <c r="B1583" s="177">
        <v>102318796</v>
      </c>
      <c r="C1583" s="178">
        <v>85866723</v>
      </c>
      <c r="D1583" s="179" t="s">
        <v>5132</v>
      </c>
      <c r="E1583" s="180" t="s">
        <v>3188</v>
      </c>
      <c r="F1583" s="181" t="s">
        <v>379</v>
      </c>
      <c r="G1583" s="170"/>
      <c r="H1583" s="170"/>
      <c r="I1583" s="170"/>
      <c r="J1583" s="171"/>
      <c r="K1583" s="171"/>
      <c r="L1583" s="168" t="s">
        <v>416</v>
      </c>
      <c r="M1583" s="171"/>
      <c r="N1583" s="171"/>
      <c r="O1583" s="171"/>
      <c r="P1583" s="170"/>
    </row>
    <row r="1584" spans="1:16" x14ac:dyDescent="0.25">
      <c r="A1584" s="168"/>
      <c r="B1584" s="177">
        <v>102318975</v>
      </c>
      <c r="C1584" s="178">
        <v>75644524</v>
      </c>
      <c r="D1584" s="179" t="s">
        <v>5322</v>
      </c>
      <c r="E1584" s="180" t="s">
        <v>3525</v>
      </c>
      <c r="F1584" s="181" t="s">
        <v>379</v>
      </c>
      <c r="G1584" s="170"/>
      <c r="H1584" s="170"/>
      <c r="I1584" s="170"/>
      <c r="J1584" s="171"/>
      <c r="K1584" s="171"/>
      <c r="L1584" s="168" t="s">
        <v>422</v>
      </c>
      <c r="M1584" s="171"/>
      <c r="N1584" s="171"/>
      <c r="O1584" s="171"/>
      <c r="P1584" s="170"/>
    </row>
    <row r="1585" spans="1:16" x14ac:dyDescent="0.25">
      <c r="A1585" s="168"/>
      <c r="B1585" s="177">
        <v>102318797</v>
      </c>
      <c r="C1585" s="178">
        <v>84094977</v>
      </c>
      <c r="D1585" s="179" t="s">
        <v>5133</v>
      </c>
      <c r="E1585" s="180" t="s">
        <v>3190</v>
      </c>
      <c r="F1585" s="181" t="s">
        <v>379</v>
      </c>
      <c r="G1585" s="170"/>
      <c r="H1585" s="170"/>
      <c r="I1585" s="170"/>
      <c r="J1585" s="171"/>
      <c r="K1585" s="171"/>
      <c r="L1585" s="168" t="s">
        <v>416</v>
      </c>
      <c r="M1585" s="171"/>
      <c r="N1585" s="171"/>
      <c r="O1585" s="171"/>
      <c r="P1585" s="170"/>
    </row>
    <row r="1586" spans="1:16" x14ac:dyDescent="0.25">
      <c r="A1586" s="168"/>
      <c r="B1586" s="177">
        <v>102318761</v>
      </c>
      <c r="C1586" s="178">
        <v>72159565</v>
      </c>
      <c r="D1586" s="179" t="s">
        <v>5094</v>
      </c>
      <c r="E1586" s="180" t="s">
        <v>3124</v>
      </c>
      <c r="F1586" s="181" t="s">
        <v>379</v>
      </c>
      <c r="G1586" s="170"/>
      <c r="H1586" s="170"/>
      <c r="I1586" s="170"/>
      <c r="J1586" s="171"/>
      <c r="K1586" s="171"/>
      <c r="L1586" s="168" t="s">
        <v>404</v>
      </c>
      <c r="M1586" s="171"/>
      <c r="N1586" s="171"/>
      <c r="O1586" s="171"/>
      <c r="P1586" s="170"/>
    </row>
    <row r="1587" spans="1:16" x14ac:dyDescent="0.25">
      <c r="A1587" s="168"/>
      <c r="B1587" s="177">
        <v>102319010</v>
      </c>
      <c r="C1587" s="178">
        <v>88708948</v>
      </c>
      <c r="D1587" s="179" t="s">
        <v>5357</v>
      </c>
      <c r="E1587" s="180" t="s">
        <v>3593</v>
      </c>
      <c r="F1587" s="181" t="s">
        <v>379</v>
      </c>
      <c r="G1587" s="170"/>
      <c r="H1587" s="170"/>
      <c r="I1587" s="170"/>
      <c r="J1587" s="171"/>
      <c r="K1587" s="171"/>
      <c r="L1587" s="168" t="s">
        <v>423</v>
      </c>
      <c r="M1587" s="171"/>
      <c r="N1587" s="171"/>
      <c r="O1587" s="171"/>
      <c r="P1587" s="170"/>
    </row>
    <row r="1588" spans="1:16" x14ac:dyDescent="0.25">
      <c r="A1588" s="168"/>
      <c r="B1588" s="177">
        <v>102319083</v>
      </c>
      <c r="C1588" s="178">
        <v>75027953</v>
      </c>
      <c r="D1588" s="179" t="s">
        <v>5434</v>
      </c>
      <c r="E1588" s="180" t="s">
        <v>3726</v>
      </c>
      <c r="F1588" s="181" t="s">
        <v>379</v>
      </c>
      <c r="G1588" s="170"/>
      <c r="H1588" s="170"/>
      <c r="I1588" s="170"/>
      <c r="J1588" s="171"/>
      <c r="K1588" s="171"/>
      <c r="L1588" s="168" t="s">
        <v>425</v>
      </c>
      <c r="M1588" s="171"/>
      <c r="N1588" s="171"/>
      <c r="O1588" s="171"/>
      <c r="P1588" s="170"/>
    </row>
    <row r="1589" spans="1:16" x14ac:dyDescent="0.25">
      <c r="A1589" s="168"/>
      <c r="B1589" s="177">
        <v>102319084</v>
      </c>
      <c r="C1589" s="178">
        <v>77885142</v>
      </c>
      <c r="D1589" s="179" t="s">
        <v>5435</v>
      </c>
      <c r="E1589" s="180" t="s">
        <v>3728</v>
      </c>
      <c r="F1589" s="181" t="s">
        <v>379</v>
      </c>
      <c r="G1589" s="170"/>
      <c r="H1589" s="170"/>
      <c r="I1589" s="170"/>
      <c r="J1589" s="171"/>
      <c r="K1589" s="171"/>
      <c r="L1589" s="168" t="s">
        <v>425</v>
      </c>
      <c r="M1589" s="171"/>
      <c r="N1589" s="171"/>
      <c r="O1589" s="171"/>
      <c r="P1589" s="170"/>
    </row>
    <row r="1590" spans="1:16" x14ac:dyDescent="0.25">
      <c r="A1590" s="168"/>
      <c r="B1590" s="177">
        <v>102319117</v>
      </c>
      <c r="C1590" s="178">
        <v>78665272</v>
      </c>
      <c r="D1590" s="179" t="s">
        <v>5469</v>
      </c>
      <c r="E1590" s="180" t="s">
        <v>3792</v>
      </c>
      <c r="F1590" s="181" t="s">
        <v>379</v>
      </c>
      <c r="G1590" s="170"/>
      <c r="H1590" s="170"/>
      <c r="I1590" s="170"/>
      <c r="J1590" s="171"/>
      <c r="K1590" s="171"/>
      <c r="L1590" s="168" t="s">
        <v>426</v>
      </c>
      <c r="M1590" s="171"/>
      <c r="N1590" s="171"/>
      <c r="O1590" s="171"/>
      <c r="P1590" s="170"/>
    </row>
    <row r="1591" spans="1:16" x14ac:dyDescent="0.25">
      <c r="A1591" s="168"/>
      <c r="B1591" s="177">
        <v>102319118</v>
      </c>
      <c r="C1591" s="178">
        <v>77244008</v>
      </c>
      <c r="D1591" s="179" t="s">
        <v>5470</v>
      </c>
      <c r="E1591" s="180" t="s">
        <v>5471</v>
      </c>
      <c r="F1591" s="181" t="s">
        <v>379</v>
      </c>
      <c r="G1591" s="170"/>
      <c r="H1591" s="170"/>
      <c r="I1591" s="170"/>
      <c r="J1591" s="171"/>
      <c r="K1591" s="171"/>
      <c r="L1591" s="168" t="s">
        <v>426</v>
      </c>
      <c r="M1591" s="171"/>
      <c r="N1591" s="171"/>
      <c r="O1591" s="171"/>
      <c r="P1591" s="170" t="s">
        <v>5490</v>
      </c>
    </row>
    <row r="1592" spans="1:16" x14ac:dyDescent="0.25">
      <c r="A1592" s="168"/>
      <c r="B1592" s="177">
        <v>102319119</v>
      </c>
      <c r="C1592" s="178">
        <v>76074619</v>
      </c>
      <c r="D1592" s="179" t="s">
        <v>5472</v>
      </c>
      <c r="E1592" s="180" t="s">
        <v>3794</v>
      </c>
      <c r="F1592" s="181" t="s">
        <v>379</v>
      </c>
      <c r="G1592" s="170"/>
      <c r="H1592" s="170"/>
      <c r="I1592" s="170"/>
      <c r="J1592" s="171"/>
      <c r="K1592" s="171"/>
      <c r="L1592" s="168" t="s">
        <v>426</v>
      </c>
      <c r="M1592" s="171"/>
      <c r="N1592" s="171"/>
      <c r="O1592" s="171"/>
      <c r="P1592" s="170"/>
    </row>
    <row r="1593" spans="1:16" x14ac:dyDescent="0.25">
      <c r="A1593" s="168"/>
      <c r="B1593" s="177">
        <v>102319085</v>
      </c>
      <c r="C1593" s="178">
        <v>74137257</v>
      </c>
      <c r="D1593" s="179" t="s">
        <v>5436</v>
      </c>
      <c r="E1593" s="180" t="s">
        <v>3730</v>
      </c>
      <c r="F1593" s="181" t="s">
        <v>379</v>
      </c>
      <c r="G1593" s="170"/>
      <c r="H1593" s="170"/>
      <c r="I1593" s="170"/>
      <c r="J1593" s="171"/>
      <c r="K1593" s="171"/>
      <c r="L1593" s="168" t="s">
        <v>425</v>
      </c>
      <c r="M1593" s="171"/>
      <c r="N1593" s="171"/>
      <c r="O1593" s="171"/>
      <c r="P1593" s="170"/>
    </row>
    <row r="1594" spans="1:16" x14ac:dyDescent="0.25">
      <c r="A1594" s="168"/>
      <c r="B1594" s="177">
        <v>102318901</v>
      </c>
      <c r="C1594" s="178">
        <v>88638903</v>
      </c>
      <c r="D1594" s="179" t="s">
        <v>5244</v>
      </c>
      <c r="E1594" s="180" t="s">
        <v>3844</v>
      </c>
      <c r="F1594" s="181" t="s">
        <v>379</v>
      </c>
      <c r="G1594" s="170"/>
      <c r="H1594" s="170"/>
      <c r="I1594" s="170"/>
      <c r="J1594" s="171"/>
      <c r="K1594" s="171"/>
      <c r="L1594" s="168" t="s">
        <v>420</v>
      </c>
      <c r="M1594" s="171"/>
      <c r="N1594" s="171"/>
      <c r="O1594" s="171"/>
      <c r="P1594" s="170"/>
    </row>
    <row r="1595" spans="1:16" x14ac:dyDescent="0.25">
      <c r="A1595" s="168"/>
      <c r="B1595" s="177">
        <v>102318939</v>
      </c>
      <c r="C1595" s="178">
        <v>76345533</v>
      </c>
      <c r="D1595" s="179" t="s">
        <v>5285</v>
      </c>
      <c r="E1595" s="180" t="s">
        <v>3454</v>
      </c>
      <c r="F1595" s="181" t="s">
        <v>379</v>
      </c>
      <c r="G1595" s="170"/>
      <c r="H1595" s="170"/>
      <c r="I1595" s="170"/>
      <c r="J1595" s="171"/>
      <c r="K1595" s="171"/>
      <c r="L1595" s="168" t="s">
        <v>421</v>
      </c>
      <c r="M1595" s="171"/>
      <c r="N1595" s="171"/>
      <c r="O1595" s="171"/>
      <c r="P1595" s="170"/>
    </row>
    <row r="1596" spans="1:16" x14ac:dyDescent="0.25">
      <c r="A1596" s="168"/>
      <c r="B1596" s="177">
        <v>102319086</v>
      </c>
      <c r="C1596" s="178">
        <v>75586236</v>
      </c>
      <c r="D1596" s="179" t="s">
        <v>5437</v>
      </c>
      <c r="E1596" s="180" t="s">
        <v>3732</v>
      </c>
      <c r="F1596" s="181" t="s">
        <v>379</v>
      </c>
      <c r="G1596" s="170"/>
      <c r="H1596" s="170"/>
      <c r="I1596" s="170"/>
      <c r="J1596" s="171"/>
      <c r="K1596" s="171"/>
      <c r="L1596" s="168" t="s">
        <v>425</v>
      </c>
      <c r="M1596" s="171"/>
      <c r="N1596" s="171"/>
      <c r="O1596" s="171"/>
      <c r="P1596" s="170"/>
    </row>
    <row r="1597" spans="1:16" x14ac:dyDescent="0.25">
      <c r="A1597" s="168"/>
      <c r="B1597" s="177">
        <v>102319011</v>
      </c>
      <c r="C1597" s="178">
        <v>3072647506</v>
      </c>
      <c r="D1597" s="179" t="s">
        <v>5358</v>
      </c>
      <c r="E1597" s="180" t="s">
        <v>5359</v>
      </c>
      <c r="F1597" s="181" t="s">
        <v>379</v>
      </c>
      <c r="G1597" s="170"/>
      <c r="H1597" s="170"/>
      <c r="I1597" s="170"/>
      <c r="J1597" s="171"/>
      <c r="K1597" s="171"/>
      <c r="L1597" s="168" t="s">
        <v>423</v>
      </c>
      <c r="M1597" s="171"/>
      <c r="N1597" s="171"/>
      <c r="O1597" s="171"/>
      <c r="P1597" s="170"/>
    </row>
    <row r="1598" spans="1:16" x14ac:dyDescent="0.25">
      <c r="A1598" s="168"/>
      <c r="B1598" s="177">
        <v>102318870</v>
      </c>
      <c r="C1598" s="178">
        <v>86454884</v>
      </c>
      <c r="D1598" s="179" t="s">
        <v>5210</v>
      </c>
      <c r="E1598" s="180" t="s">
        <v>3330</v>
      </c>
      <c r="F1598" s="181" t="s">
        <v>381</v>
      </c>
      <c r="G1598" s="170"/>
      <c r="H1598" s="170"/>
      <c r="I1598" s="170"/>
      <c r="J1598" s="171"/>
      <c r="K1598" s="171"/>
      <c r="L1598" s="168" t="s">
        <v>419</v>
      </c>
      <c r="M1598" s="171"/>
      <c r="N1598" s="171"/>
      <c r="O1598" s="171"/>
      <c r="P1598" s="170"/>
    </row>
    <row r="1599" spans="1:16" x14ac:dyDescent="0.25">
      <c r="A1599" s="168"/>
      <c r="B1599" s="177">
        <v>102319120</v>
      </c>
      <c r="C1599" s="178">
        <v>63725246</v>
      </c>
      <c r="D1599" s="179" t="s">
        <v>5473</v>
      </c>
      <c r="E1599" s="180" t="s">
        <v>3796</v>
      </c>
      <c r="F1599" s="181" t="s">
        <v>379</v>
      </c>
      <c r="G1599" s="170"/>
      <c r="H1599" s="170"/>
      <c r="I1599" s="170"/>
      <c r="J1599" s="171"/>
      <c r="K1599" s="171"/>
      <c r="L1599" s="168" t="s">
        <v>426</v>
      </c>
      <c r="M1599" s="171"/>
      <c r="N1599" s="171"/>
      <c r="O1599" s="171"/>
      <c r="P1599" s="170"/>
    </row>
    <row r="1600" spans="1:16" x14ac:dyDescent="0.25">
      <c r="A1600" s="168"/>
      <c r="B1600" s="177">
        <v>102318902</v>
      </c>
      <c r="C1600" s="178">
        <v>76048777</v>
      </c>
      <c r="D1600" s="179" t="s">
        <v>5245</v>
      </c>
      <c r="E1600" s="180" t="s">
        <v>3386</v>
      </c>
      <c r="F1600" s="181" t="s">
        <v>381</v>
      </c>
      <c r="G1600" s="170"/>
      <c r="H1600" s="170"/>
      <c r="I1600" s="170"/>
      <c r="J1600" s="171"/>
      <c r="K1600" s="171"/>
      <c r="L1600" s="168" t="s">
        <v>420</v>
      </c>
      <c r="M1600" s="171"/>
      <c r="N1600" s="171"/>
      <c r="O1600" s="171"/>
      <c r="P1600" s="170"/>
    </row>
    <row r="1601" spans="1:16" x14ac:dyDescent="0.25">
      <c r="A1601" s="168"/>
      <c r="B1601" s="177">
        <v>102318903</v>
      </c>
      <c r="C1601" s="178">
        <v>74803913</v>
      </c>
      <c r="D1601" s="179" t="s">
        <v>5246</v>
      </c>
      <c r="E1601" s="180" t="s">
        <v>3388</v>
      </c>
      <c r="F1601" s="181" t="s">
        <v>379</v>
      </c>
      <c r="G1601" s="170"/>
      <c r="H1601" s="170"/>
      <c r="I1601" s="170"/>
      <c r="J1601" s="171"/>
      <c r="K1601" s="171"/>
      <c r="L1601" s="168" t="s">
        <v>420</v>
      </c>
      <c r="M1601" s="171"/>
      <c r="N1601" s="171"/>
      <c r="O1601" s="171"/>
      <c r="P1601" s="170"/>
    </row>
    <row r="1602" spans="1:16" x14ac:dyDescent="0.25">
      <c r="A1602" s="168"/>
      <c r="B1602" s="177">
        <v>102318830</v>
      </c>
      <c r="C1602" s="178">
        <v>87951998</v>
      </c>
      <c r="D1602" s="179" t="s">
        <v>5168</v>
      </c>
      <c r="E1602" s="180" t="s">
        <v>3256</v>
      </c>
      <c r="F1602" s="181" t="s">
        <v>379</v>
      </c>
      <c r="G1602" s="170"/>
      <c r="H1602" s="170"/>
      <c r="I1602" s="170"/>
      <c r="J1602" s="171"/>
      <c r="K1602" s="171"/>
      <c r="L1602" s="168" t="s">
        <v>417</v>
      </c>
      <c r="M1602" s="171"/>
      <c r="N1602" s="171"/>
      <c r="O1602" s="171"/>
      <c r="P1602" s="170"/>
    </row>
    <row r="1603" spans="1:16" x14ac:dyDescent="0.25">
      <c r="A1603" s="168"/>
      <c r="B1603" s="177">
        <v>102319087</v>
      </c>
      <c r="C1603" s="178">
        <v>71848231</v>
      </c>
      <c r="D1603" s="179" t="s">
        <v>5438</v>
      </c>
      <c r="E1603" s="180" t="s">
        <v>3734</v>
      </c>
      <c r="F1603" s="181" t="s">
        <v>381</v>
      </c>
      <c r="G1603" s="170"/>
      <c r="H1603" s="170"/>
      <c r="I1603" s="170"/>
      <c r="J1603" s="171"/>
      <c r="K1603" s="171"/>
      <c r="L1603" s="168" t="s">
        <v>425</v>
      </c>
      <c r="M1603" s="171"/>
      <c r="N1603" s="171"/>
      <c r="O1603" s="171"/>
      <c r="P1603" s="170"/>
    </row>
    <row r="1604" spans="1:16" x14ac:dyDescent="0.25">
      <c r="A1604" s="168"/>
      <c r="B1604" s="177">
        <v>102318871</v>
      </c>
      <c r="C1604" s="178">
        <v>88244692</v>
      </c>
      <c r="D1604" s="179" t="s">
        <v>5211</v>
      </c>
      <c r="E1604" s="180" t="s">
        <v>3332</v>
      </c>
      <c r="F1604" s="181" t="s">
        <v>381</v>
      </c>
      <c r="G1604" s="170"/>
      <c r="H1604" s="170"/>
      <c r="I1604" s="170"/>
      <c r="J1604" s="171"/>
      <c r="K1604" s="171"/>
      <c r="L1604" s="168" t="s">
        <v>419</v>
      </c>
      <c r="M1604" s="171"/>
      <c r="N1604" s="171"/>
      <c r="O1604" s="171"/>
      <c r="P1604" s="170"/>
    </row>
    <row r="1605" spans="1:16" x14ac:dyDescent="0.25">
      <c r="A1605" s="168"/>
      <c r="B1605" s="177">
        <v>102319046</v>
      </c>
      <c r="C1605" s="178">
        <v>77055490</v>
      </c>
      <c r="D1605" s="179" t="s">
        <v>5396</v>
      </c>
      <c r="E1605" s="180" t="s">
        <v>3658</v>
      </c>
      <c r="F1605" s="181" t="s">
        <v>379</v>
      </c>
      <c r="G1605" s="170"/>
      <c r="H1605" s="170"/>
      <c r="I1605" s="170"/>
      <c r="J1605" s="171"/>
      <c r="K1605" s="171"/>
      <c r="L1605" s="168" t="s">
        <v>424</v>
      </c>
      <c r="M1605" s="171"/>
      <c r="N1605" s="171"/>
      <c r="O1605" s="171"/>
      <c r="P1605" s="170"/>
    </row>
    <row r="1606" spans="1:16" x14ac:dyDescent="0.25">
      <c r="A1606" s="168"/>
      <c r="B1606" s="177">
        <v>102318762</v>
      </c>
      <c r="C1606" s="178">
        <v>76284245</v>
      </c>
      <c r="D1606" s="179" t="s">
        <v>5095</v>
      </c>
      <c r="E1606" s="180" t="s">
        <v>3126</v>
      </c>
      <c r="F1606" s="181" t="s">
        <v>381</v>
      </c>
      <c r="G1606" s="170"/>
      <c r="H1606" s="170"/>
      <c r="I1606" s="170"/>
      <c r="J1606" s="171"/>
      <c r="K1606" s="171"/>
      <c r="L1606" s="168" t="s">
        <v>404</v>
      </c>
      <c r="M1606" s="171"/>
      <c r="N1606" s="171"/>
      <c r="O1606" s="171"/>
      <c r="P1606" s="170"/>
    </row>
    <row r="1607" spans="1:16" x14ac:dyDescent="0.25">
      <c r="A1607" s="168"/>
      <c r="B1607" s="177">
        <v>102318940</v>
      </c>
      <c r="C1607" s="178">
        <v>81211243</v>
      </c>
      <c r="D1607" s="179" t="s">
        <v>5286</v>
      </c>
      <c r="E1607" s="180" t="s">
        <v>3456</v>
      </c>
      <c r="F1607" s="181" t="s">
        <v>381</v>
      </c>
      <c r="G1607" s="170"/>
      <c r="H1607" s="170"/>
      <c r="I1607" s="170"/>
      <c r="J1607" s="171"/>
      <c r="K1607" s="171"/>
      <c r="L1607" s="168" t="s">
        <v>421</v>
      </c>
      <c r="M1607" s="171"/>
      <c r="N1607" s="171"/>
      <c r="O1607" s="171"/>
      <c r="P1607" s="170"/>
    </row>
    <row r="1608" spans="1:16" x14ac:dyDescent="0.25">
      <c r="A1608" s="168"/>
      <c r="B1608" s="177">
        <v>102319012</v>
      </c>
      <c r="C1608" s="178">
        <v>79232180</v>
      </c>
      <c r="D1608" s="179" t="s">
        <v>5360</v>
      </c>
      <c r="E1608" s="180" t="s">
        <v>3595</v>
      </c>
      <c r="F1608" s="181" t="s">
        <v>379</v>
      </c>
      <c r="G1608" s="170"/>
      <c r="H1608" s="170"/>
      <c r="I1608" s="170"/>
      <c r="J1608" s="171"/>
      <c r="K1608" s="171"/>
      <c r="L1608" s="168" t="s">
        <v>423</v>
      </c>
      <c r="M1608" s="171"/>
      <c r="N1608" s="171"/>
      <c r="O1608" s="171"/>
      <c r="P1608" s="170"/>
    </row>
    <row r="1609" spans="1:16" x14ac:dyDescent="0.25">
      <c r="A1609" s="168"/>
      <c r="B1609" s="177">
        <v>102318798</v>
      </c>
      <c r="C1609" s="178">
        <v>76436466</v>
      </c>
      <c r="D1609" s="179" t="s">
        <v>5134</v>
      </c>
      <c r="E1609" s="180" t="s">
        <v>3192</v>
      </c>
      <c r="F1609" s="181" t="s">
        <v>381</v>
      </c>
      <c r="G1609" s="170"/>
      <c r="H1609" s="170"/>
      <c r="I1609" s="170"/>
      <c r="J1609" s="171"/>
      <c r="K1609" s="171"/>
      <c r="L1609" s="168" t="s">
        <v>416</v>
      </c>
      <c r="M1609" s="171"/>
      <c r="N1609" s="171"/>
      <c r="O1609" s="171"/>
      <c r="P1609" s="170"/>
    </row>
    <row r="1610" spans="1:16" x14ac:dyDescent="0.25">
      <c r="A1610" s="168"/>
      <c r="B1610" s="177">
        <v>102318941</v>
      </c>
      <c r="C1610" s="178">
        <v>71097017</v>
      </c>
      <c r="D1610" s="179" t="s">
        <v>5287</v>
      </c>
      <c r="E1610" s="180" t="s">
        <v>3458</v>
      </c>
      <c r="F1610" s="181" t="s">
        <v>381</v>
      </c>
      <c r="G1610" s="170"/>
      <c r="H1610" s="170"/>
      <c r="I1610" s="170"/>
      <c r="J1610" s="171"/>
      <c r="K1610" s="171"/>
      <c r="L1610" s="168" t="s">
        <v>421</v>
      </c>
      <c r="M1610" s="171"/>
      <c r="N1610" s="171"/>
      <c r="O1610" s="171"/>
      <c r="P1610" s="170"/>
    </row>
    <row r="1611" spans="1:16" x14ac:dyDescent="0.25">
      <c r="A1611" s="168"/>
      <c r="B1611" s="177">
        <v>102318976</v>
      </c>
      <c r="C1611" s="178">
        <v>79455301</v>
      </c>
      <c r="D1611" s="179" t="s">
        <v>5323</v>
      </c>
      <c r="E1611" s="180" t="s">
        <v>3527</v>
      </c>
      <c r="F1611" s="181" t="s">
        <v>379</v>
      </c>
      <c r="G1611" s="170"/>
      <c r="H1611" s="170"/>
      <c r="I1611" s="170"/>
      <c r="J1611" s="171"/>
      <c r="K1611" s="171"/>
      <c r="L1611" s="168" t="s">
        <v>422</v>
      </c>
      <c r="M1611" s="171"/>
      <c r="N1611" s="171"/>
      <c r="O1611" s="171"/>
      <c r="P1611" s="170"/>
    </row>
    <row r="1612" spans="1:16" x14ac:dyDescent="0.25">
      <c r="A1612" s="168"/>
      <c r="B1612" s="177">
        <v>102318904</v>
      </c>
      <c r="C1612" s="178">
        <v>75952951</v>
      </c>
      <c r="D1612" s="179" t="s">
        <v>5247</v>
      </c>
      <c r="E1612" s="180" t="s">
        <v>3390</v>
      </c>
      <c r="F1612" s="181" t="s">
        <v>381</v>
      </c>
      <c r="G1612" s="170"/>
      <c r="H1612" s="170"/>
      <c r="I1612" s="170"/>
      <c r="J1612" s="171"/>
      <c r="K1612" s="171"/>
      <c r="L1612" s="168" t="s">
        <v>420</v>
      </c>
      <c r="M1612" s="171"/>
      <c r="N1612" s="171"/>
      <c r="O1612" s="171"/>
      <c r="P1612" s="170"/>
    </row>
    <row r="1613" spans="1:16" x14ac:dyDescent="0.25">
      <c r="A1613" s="168"/>
      <c r="B1613" s="177">
        <v>102318831</v>
      </c>
      <c r="C1613" s="178">
        <v>82601060</v>
      </c>
      <c r="D1613" s="179" t="s">
        <v>5169</v>
      </c>
      <c r="E1613" s="180" t="s">
        <v>3258</v>
      </c>
      <c r="F1613" s="181" t="s">
        <v>379</v>
      </c>
      <c r="G1613" s="170"/>
      <c r="H1613" s="170"/>
      <c r="I1613" s="170"/>
      <c r="J1613" s="171"/>
      <c r="K1613" s="171"/>
      <c r="L1613" s="168" t="s">
        <v>417</v>
      </c>
      <c r="M1613" s="171"/>
      <c r="N1613" s="171"/>
      <c r="O1613" s="171"/>
      <c r="P1613" s="170"/>
    </row>
    <row r="1614" spans="1:16" x14ac:dyDescent="0.25">
      <c r="A1614" s="168"/>
      <c r="B1614" s="177">
        <v>102319047</v>
      </c>
      <c r="C1614" s="178">
        <v>79026089</v>
      </c>
      <c r="D1614" s="179" t="s">
        <v>5397</v>
      </c>
      <c r="E1614" s="180" t="s">
        <v>3660</v>
      </c>
      <c r="F1614" s="181" t="s">
        <v>379</v>
      </c>
      <c r="G1614" s="170"/>
      <c r="H1614" s="170"/>
      <c r="I1614" s="170"/>
      <c r="J1614" s="171"/>
      <c r="K1614" s="171"/>
      <c r="L1614" s="168" t="s">
        <v>424</v>
      </c>
      <c r="M1614" s="171"/>
      <c r="N1614" s="171"/>
      <c r="O1614" s="171"/>
      <c r="P1614" s="170"/>
    </row>
    <row r="1615" spans="1:16" x14ac:dyDescent="0.25">
      <c r="A1615" s="168"/>
      <c r="B1615" s="177">
        <v>102319013</v>
      </c>
      <c r="C1615" s="178">
        <v>75058906</v>
      </c>
      <c r="D1615" s="179" t="s">
        <v>5361</v>
      </c>
      <c r="E1615" s="180" t="s">
        <v>3597</v>
      </c>
      <c r="F1615" s="181" t="s">
        <v>381</v>
      </c>
      <c r="G1615" s="170"/>
      <c r="H1615" s="170"/>
      <c r="I1615" s="170"/>
      <c r="J1615" s="171"/>
      <c r="K1615" s="171"/>
      <c r="L1615" s="168" t="s">
        <v>423</v>
      </c>
      <c r="M1615" s="171"/>
      <c r="N1615" s="171"/>
      <c r="O1615" s="171"/>
      <c r="P1615" s="170"/>
    </row>
    <row r="1616" spans="1:16" x14ac:dyDescent="0.25">
      <c r="A1616" s="168"/>
      <c r="B1616" s="177">
        <v>102318905</v>
      </c>
      <c r="C1616" s="178">
        <v>74550036</v>
      </c>
      <c r="D1616" s="179" t="s">
        <v>5248</v>
      </c>
      <c r="E1616" s="180" t="s">
        <v>3392</v>
      </c>
      <c r="F1616" s="181" t="s">
        <v>381</v>
      </c>
      <c r="G1616" s="170"/>
      <c r="H1616" s="170"/>
      <c r="I1616" s="170"/>
      <c r="J1616" s="171"/>
      <c r="K1616" s="171"/>
      <c r="L1616" s="168" t="s">
        <v>420</v>
      </c>
      <c r="M1616" s="171"/>
      <c r="N1616" s="171"/>
      <c r="O1616" s="171"/>
      <c r="P1616" s="170"/>
    </row>
    <row r="1617" spans="1:16" x14ac:dyDescent="0.25">
      <c r="A1617" s="168"/>
      <c r="B1617" s="177">
        <v>102318942</v>
      </c>
      <c r="C1617" s="178">
        <v>85090302</v>
      </c>
      <c r="D1617" s="179" t="s">
        <v>5288</v>
      </c>
      <c r="E1617" s="180" t="s">
        <v>3460</v>
      </c>
      <c r="F1617" s="181" t="s">
        <v>381</v>
      </c>
      <c r="G1617" s="170"/>
      <c r="H1617" s="170"/>
      <c r="I1617" s="170"/>
      <c r="J1617" s="171"/>
      <c r="K1617" s="171"/>
      <c r="L1617" s="168" t="s">
        <v>421</v>
      </c>
      <c r="M1617" s="171"/>
      <c r="N1617" s="171"/>
      <c r="O1617" s="171"/>
      <c r="P1617" s="170"/>
    </row>
    <row r="1618" spans="1:16" x14ac:dyDescent="0.25">
      <c r="A1618" s="168"/>
      <c r="B1618" s="177">
        <v>102319014</v>
      </c>
      <c r="C1618" s="178">
        <v>86108172</v>
      </c>
      <c r="D1618" s="179" t="s">
        <v>5362</v>
      </c>
      <c r="E1618" s="180" t="s">
        <v>3599</v>
      </c>
      <c r="F1618" s="181" t="s">
        <v>381</v>
      </c>
      <c r="G1618" s="170"/>
      <c r="H1618" s="170"/>
      <c r="I1618" s="170"/>
      <c r="J1618" s="171"/>
      <c r="K1618" s="171"/>
      <c r="L1618" s="168" t="s">
        <v>423</v>
      </c>
      <c r="M1618" s="171"/>
      <c r="N1618" s="171"/>
      <c r="O1618" s="171"/>
      <c r="P1618" s="170"/>
    </row>
    <row r="1619" spans="1:16" x14ac:dyDescent="0.25">
      <c r="A1619" s="168"/>
      <c r="B1619" s="177">
        <v>102318872</v>
      </c>
      <c r="C1619" s="178">
        <v>87348149</v>
      </c>
      <c r="D1619" s="179" t="s">
        <v>5212</v>
      </c>
      <c r="E1619" s="180" t="s">
        <v>3334</v>
      </c>
      <c r="F1619" s="181" t="s">
        <v>381</v>
      </c>
      <c r="G1619" s="170"/>
      <c r="H1619" s="170"/>
      <c r="I1619" s="170"/>
      <c r="J1619" s="171"/>
      <c r="K1619" s="171"/>
      <c r="L1619" s="168" t="s">
        <v>419</v>
      </c>
      <c r="M1619" s="171"/>
      <c r="N1619" s="171"/>
      <c r="O1619" s="171"/>
      <c r="P1619" s="170"/>
    </row>
    <row r="1620" spans="1:16" x14ac:dyDescent="0.25">
      <c r="A1620" s="168"/>
      <c r="B1620" s="177">
        <v>102319048</v>
      </c>
      <c r="C1620" s="178">
        <v>82328377</v>
      </c>
      <c r="D1620" s="179" t="s">
        <v>5398</v>
      </c>
      <c r="E1620" s="180" t="s">
        <v>3662</v>
      </c>
      <c r="F1620" s="181" t="s">
        <v>379</v>
      </c>
      <c r="G1620" s="170"/>
      <c r="H1620" s="170"/>
      <c r="I1620" s="170"/>
      <c r="J1620" s="171"/>
      <c r="K1620" s="171"/>
      <c r="L1620" s="168" t="s">
        <v>424</v>
      </c>
      <c r="M1620" s="171"/>
      <c r="N1620" s="171"/>
      <c r="O1620" s="171"/>
      <c r="P1620" s="170"/>
    </row>
    <row r="1621" spans="1:16" x14ac:dyDescent="0.25">
      <c r="A1621" s="168"/>
      <c r="B1621" s="177">
        <v>102318832</v>
      </c>
      <c r="C1621" s="178">
        <v>86013230</v>
      </c>
      <c r="D1621" s="179" t="s">
        <v>5170</v>
      </c>
      <c r="E1621" s="180" t="s">
        <v>3260</v>
      </c>
      <c r="F1621" s="181" t="s">
        <v>381</v>
      </c>
      <c r="G1621" s="170"/>
      <c r="H1621" s="170"/>
      <c r="I1621" s="170"/>
      <c r="J1621" s="171"/>
      <c r="K1621" s="171"/>
      <c r="L1621" s="168" t="s">
        <v>417</v>
      </c>
      <c r="M1621" s="171"/>
      <c r="N1621" s="171"/>
      <c r="O1621" s="171"/>
      <c r="P1621" s="170"/>
    </row>
    <row r="1622" spans="1:16" x14ac:dyDescent="0.25">
      <c r="A1622" s="168"/>
      <c r="B1622" s="177">
        <v>102318799</v>
      </c>
      <c r="C1622" s="178">
        <v>75122729</v>
      </c>
      <c r="D1622" s="179" t="s">
        <v>5135</v>
      </c>
      <c r="E1622" s="180" t="s">
        <v>3194</v>
      </c>
      <c r="F1622" s="181" t="s">
        <v>381</v>
      </c>
      <c r="G1622" s="170"/>
      <c r="H1622" s="170"/>
      <c r="I1622" s="170"/>
      <c r="J1622" s="171"/>
      <c r="K1622" s="171"/>
      <c r="L1622" s="168" t="s">
        <v>416</v>
      </c>
      <c r="M1622" s="171"/>
      <c r="N1622" s="171"/>
      <c r="O1622" s="171"/>
      <c r="P1622" s="170"/>
    </row>
    <row r="1623" spans="1:16" x14ac:dyDescent="0.25">
      <c r="A1623" s="168"/>
      <c r="B1623" s="177">
        <v>102318977</v>
      </c>
      <c r="C1623" s="178">
        <v>86781654</v>
      </c>
      <c r="D1623" s="179" t="s">
        <v>5324</v>
      </c>
      <c r="E1623" s="180" t="s">
        <v>3529</v>
      </c>
      <c r="F1623" s="181" t="s">
        <v>379</v>
      </c>
      <c r="G1623" s="170"/>
      <c r="H1623" s="170"/>
      <c r="I1623" s="170"/>
      <c r="J1623" s="171"/>
      <c r="K1623" s="171"/>
      <c r="L1623" s="168" t="s">
        <v>422</v>
      </c>
      <c r="M1623" s="171"/>
      <c r="N1623" s="171"/>
      <c r="O1623" s="171"/>
      <c r="P1623" s="170"/>
    </row>
    <row r="1624" spans="1:16" x14ac:dyDescent="0.25">
      <c r="A1624" s="168"/>
      <c r="B1624" s="177">
        <v>102318906</v>
      </c>
      <c r="C1624" s="178">
        <v>83037301</v>
      </c>
      <c r="D1624" s="179" t="s">
        <v>5249</v>
      </c>
      <c r="E1624" s="180" t="s">
        <v>3394</v>
      </c>
      <c r="F1624" s="181" t="s">
        <v>381</v>
      </c>
      <c r="G1624" s="170"/>
      <c r="H1624" s="170"/>
      <c r="I1624" s="170"/>
      <c r="J1624" s="171"/>
      <c r="K1624" s="171"/>
      <c r="L1624" s="168" t="s">
        <v>420</v>
      </c>
      <c r="M1624" s="171"/>
      <c r="N1624" s="171"/>
      <c r="O1624" s="171"/>
      <c r="P1624" s="170"/>
    </row>
    <row r="1625" spans="1:16" x14ac:dyDescent="0.25">
      <c r="A1625" s="168"/>
      <c r="B1625" s="177">
        <v>102318800</v>
      </c>
      <c r="C1625" s="178">
        <v>88641135</v>
      </c>
      <c r="D1625" s="179" t="s">
        <v>5136</v>
      </c>
      <c r="E1625" s="180" t="s">
        <v>3196</v>
      </c>
      <c r="F1625" s="181" t="s">
        <v>381</v>
      </c>
      <c r="G1625" s="170"/>
      <c r="H1625" s="170"/>
      <c r="I1625" s="170"/>
      <c r="J1625" s="171"/>
      <c r="K1625" s="171"/>
      <c r="L1625" s="168" t="s">
        <v>416</v>
      </c>
      <c r="M1625" s="171"/>
      <c r="N1625" s="171"/>
      <c r="O1625" s="171"/>
      <c r="P1625" s="170"/>
    </row>
    <row r="1626" spans="1:16" x14ac:dyDescent="0.25">
      <c r="A1626" s="168"/>
      <c r="B1626" s="177">
        <v>102318833</v>
      </c>
      <c r="C1626" s="178">
        <v>89963657</v>
      </c>
      <c r="D1626" s="179" t="s">
        <v>5171</v>
      </c>
      <c r="E1626" s="180" t="s">
        <v>3262</v>
      </c>
      <c r="F1626" s="181" t="s">
        <v>381</v>
      </c>
      <c r="G1626" s="170"/>
      <c r="H1626" s="170"/>
      <c r="I1626" s="170"/>
      <c r="J1626" s="171"/>
      <c r="K1626" s="171"/>
      <c r="L1626" s="168" t="s">
        <v>417</v>
      </c>
      <c r="M1626" s="171"/>
      <c r="N1626" s="171"/>
      <c r="O1626" s="171"/>
      <c r="P1626" s="170"/>
    </row>
    <row r="1627" spans="1:16" x14ac:dyDescent="0.25">
      <c r="A1627" s="168"/>
      <c r="B1627" s="177">
        <v>102318763</v>
      </c>
      <c r="C1627" s="178">
        <v>78016724</v>
      </c>
      <c r="D1627" s="179" t="s">
        <v>5096</v>
      </c>
      <c r="E1627" s="180" t="s">
        <v>3128</v>
      </c>
      <c r="F1627" s="181" t="s">
        <v>381</v>
      </c>
      <c r="G1627" s="170"/>
      <c r="H1627" s="170"/>
      <c r="I1627" s="170"/>
      <c r="J1627" s="171"/>
      <c r="K1627" s="171"/>
      <c r="L1627" s="168" t="s">
        <v>404</v>
      </c>
      <c r="M1627" s="171"/>
      <c r="N1627" s="171"/>
      <c r="O1627" s="171"/>
      <c r="P1627" s="170"/>
    </row>
    <row r="1628" spans="1:16" x14ac:dyDescent="0.25">
      <c r="A1628" s="168"/>
      <c r="B1628" s="177">
        <v>102318801</v>
      </c>
      <c r="C1628" s="178">
        <v>75641736</v>
      </c>
      <c r="D1628" s="179" t="s">
        <v>5137</v>
      </c>
      <c r="E1628" s="180" t="s">
        <v>3198</v>
      </c>
      <c r="F1628" s="181" t="s">
        <v>381</v>
      </c>
      <c r="G1628" s="170"/>
      <c r="H1628" s="170"/>
      <c r="I1628" s="170"/>
      <c r="J1628" s="171"/>
      <c r="K1628" s="171"/>
      <c r="L1628" s="168" t="s">
        <v>416</v>
      </c>
      <c r="M1628" s="171"/>
      <c r="N1628" s="171"/>
      <c r="O1628" s="171"/>
      <c r="P1628" s="170"/>
    </row>
    <row r="1629" spans="1:16" x14ac:dyDescent="0.25">
      <c r="A1629" s="168"/>
      <c r="B1629" s="177">
        <v>102318978</v>
      </c>
      <c r="C1629" s="178">
        <v>77366569</v>
      </c>
      <c r="D1629" s="179" t="s">
        <v>5325</v>
      </c>
      <c r="E1629" s="180" t="s">
        <v>3531</v>
      </c>
      <c r="F1629" s="181" t="s">
        <v>379</v>
      </c>
      <c r="G1629" s="170"/>
      <c r="H1629" s="170"/>
      <c r="I1629" s="170"/>
      <c r="J1629" s="171"/>
      <c r="K1629" s="171"/>
      <c r="L1629" s="168" t="s">
        <v>422</v>
      </c>
      <c r="M1629" s="171"/>
      <c r="N1629" s="171"/>
      <c r="O1629" s="171"/>
      <c r="P1629" s="170"/>
    </row>
    <row r="1630" spans="1:16" x14ac:dyDescent="0.25">
      <c r="A1630" s="168"/>
      <c r="B1630" s="177">
        <v>102318835</v>
      </c>
      <c r="C1630" s="178">
        <v>76646342</v>
      </c>
      <c r="D1630" s="179" t="s">
        <v>5172</v>
      </c>
      <c r="E1630" s="180" t="s">
        <v>3265</v>
      </c>
      <c r="F1630" s="181" t="s">
        <v>381</v>
      </c>
      <c r="G1630" s="170"/>
      <c r="H1630" s="170"/>
      <c r="I1630" s="170"/>
      <c r="J1630" s="171"/>
      <c r="K1630" s="171"/>
      <c r="L1630" s="168" t="s">
        <v>417</v>
      </c>
      <c r="M1630" s="171"/>
      <c r="N1630" s="171"/>
      <c r="O1630" s="171"/>
      <c r="P1630" s="170"/>
    </row>
    <row r="1631" spans="1:16" x14ac:dyDescent="0.25">
      <c r="A1631" s="168"/>
      <c r="B1631" s="177">
        <v>102319121</v>
      </c>
      <c r="C1631" s="178">
        <v>3087024329</v>
      </c>
      <c r="D1631" s="179" t="s">
        <v>5474</v>
      </c>
      <c r="E1631" s="180" t="s">
        <v>3798</v>
      </c>
      <c r="F1631" s="181" t="s">
        <v>381</v>
      </c>
      <c r="G1631" s="170"/>
      <c r="H1631" s="170"/>
      <c r="I1631" s="170"/>
      <c r="J1631" s="171"/>
      <c r="K1631" s="171"/>
      <c r="L1631" s="168" t="s">
        <v>426</v>
      </c>
      <c r="M1631" s="171"/>
      <c r="N1631" s="171"/>
      <c r="O1631" s="171"/>
      <c r="P1631" s="170"/>
    </row>
    <row r="1632" spans="1:16" x14ac:dyDescent="0.25">
      <c r="A1632" s="168"/>
      <c r="B1632" s="177">
        <v>102318907</v>
      </c>
      <c r="C1632" s="178">
        <v>82148661</v>
      </c>
      <c r="D1632" s="179" t="s">
        <v>5250</v>
      </c>
      <c r="E1632" s="180" t="s">
        <v>3396</v>
      </c>
      <c r="F1632" s="181" t="s">
        <v>381</v>
      </c>
      <c r="G1632" s="170"/>
      <c r="H1632" s="170"/>
      <c r="I1632" s="170"/>
      <c r="J1632" s="171"/>
      <c r="K1632" s="171"/>
      <c r="L1632" s="168" t="s">
        <v>420</v>
      </c>
      <c r="M1632" s="171"/>
      <c r="N1632" s="171"/>
      <c r="O1632" s="171"/>
      <c r="P1632" s="170"/>
    </row>
    <row r="1633" spans="1:16" x14ac:dyDescent="0.25">
      <c r="A1633" s="168"/>
      <c r="B1633" s="177">
        <v>102318764</v>
      </c>
      <c r="C1633" s="178">
        <v>85595699</v>
      </c>
      <c r="D1633" s="179" t="s">
        <v>5097</v>
      </c>
      <c r="E1633" s="180" t="s">
        <v>3130</v>
      </c>
      <c r="F1633" s="181" t="s">
        <v>381</v>
      </c>
      <c r="G1633" s="170"/>
      <c r="H1633" s="170"/>
      <c r="I1633" s="170"/>
      <c r="J1633" s="171"/>
      <c r="K1633" s="171"/>
      <c r="L1633" s="168" t="s">
        <v>404</v>
      </c>
      <c r="M1633" s="171"/>
      <c r="N1633" s="171"/>
      <c r="O1633" s="171"/>
      <c r="P1633" s="170"/>
    </row>
    <row r="1634" spans="1:16" x14ac:dyDescent="0.25">
      <c r="A1634" s="168"/>
      <c r="B1634" s="177">
        <v>102318873</v>
      </c>
      <c r="C1634" s="178">
        <v>82558202</v>
      </c>
      <c r="D1634" s="179" t="s">
        <v>5213</v>
      </c>
      <c r="E1634" s="180" t="s">
        <v>3336</v>
      </c>
      <c r="F1634" s="181" t="s">
        <v>381</v>
      </c>
      <c r="G1634" s="170"/>
      <c r="H1634" s="170"/>
      <c r="I1634" s="170"/>
      <c r="J1634" s="171"/>
      <c r="K1634" s="171"/>
      <c r="L1634" s="168" t="s">
        <v>419</v>
      </c>
      <c r="M1634" s="171"/>
      <c r="N1634" s="171"/>
      <c r="O1634" s="171"/>
      <c r="P1634" s="170"/>
    </row>
    <row r="1635" spans="1:16" x14ac:dyDescent="0.25">
      <c r="A1635" s="168"/>
      <c r="B1635" s="177">
        <v>102319049</v>
      </c>
      <c r="C1635" s="178">
        <v>81202818</v>
      </c>
      <c r="D1635" s="179" t="s">
        <v>5399</v>
      </c>
      <c r="E1635" s="180" t="s">
        <v>3664</v>
      </c>
      <c r="F1635" s="181" t="s">
        <v>379</v>
      </c>
      <c r="G1635" s="170"/>
      <c r="H1635" s="170"/>
      <c r="I1635" s="170"/>
      <c r="J1635" s="171"/>
      <c r="K1635" s="171"/>
      <c r="L1635" s="168" t="s">
        <v>424</v>
      </c>
      <c r="M1635" s="171"/>
      <c r="N1635" s="171"/>
      <c r="O1635" s="171"/>
      <c r="P1635" s="170"/>
    </row>
    <row r="1636" spans="1:16" x14ac:dyDescent="0.25">
      <c r="A1636" s="168"/>
      <c r="B1636" s="177">
        <v>102319050</v>
      </c>
      <c r="C1636" s="178">
        <v>85587746</v>
      </c>
      <c r="D1636" s="179" t="s">
        <v>5400</v>
      </c>
      <c r="E1636" s="180" t="s">
        <v>3666</v>
      </c>
      <c r="F1636" s="181" t="s">
        <v>379</v>
      </c>
      <c r="G1636" s="170"/>
      <c r="H1636" s="170"/>
      <c r="I1636" s="170"/>
      <c r="J1636" s="171"/>
      <c r="K1636" s="171"/>
      <c r="L1636" s="168" t="s">
        <v>424</v>
      </c>
      <c r="M1636" s="171"/>
      <c r="N1636" s="171"/>
      <c r="O1636" s="171"/>
      <c r="P1636" s="170"/>
    </row>
    <row r="1637" spans="1:16" x14ac:dyDescent="0.25">
      <c r="A1637" s="168"/>
      <c r="B1637" s="177">
        <v>102319051</v>
      </c>
      <c r="C1637" s="178">
        <v>86136143</v>
      </c>
      <c r="D1637" s="179" t="s">
        <v>5401</v>
      </c>
      <c r="E1637" s="180" t="s">
        <v>5402</v>
      </c>
      <c r="F1637" s="181" t="s">
        <v>379</v>
      </c>
      <c r="G1637" s="170"/>
      <c r="H1637" s="170"/>
      <c r="I1637" s="170"/>
      <c r="J1637" s="171"/>
      <c r="K1637" s="171"/>
      <c r="L1637" s="168" t="s">
        <v>424</v>
      </c>
      <c r="M1637" s="171"/>
      <c r="N1637" s="171"/>
      <c r="O1637" s="171"/>
      <c r="P1637" s="170" t="s">
        <v>5494</v>
      </c>
    </row>
    <row r="1638" spans="1:16" x14ac:dyDescent="0.25">
      <c r="A1638" s="168"/>
      <c r="B1638" s="177">
        <v>102318836</v>
      </c>
      <c r="C1638" s="178">
        <v>75496974</v>
      </c>
      <c r="D1638" s="179" t="s">
        <v>5173</v>
      </c>
      <c r="E1638" s="180" t="s">
        <v>3267</v>
      </c>
      <c r="F1638" s="181" t="s">
        <v>379</v>
      </c>
      <c r="G1638" s="170"/>
      <c r="H1638" s="170"/>
      <c r="I1638" s="170"/>
      <c r="J1638" s="171"/>
      <c r="K1638" s="171"/>
      <c r="L1638" s="168" t="s">
        <v>417</v>
      </c>
      <c r="M1638" s="171"/>
      <c r="N1638" s="171"/>
      <c r="O1638" s="171"/>
      <c r="P1638" s="170"/>
    </row>
    <row r="1639" spans="1:16" x14ac:dyDescent="0.25">
      <c r="A1639" s="168"/>
      <c r="B1639" s="177">
        <v>102319052</v>
      </c>
      <c r="C1639" s="178">
        <v>81577483</v>
      </c>
      <c r="D1639" s="179" t="s">
        <v>5403</v>
      </c>
      <c r="E1639" s="180" t="s">
        <v>3668</v>
      </c>
      <c r="F1639" s="181" t="s">
        <v>379</v>
      </c>
      <c r="G1639" s="170"/>
      <c r="H1639" s="170"/>
      <c r="I1639" s="170"/>
      <c r="J1639" s="171"/>
      <c r="K1639" s="171"/>
      <c r="L1639" s="168" t="s">
        <v>424</v>
      </c>
      <c r="M1639" s="171"/>
      <c r="N1639" s="171"/>
      <c r="O1639" s="171"/>
      <c r="P1639" s="170"/>
    </row>
    <row r="1640" spans="1:16" x14ac:dyDescent="0.25">
      <c r="A1640" s="168"/>
      <c r="B1640" s="177">
        <v>102318908</v>
      </c>
      <c r="C1640" s="178">
        <v>87761530</v>
      </c>
      <c r="D1640" s="179" t="s">
        <v>5251</v>
      </c>
      <c r="E1640" s="180" t="s">
        <v>3398</v>
      </c>
      <c r="F1640" s="181" t="s">
        <v>379</v>
      </c>
      <c r="G1640" s="170"/>
      <c r="H1640" s="170"/>
      <c r="I1640" s="170"/>
      <c r="J1640" s="171"/>
      <c r="K1640" s="171"/>
      <c r="L1640" s="168" t="s">
        <v>420</v>
      </c>
      <c r="M1640" s="171"/>
      <c r="N1640" s="171"/>
      <c r="O1640" s="171"/>
      <c r="P1640" s="170"/>
    </row>
    <row r="1641" spans="1:16" x14ac:dyDescent="0.25">
      <c r="A1641" s="168"/>
      <c r="B1641" s="177">
        <v>102318909</v>
      </c>
      <c r="C1641" s="178">
        <v>79455637</v>
      </c>
      <c r="D1641" s="179" t="s">
        <v>5252</v>
      </c>
      <c r="E1641" s="180" t="s">
        <v>3400</v>
      </c>
      <c r="F1641" s="181" t="s">
        <v>381</v>
      </c>
      <c r="G1641" s="170"/>
      <c r="H1641" s="170"/>
      <c r="I1641" s="170"/>
      <c r="J1641" s="171"/>
      <c r="K1641" s="171"/>
      <c r="L1641" s="168" t="s">
        <v>420</v>
      </c>
      <c r="M1641" s="171"/>
      <c r="N1641" s="171"/>
      <c r="O1641" s="171"/>
      <c r="P1641" s="170"/>
    </row>
    <row r="1642" spans="1:16" x14ac:dyDescent="0.25">
      <c r="A1642" s="168"/>
      <c r="B1642" s="177">
        <v>102318874</v>
      </c>
      <c r="C1642" s="178">
        <v>79163934</v>
      </c>
      <c r="D1642" s="179" t="s">
        <v>5214</v>
      </c>
      <c r="E1642" s="180" t="s">
        <v>3338</v>
      </c>
      <c r="F1642" s="181" t="s">
        <v>379</v>
      </c>
      <c r="G1642" s="170"/>
      <c r="H1642" s="170"/>
      <c r="I1642" s="170"/>
      <c r="J1642" s="171"/>
      <c r="K1642" s="171"/>
      <c r="L1642" s="168" t="s">
        <v>419</v>
      </c>
      <c r="M1642" s="171"/>
      <c r="N1642" s="171"/>
      <c r="O1642" s="171"/>
      <c r="P1642" s="170"/>
    </row>
    <row r="1643" spans="1:16" x14ac:dyDescent="0.25">
      <c r="A1643" s="168"/>
      <c r="B1643" s="177">
        <v>102318979</v>
      </c>
      <c r="C1643" s="178">
        <v>78311767</v>
      </c>
      <c r="D1643" s="179" t="s">
        <v>5326</v>
      </c>
      <c r="E1643" s="180" t="s">
        <v>3736</v>
      </c>
      <c r="F1643" s="181" t="s">
        <v>379</v>
      </c>
      <c r="G1643" s="170"/>
      <c r="H1643" s="170"/>
      <c r="I1643" s="170"/>
      <c r="J1643" s="171"/>
      <c r="K1643" s="171"/>
      <c r="L1643" s="168" t="s">
        <v>422</v>
      </c>
      <c r="M1643" s="171"/>
      <c r="N1643" s="171"/>
      <c r="O1643" s="171"/>
      <c r="P1643" s="170" t="s">
        <v>5501</v>
      </c>
    </row>
    <row r="1644" spans="1:16" x14ac:dyDescent="0.25">
      <c r="A1644" s="168"/>
      <c r="B1644" s="177">
        <v>102318980</v>
      </c>
      <c r="C1644" s="178">
        <v>74272821</v>
      </c>
      <c r="D1644" s="179" t="s">
        <v>5327</v>
      </c>
      <c r="E1644" s="180" t="s">
        <v>3533</v>
      </c>
      <c r="F1644" s="181" t="s">
        <v>379</v>
      </c>
      <c r="G1644" s="170"/>
      <c r="H1644" s="170"/>
      <c r="I1644" s="170"/>
      <c r="J1644" s="171"/>
      <c r="K1644" s="171"/>
      <c r="L1644" s="168" t="s">
        <v>422</v>
      </c>
      <c r="M1644" s="171"/>
      <c r="N1644" s="171"/>
      <c r="O1644" s="171"/>
      <c r="P1644" s="170"/>
    </row>
    <row r="1645" spans="1:16" x14ac:dyDescent="0.25">
      <c r="A1645" s="168"/>
      <c r="B1645" s="177">
        <v>102319015</v>
      </c>
      <c r="C1645" s="178">
        <v>72358122</v>
      </c>
      <c r="D1645" s="179" t="s">
        <v>5363</v>
      </c>
      <c r="E1645" s="180" t="s">
        <v>3601</v>
      </c>
      <c r="F1645" s="181" t="s">
        <v>379</v>
      </c>
      <c r="G1645" s="170"/>
      <c r="H1645" s="170"/>
      <c r="I1645" s="170"/>
      <c r="J1645" s="171"/>
      <c r="K1645" s="171"/>
      <c r="L1645" s="168" t="s">
        <v>423</v>
      </c>
      <c r="M1645" s="171"/>
      <c r="N1645" s="171"/>
      <c r="O1645" s="171"/>
      <c r="P1645" s="170"/>
    </row>
    <row r="1646" spans="1:16" x14ac:dyDescent="0.25">
      <c r="A1646" s="168"/>
      <c r="B1646" s="177">
        <v>102319122</v>
      </c>
      <c r="C1646" s="178">
        <v>86768209</v>
      </c>
      <c r="D1646" s="179" t="s">
        <v>5475</v>
      </c>
      <c r="E1646" s="180" t="s">
        <v>3799</v>
      </c>
      <c r="F1646" s="181" t="s">
        <v>379</v>
      </c>
      <c r="G1646" s="170"/>
      <c r="H1646" s="170"/>
      <c r="I1646" s="170"/>
      <c r="J1646" s="171"/>
      <c r="K1646" s="171"/>
      <c r="L1646" s="168" t="s">
        <v>426</v>
      </c>
      <c r="M1646" s="171"/>
      <c r="N1646" s="171"/>
      <c r="O1646" s="171"/>
      <c r="P1646" s="170"/>
    </row>
    <row r="1647" spans="1:16" x14ac:dyDescent="0.25">
      <c r="A1647" s="168"/>
      <c r="B1647" s="177">
        <v>102318875</v>
      </c>
      <c r="C1647" s="178">
        <v>78924257</v>
      </c>
      <c r="D1647" s="179" t="s">
        <v>5215</v>
      </c>
      <c r="E1647" s="180" t="s">
        <v>3848</v>
      </c>
      <c r="F1647" s="181" t="s">
        <v>379</v>
      </c>
      <c r="G1647" s="170"/>
      <c r="H1647" s="170"/>
      <c r="I1647" s="170"/>
      <c r="J1647" s="171"/>
      <c r="K1647" s="171"/>
      <c r="L1647" s="168" t="s">
        <v>419</v>
      </c>
      <c r="M1647" s="171"/>
      <c r="N1647" s="171"/>
      <c r="O1647" s="171"/>
      <c r="P1647" s="170" t="s">
        <v>5500</v>
      </c>
    </row>
    <row r="1648" spans="1:16" x14ac:dyDescent="0.25">
      <c r="A1648" s="168"/>
      <c r="B1648" s="177">
        <v>102318876</v>
      </c>
      <c r="C1648" s="178">
        <v>62181246</v>
      </c>
      <c r="D1648" s="179" t="s">
        <v>5216</v>
      </c>
      <c r="E1648" s="180" t="s">
        <v>3340</v>
      </c>
      <c r="F1648" s="181" t="s">
        <v>379</v>
      </c>
      <c r="G1648" s="170"/>
      <c r="H1648" s="170"/>
      <c r="I1648" s="170"/>
      <c r="J1648" s="171"/>
      <c r="K1648" s="171"/>
      <c r="L1648" s="168" t="s">
        <v>419</v>
      </c>
      <c r="M1648" s="171"/>
      <c r="N1648" s="171"/>
      <c r="O1648" s="171"/>
      <c r="P1648" s="170"/>
    </row>
    <row r="1649" spans="1:16" x14ac:dyDescent="0.25">
      <c r="A1649" s="168"/>
      <c r="B1649" s="177">
        <v>102318943</v>
      </c>
      <c r="C1649" s="178">
        <v>73595772</v>
      </c>
      <c r="D1649" s="179" t="s">
        <v>5289</v>
      </c>
      <c r="E1649" s="180" t="s">
        <v>3462</v>
      </c>
      <c r="F1649" s="181" t="s">
        <v>381</v>
      </c>
      <c r="G1649" s="170"/>
      <c r="H1649" s="170"/>
      <c r="I1649" s="170"/>
      <c r="J1649" s="171"/>
      <c r="K1649" s="171"/>
      <c r="L1649" s="168" t="s">
        <v>421</v>
      </c>
      <c r="M1649" s="171"/>
      <c r="N1649" s="171"/>
      <c r="O1649" s="171"/>
      <c r="P1649" s="170"/>
    </row>
    <row r="1650" spans="1:16" x14ac:dyDescent="0.25">
      <c r="A1650" s="168"/>
      <c r="B1650" s="177">
        <v>102318944</v>
      </c>
      <c r="C1650" s="178">
        <v>79998162</v>
      </c>
      <c r="D1650" s="179" t="s">
        <v>5290</v>
      </c>
      <c r="E1650" s="180" t="s">
        <v>5291</v>
      </c>
      <c r="F1650" s="181" t="s">
        <v>381</v>
      </c>
      <c r="G1650" s="170"/>
      <c r="H1650" s="170"/>
      <c r="I1650" s="170"/>
      <c r="J1650" s="171"/>
      <c r="K1650" s="171"/>
      <c r="L1650" s="168" t="s">
        <v>421</v>
      </c>
      <c r="M1650" s="171"/>
      <c r="N1650" s="171"/>
      <c r="O1650" s="171"/>
      <c r="P1650" s="170"/>
    </row>
    <row r="1651" spans="1:16" x14ac:dyDescent="0.25">
      <c r="A1651" s="168"/>
      <c r="B1651" s="177">
        <v>102318837</v>
      </c>
      <c r="C1651" s="178">
        <v>79232250</v>
      </c>
      <c r="D1651" s="179" t="s">
        <v>5174</v>
      </c>
      <c r="E1651" s="180" t="s">
        <v>5175</v>
      </c>
      <c r="F1651" s="181" t="s">
        <v>381</v>
      </c>
      <c r="G1651" s="170"/>
      <c r="H1651" s="170"/>
      <c r="I1651" s="170"/>
      <c r="J1651" s="171"/>
      <c r="K1651" s="171"/>
      <c r="L1651" s="168" t="s">
        <v>417</v>
      </c>
      <c r="M1651" s="171"/>
      <c r="N1651" s="171"/>
      <c r="O1651" s="171"/>
      <c r="P1651" s="170" t="s">
        <v>5495</v>
      </c>
    </row>
    <row r="1652" spans="1:16" x14ac:dyDescent="0.25">
      <c r="A1652" s="168"/>
      <c r="B1652" s="177">
        <v>102318945</v>
      </c>
      <c r="C1652" s="178">
        <v>89016673</v>
      </c>
      <c r="D1652" s="179" t="s">
        <v>5292</v>
      </c>
      <c r="E1652" s="180" t="s">
        <v>3466</v>
      </c>
      <c r="F1652" s="181" t="s">
        <v>379</v>
      </c>
      <c r="G1652" s="170"/>
      <c r="H1652" s="170"/>
      <c r="I1652" s="170"/>
      <c r="J1652" s="171"/>
      <c r="K1652" s="171"/>
      <c r="L1652" s="168" t="s">
        <v>421</v>
      </c>
      <c r="M1652" s="171"/>
      <c r="N1652" s="171"/>
      <c r="O1652" s="171"/>
      <c r="P1652" s="170"/>
    </row>
    <row r="1653" spans="1:16" x14ac:dyDescent="0.25">
      <c r="A1653" s="168"/>
      <c r="B1653" s="177">
        <v>102318802</v>
      </c>
      <c r="C1653" s="178">
        <v>88615018</v>
      </c>
      <c r="D1653" s="179" t="s">
        <v>5138</v>
      </c>
      <c r="E1653" s="180" t="s">
        <v>3200</v>
      </c>
      <c r="F1653" s="181" t="s">
        <v>379</v>
      </c>
      <c r="G1653" s="170"/>
      <c r="H1653" s="170"/>
      <c r="I1653" s="170"/>
      <c r="J1653" s="171"/>
      <c r="K1653" s="171"/>
      <c r="L1653" s="168" t="s">
        <v>416</v>
      </c>
      <c r="M1653" s="171"/>
      <c r="N1653" s="171"/>
      <c r="O1653" s="171"/>
      <c r="P1653" s="170"/>
    </row>
    <row r="1654" spans="1:16" x14ac:dyDescent="0.25">
      <c r="A1654" s="168"/>
      <c r="B1654" s="177">
        <v>102319016</v>
      </c>
      <c r="C1654" s="178">
        <v>75976833</v>
      </c>
      <c r="D1654" s="179" t="s">
        <v>5364</v>
      </c>
      <c r="E1654" s="180" t="s">
        <v>3603</v>
      </c>
      <c r="F1654" s="181" t="s">
        <v>379</v>
      </c>
      <c r="G1654" s="170"/>
      <c r="H1654" s="170"/>
      <c r="I1654" s="170"/>
      <c r="J1654" s="171"/>
      <c r="K1654" s="171"/>
      <c r="L1654" s="168" t="s">
        <v>423</v>
      </c>
      <c r="M1654" s="171"/>
      <c r="N1654" s="171"/>
      <c r="O1654" s="171"/>
      <c r="P1654" s="170"/>
    </row>
    <row r="1655" spans="1:16" x14ac:dyDescent="0.25">
      <c r="A1655" s="168"/>
      <c r="B1655" s="177">
        <v>102318946</v>
      </c>
      <c r="C1655" s="178">
        <v>84881148</v>
      </c>
      <c r="D1655" s="179" t="s">
        <v>5293</v>
      </c>
      <c r="E1655" s="180" t="s">
        <v>3468</v>
      </c>
      <c r="F1655" s="181" t="s">
        <v>381</v>
      </c>
      <c r="G1655" s="170"/>
      <c r="H1655" s="170"/>
      <c r="I1655" s="170"/>
      <c r="J1655" s="171"/>
      <c r="K1655" s="171"/>
      <c r="L1655" s="168" t="s">
        <v>421</v>
      </c>
      <c r="M1655" s="171"/>
      <c r="N1655" s="171"/>
      <c r="O1655" s="171"/>
      <c r="P1655" s="170"/>
    </row>
    <row r="1656" spans="1:16" x14ac:dyDescent="0.25">
      <c r="A1656" s="168"/>
      <c r="B1656" s="177">
        <v>102319053</v>
      </c>
      <c r="C1656" s="178">
        <v>72070192</v>
      </c>
      <c r="D1656" s="179" t="s">
        <v>5404</v>
      </c>
      <c r="E1656" s="180" t="s">
        <v>3670</v>
      </c>
      <c r="F1656" s="181" t="s">
        <v>379</v>
      </c>
      <c r="G1656" s="170"/>
      <c r="H1656" s="170"/>
      <c r="I1656" s="170"/>
      <c r="J1656" s="171"/>
      <c r="K1656" s="171"/>
      <c r="L1656" s="168" t="s">
        <v>424</v>
      </c>
      <c r="M1656" s="171"/>
      <c r="N1656" s="171"/>
      <c r="O1656" s="171"/>
      <c r="P1656" s="170"/>
    </row>
    <row r="1657" spans="1:16" x14ac:dyDescent="0.25">
      <c r="A1657" s="168"/>
      <c r="B1657" s="177">
        <v>102318765</v>
      </c>
      <c r="C1657" s="178">
        <v>71854052</v>
      </c>
      <c r="D1657" s="179" t="s">
        <v>5098</v>
      </c>
      <c r="E1657" s="180" t="s">
        <v>3132</v>
      </c>
      <c r="F1657" s="181" t="s">
        <v>379</v>
      </c>
      <c r="G1657" s="170"/>
      <c r="H1657" s="170"/>
      <c r="I1657" s="170"/>
      <c r="J1657" s="171"/>
      <c r="K1657" s="171"/>
      <c r="L1657" s="168" t="s">
        <v>404</v>
      </c>
      <c r="M1657" s="171"/>
      <c r="N1657" s="171"/>
      <c r="O1657" s="171"/>
      <c r="P1657" s="170"/>
    </row>
    <row r="1658" spans="1:16" x14ac:dyDescent="0.25">
      <c r="A1658" s="168"/>
      <c r="B1658" s="177">
        <v>102318766</v>
      </c>
      <c r="C1658" s="178">
        <v>74233228</v>
      </c>
      <c r="D1658" s="179" t="s">
        <v>5099</v>
      </c>
      <c r="E1658" s="180" t="s">
        <v>3134</v>
      </c>
      <c r="F1658" s="181" t="s">
        <v>381</v>
      </c>
      <c r="G1658" s="170"/>
      <c r="H1658" s="170"/>
      <c r="I1658" s="170"/>
      <c r="J1658" s="171"/>
      <c r="K1658" s="171"/>
      <c r="L1658" s="168" t="s">
        <v>404</v>
      </c>
      <c r="M1658" s="171"/>
      <c r="N1658" s="171"/>
      <c r="O1658" s="171"/>
      <c r="P1658" s="170"/>
    </row>
    <row r="1659" spans="1:16" x14ac:dyDescent="0.25">
      <c r="A1659" s="168"/>
      <c r="B1659" s="177">
        <v>102319123</v>
      </c>
      <c r="C1659" s="178">
        <v>75675961</v>
      </c>
      <c r="D1659" s="179" t="s">
        <v>5476</v>
      </c>
      <c r="E1659" s="180" t="s">
        <v>3801</v>
      </c>
      <c r="F1659" s="181" t="s">
        <v>379</v>
      </c>
      <c r="G1659" s="170"/>
      <c r="H1659" s="170"/>
      <c r="I1659" s="170"/>
      <c r="J1659" s="171"/>
      <c r="K1659" s="171"/>
      <c r="L1659" s="168" t="s">
        <v>426</v>
      </c>
      <c r="M1659" s="171"/>
      <c r="N1659" s="171"/>
      <c r="O1659" s="171"/>
      <c r="P1659" s="170"/>
    </row>
    <row r="1660" spans="1:16" x14ac:dyDescent="0.25">
      <c r="A1660" s="168"/>
      <c r="B1660" s="177">
        <v>102319124</v>
      </c>
      <c r="C1660" s="178">
        <v>61050096</v>
      </c>
      <c r="D1660" s="179" t="s">
        <v>5477</v>
      </c>
      <c r="E1660" s="180" t="s">
        <v>2673</v>
      </c>
      <c r="F1660" s="181" t="s">
        <v>379</v>
      </c>
      <c r="G1660" s="170"/>
      <c r="H1660" s="170"/>
      <c r="I1660" s="170"/>
      <c r="J1660" s="171"/>
      <c r="K1660" s="171"/>
      <c r="L1660" s="168" t="s">
        <v>426</v>
      </c>
      <c r="M1660" s="171"/>
      <c r="N1660" s="171"/>
      <c r="O1660" s="171"/>
      <c r="P1660" s="170"/>
    </row>
    <row r="1661" spans="1:16" x14ac:dyDescent="0.25">
      <c r="A1661" s="168"/>
      <c r="B1661" s="177">
        <v>102319125</v>
      </c>
      <c r="C1661" s="178">
        <v>86595764</v>
      </c>
      <c r="D1661" s="179" t="s">
        <v>5478</v>
      </c>
      <c r="E1661" s="180" t="s">
        <v>3803</v>
      </c>
      <c r="F1661" s="181" t="s">
        <v>379</v>
      </c>
      <c r="G1661" s="170"/>
      <c r="H1661" s="170"/>
      <c r="I1661" s="170"/>
      <c r="J1661" s="171"/>
      <c r="K1661" s="171"/>
      <c r="L1661" s="168" t="s">
        <v>426</v>
      </c>
      <c r="M1661" s="171"/>
      <c r="N1661" s="171"/>
      <c r="O1661" s="171"/>
      <c r="P1661" s="170"/>
    </row>
    <row r="1662" spans="1:16" x14ac:dyDescent="0.25">
      <c r="A1662" s="168"/>
      <c r="B1662" s="177">
        <v>102318981</v>
      </c>
      <c r="C1662" s="178">
        <v>3082611104</v>
      </c>
      <c r="D1662" s="179" t="s">
        <v>5328</v>
      </c>
      <c r="E1662" s="180" t="s">
        <v>3535</v>
      </c>
      <c r="F1662" s="181" t="s">
        <v>379</v>
      </c>
      <c r="G1662" s="170"/>
      <c r="H1662" s="170"/>
      <c r="I1662" s="170"/>
      <c r="J1662" s="171"/>
      <c r="K1662" s="171"/>
      <c r="L1662" s="168" t="s">
        <v>422</v>
      </c>
      <c r="M1662" s="171"/>
      <c r="N1662" s="171"/>
      <c r="O1662" s="171"/>
      <c r="P1662" s="170"/>
    </row>
    <row r="1663" spans="1:16" x14ac:dyDescent="0.25">
      <c r="A1663" s="168"/>
      <c r="B1663" s="177">
        <v>102318803</v>
      </c>
      <c r="C1663" s="178">
        <v>75507432</v>
      </c>
      <c r="D1663" s="179" t="s">
        <v>5139</v>
      </c>
      <c r="E1663" s="180" t="s">
        <v>3202</v>
      </c>
      <c r="F1663" s="181" t="s">
        <v>381</v>
      </c>
      <c r="G1663" s="170"/>
      <c r="H1663" s="170"/>
      <c r="I1663" s="170"/>
      <c r="J1663" s="171"/>
      <c r="K1663" s="171"/>
      <c r="L1663" s="168" t="s">
        <v>416</v>
      </c>
      <c r="M1663" s="171"/>
      <c r="N1663" s="171"/>
      <c r="O1663" s="171"/>
      <c r="P1663" s="170"/>
    </row>
    <row r="1664" spans="1:16" x14ac:dyDescent="0.25">
      <c r="A1664" s="168"/>
      <c r="B1664" s="177">
        <v>102318982</v>
      </c>
      <c r="C1664" s="178">
        <v>73516828</v>
      </c>
      <c r="D1664" s="179" t="s">
        <v>5329</v>
      </c>
      <c r="E1664" s="180" t="s">
        <v>3537</v>
      </c>
      <c r="F1664" s="181" t="s">
        <v>381</v>
      </c>
      <c r="G1664" s="170"/>
      <c r="H1664" s="170"/>
      <c r="I1664" s="170"/>
      <c r="J1664" s="171"/>
      <c r="K1664" s="171"/>
      <c r="L1664" s="168" t="s">
        <v>422</v>
      </c>
      <c r="M1664" s="171"/>
      <c r="N1664" s="171"/>
      <c r="O1664" s="171"/>
      <c r="P1664" s="170"/>
    </row>
    <row r="1665" spans="1:16" x14ac:dyDescent="0.25">
      <c r="A1665" s="168"/>
      <c r="B1665" s="177">
        <v>102319126</v>
      </c>
      <c r="C1665" s="178">
        <v>78318546</v>
      </c>
      <c r="D1665" s="179" t="s">
        <v>5479</v>
      </c>
      <c r="E1665" s="180" t="s">
        <v>3805</v>
      </c>
      <c r="F1665" s="181" t="s">
        <v>379</v>
      </c>
      <c r="G1665" s="170"/>
      <c r="H1665" s="170"/>
      <c r="I1665" s="170"/>
      <c r="J1665" s="171"/>
      <c r="K1665" s="171"/>
      <c r="L1665" s="168" t="s">
        <v>426</v>
      </c>
      <c r="M1665" s="171"/>
      <c r="N1665" s="171"/>
      <c r="O1665" s="171"/>
      <c r="P1665" s="170"/>
    </row>
    <row r="1666" spans="1:16" x14ac:dyDescent="0.25">
      <c r="A1666" s="168"/>
      <c r="B1666" s="177">
        <v>102319088</v>
      </c>
      <c r="C1666" s="178">
        <v>78307040</v>
      </c>
      <c r="D1666" s="179" t="s">
        <v>5439</v>
      </c>
      <c r="E1666" s="180" t="s">
        <v>3738</v>
      </c>
      <c r="F1666" s="181" t="s">
        <v>379</v>
      </c>
      <c r="G1666" s="170"/>
      <c r="H1666" s="170"/>
      <c r="I1666" s="170"/>
      <c r="J1666" s="171"/>
      <c r="K1666" s="171"/>
      <c r="L1666" s="168" t="s">
        <v>425</v>
      </c>
      <c r="M1666" s="171"/>
      <c r="N1666" s="171"/>
      <c r="O1666" s="171"/>
      <c r="P1666" s="170"/>
    </row>
    <row r="1667" spans="1:16" x14ac:dyDescent="0.25">
      <c r="A1667" s="168"/>
      <c r="B1667" s="177">
        <v>102319017</v>
      </c>
      <c r="C1667" s="178">
        <v>73840374</v>
      </c>
      <c r="D1667" s="179" t="s">
        <v>5365</v>
      </c>
      <c r="E1667" s="180" t="s">
        <v>3604</v>
      </c>
      <c r="F1667" s="181" t="s">
        <v>379</v>
      </c>
      <c r="G1667" s="170"/>
      <c r="H1667" s="170"/>
      <c r="I1667" s="170"/>
      <c r="J1667" s="171"/>
      <c r="K1667" s="171"/>
      <c r="L1667" s="168" t="s">
        <v>423</v>
      </c>
      <c r="M1667" s="171"/>
      <c r="N1667" s="171"/>
      <c r="O1667" s="171"/>
      <c r="P1667" s="170"/>
    </row>
    <row r="1668" spans="1:16" x14ac:dyDescent="0.25">
      <c r="A1668" s="168"/>
      <c r="B1668" s="177">
        <v>102318877</v>
      </c>
      <c r="C1668" s="178">
        <v>79927454</v>
      </c>
      <c r="D1668" s="179" t="s">
        <v>5217</v>
      </c>
      <c r="E1668" s="180" t="s">
        <v>5218</v>
      </c>
      <c r="F1668" s="181" t="s">
        <v>379</v>
      </c>
      <c r="G1668" s="170"/>
      <c r="H1668" s="170"/>
      <c r="I1668" s="170"/>
      <c r="J1668" s="171"/>
      <c r="K1668" s="171"/>
      <c r="L1668" s="168" t="s">
        <v>419</v>
      </c>
      <c r="M1668" s="171"/>
      <c r="N1668" s="171"/>
      <c r="O1668" s="171"/>
      <c r="P1668" s="170" t="s">
        <v>5499</v>
      </c>
    </row>
    <row r="1669" spans="1:16" x14ac:dyDescent="0.25">
      <c r="A1669" s="168"/>
      <c r="B1669" s="177">
        <v>102319089</v>
      </c>
      <c r="C1669" s="178">
        <v>74911724</v>
      </c>
      <c r="D1669" s="179" t="s">
        <v>5440</v>
      </c>
      <c r="E1669" s="180" t="s">
        <v>3740</v>
      </c>
      <c r="F1669" s="181" t="s">
        <v>379</v>
      </c>
      <c r="G1669" s="170"/>
      <c r="H1669" s="170"/>
      <c r="I1669" s="170"/>
      <c r="J1669" s="171"/>
      <c r="K1669" s="171"/>
      <c r="L1669" s="168" t="s">
        <v>425</v>
      </c>
      <c r="M1669" s="171"/>
      <c r="N1669" s="171"/>
      <c r="O1669" s="171"/>
      <c r="P1669" s="170"/>
    </row>
    <row r="1670" spans="1:16" x14ac:dyDescent="0.25">
      <c r="A1670" s="168"/>
      <c r="B1670" s="177">
        <v>102319018</v>
      </c>
      <c r="C1670" s="178">
        <v>76723923</v>
      </c>
      <c r="D1670" s="179" t="s">
        <v>5366</v>
      </c>
      <c r="E1670" s="180" t="s">
        <v>3606</v>
      </c>
      <c r="F1670" s="181" t="s">
        <v>381</v>
      </c>
      <c r="G1670" s="170"/>
      <c r="H1670" s="170"/>
      <c r="I1670" s="170"/>
      <c r="J1670" s="171"/>
      <c r="K1670" s="171"/>
      <c r="L1670" s="168" t="s">
        <v>423</v>
      </c>
      <c r="M1670" s="171"/>
      <c r="N1670" s="171"/>
      <c r="O1670" s="171"/>
      <c r="P1670" s="170"/>
    </row>
    <row r="1671" spans="1:16" x14ac:dyDescent="0.25">
      <c r="A1671" s="168"/>
      <c r="B1671" s="177">
        <v>102319019</v>
      </c>
      <c r="C1671" s="178">
        <v>84628722</v>
      </c>
      <c r="D1671" s="179" t="s">
        <v>5367</v>
      </c>
      <c r="E1671" s="180" t="s">
        <v>3608</v>
      </c>
      <c r="F1671" s="181" t="s">
        <v>381</v>
      </c>
      <c r="G1671" s="170"/>
      <c r="H1671" s="170"/>
      <c r="I1671" s="170"/>
      <c r="J1671" s="171"/>
      <c r="K1671" s="171"/>
      <c r="L1671" s="168" t="s">
        <v>423</v>
      </c>
      <c r="M1671" s="171"/>
      <c r="N1671" s="171"/>
      <c r="O1671" s="171"/>
      <c r="P1671" s="170"/>
    </row>
    <row r="1672" spans="1:16" x14ac:dyDescent="0.25">
      <c r="A1672" s="168"/>
      <c r="B1672" s="177">
        <v>102318983</v>
      </c>
      <c r="C1672" s="178">
        <v>77659637</v>
      </c>
      <c r="D1672" s="179" t="s">
        <v>5330</v>
      </c>
      <c r="E1672" s="180" t="s">
        <v>3539</v>
      </c>
      <c r="F1672" s="181" t="s">
        <v>379</v>
      </c>
      <c r="G1672" s="170"/>
      <c r="H1672" s="170"/>
      <c r="I1672" s="170"/>
      <c r="J1672" s="171"/>
      <c r="K1672" s="171"/>
      <c r="L1672" s="168" t="s">
        <v>422</v>
      </c>
      <c r="M1672" s="171"/>
      <c r="N1672" s="171"/>
      <c r="O1672" s="171"/>
      <c r="P1672" s="170"/>
    </row>
    <row r="1673" spans="1:16" x14ac:dyDescent="0.25">
      <c r="A1673" s="168"/>
      <c r="B1673" s="177">
        <v>102319127</v>
      </c>
      <c r="C1673" s="178">
        <v>88799076</v>
      </c>
      <c r="D1673" s="179" t="s">
        <v>5480</v>
      </c>
      <c r="E1673" s="180" t="s">
        <v>3807</v>
      </c>
      <c r="F1673" s="181" t="s">
        <v>379</v>
      </c>
      <c r="G1673" s="170"/>
      <c r="H1673" s="170"/>
      <c r="I1673" s="170"/>
      <c r="J1673" s="171"/>
      <c r="K1673" s="171"/>
      <c r="L1673" s="168" t="s">
        <v>426</v>
      </c>
      <c r="M1673" s="171"/>
      <c r="N1673" s="171"/>
      <c r="O1673" s="171"/>
      <c r="P1673" s="170"/>
    </row>
    <row r="1674" spans="1:16" x14ac:dyDescent="0.25">
      <c r="A1674" s="168"/>
      <c r="B1674" s="177">
        <v>102319090</v>
      </c>
      <c r="C1674" s="178">
        <v>72673710</v>
      </c>
      <c r="D1674" s="179" t="s">
        <v>5441</v>
      </c>
      <c r="E1674" s="180" t="s">
        <v>3742</v>
      </c>
      <c r="F1674" s="181" t="s">
        <v>379</v>
      </c>
      <c r="G1674" s="170"/>
      <c r="H1674" s="170"/>
      <c r="I1674" s="170"/>
      <c r="J1674" s="171"/>
      <c r="K1674" s="171"/>
      <c r="L1674" s="168" t="s">
        <v>425</v>
      </c>
      <c r="M1674" s="171"/>
      <c r="N1674" s="171"/>
      <c r="O1674" s="171"/>
      <c r="P1674" s="170"/>
    </row>
    <row r="1675" spans="1:16" x14ac:dyDescent="0.25">
      <c r="A1675" s="168"/>
      <c r="B1675" s="177">
        <v>102318767</v>
      </c>
      <c r="C1675" s="178">
        <v>81133852</v>
      </c>
      <c r="D1675" s="179" t="s">
        <v>5100</v>
      </c>
      <c r="E1675" s="180" t="s">
        <v>3136</v>
      </c>
      <c r="F1675" s="181" t="s">
        <v>379</v>
      </c>
      <c r="G1675" s="170"/>
      <c r="H1675" s="170"/>
      <c r="I1675" s="170"/>
      <c r="J1675" s="171"/>
      <c r="K1675" s="171"/>
      <c r="L1675" s="168" t="s">
        <v>404</v>
      </c>
      <c r="M1675" s="171"/>
      <c r="N1675" s="171"/>
      <c r="O1675" s="171"/>
      <c r="P1675" s="170"/>
    </row>
    <row r="1676" spans="1:16" x14ac:dyDescent="0.25">
      <c r="A1676" s="168"/>
      <c r="B1676" s="177">
        <v>102319091</v>
      </c>
      <c r="C1676" s="178">
        <v>78058614</v>
      </c>
      <c r="D1676" s="179" t="s">
        <v>5442</v>
      </c>
      <c r="E1676" s="180" t="s">
        <v>3744</v>
      </c>
      <c r="F1676" s="181" t="s">
        <v>379</v>
      </c>
      <c r="G1676" s="170"/>
      <c r="H1676" s="170"/>
      <c r="I1676" s="170"/>
      <c r="J1676" s="171"/>
      <c r="K1676" s="171"/>
      <c r="L1676" s="168" t="s">
        <v>425</v>
      </c>
      <c r="M1676" s="171"/>
      <c r="N1676" s="171"/>
      <c r="O1676" s="171"/>
      <c r="P1676" s="170"/>
    </row>
    <row r="1677" spans="1:16" x14ac:dyDescent="0.25">
      <c r="A1677" s="168"/>
      <c r="B1677" s="177">
        <v>102319128</v>
      </c>
      <c r="C1677" s="178">
        <v>75791606</v>
      </c>
      <c r="D1677" s="179" t="s">
        <v>5481</v>
      </c>
      <c r="E1677" s="180" t="s">
        <v>3809</v>
      </c>
      <c r="F1677" s="181" t="s">
        <v>379</v>
      </c>
      <c r="G1677" s="170"/>
      <c r="H1677" s="170"/>
      <c r="I1677" s="170"/>
      <c r="J1677" s="171"/>
      <c r="K1677" s="171"/>
      <c r="L1677" s="168" t="s">
        <v>426</v>
      </c>
      <c r="M1677" s="171"/>
      <c r="N1677" s="171"/>
      <c r="O1677" s="171"/>
      <c r="P1677" s="170"/>
    </row>
    <row r="1678" spans="1:16" x14ac:dyDescent="0.25">
      <c r="A1678" s="168"/>
      <c r="B1678" s="177">
        <v>102318910</v>
      </c>
      <c r="C1678" s="178">
        <v>76152564</v>
      </c>
      <c r="D1678" s="179" t="s">
        <v>5253</v>
      </c>
      <c r="E1678" s="180" t="s">
        <v>3402</v>
      </c>
      <c r="F1678" s="181" t="s">
        <v>381</v>
      </c>
      <c r="G1678" s="170"/>
      <c r="H1678" s="170"/>
      <c r="I1678" s="170"/>
      <c r="J1678" s="171"/>
      <c r="K1678" s="171"/>
      <c r="L1678" s="168" t="s">
        <v>420</v>
      </c>
      <c r="M1678" s="171"/>
      <c r="N1678" s="171"/>
      <c r="O1678" s="171"/>
      <c r="P1678" s="170"/>
    </row>
    <row r="1679" spans="1:16" x14ac:dyDescent="0.25">
      <c r="A1679" s="168"/>
      <c r="B1679" s="177">
        <v>102318768</v>
      </c>
      <c r="C1679" s="178">
        <v>3078294883</v>
      </c>
      <c r="D1679" s="179" t="s">
        <v>5101</v>
      </c>
      <c r="E1679" s="180" t="s">
        <v>3138</v>
      </c>
      <c r="F1679" s="181" t="s">
        <v>381</v>
      </c>
      <c r="G1679" s="170"/>
      <c r="H1679" s="170"/>
      <c r="I1679" s="170"/>
      <c r="J1679" s="171"/>
      <c r="K1679" s="171"/>
      <c r="L1679" s="168" t="s">
        <v>404</v>
      </c>
      <c r="M1679" s="171"/>
      <c r="N1679" s="171"/>
      <c r="O1679" s="171"/>
      <c r="P1679" s="170"/>
    </row>
    <row r="1680" spans="1:16" x14ac:dyDescent="0.25">
      <c r="A1680" s="168"/>
      <c r="B1680" s="177">
        <v>102318769</v>
      </c>
      <c r="C1680" s="178">
        <v>78892846</v>
      </c>
      <c r="D1680" s="179" t="s">
        <v>5102</v>
      </c>
      <c r="E1680" s="180" t="s">
        <v>3140</v>
      </c>
      <c r="F1680" s="181" t="s">
        <v>381</v>
      </c>
      <c r="G1680" s="170"/>
      <c r="H1680" s="170"/>
      <c r="I1680" s="170"/>
      <c r="J1680" s="171"/>
      <c r="K1680" s="171"/>
      <c r="L1680" s="168" t="s">
        <v>404</v>
      </c>
      <c r="M1680" s="171"/>
      <c r="N1680" s="171"/>
      <c r="O1680" s="171"/>
      <c r="P1680" s="170"/>
    </row>
    <row r="1681" spans="1:16" x14ac:dyDescent="0.25">
      <c r="A1681" s="168"/>
      <c r="B1681" s="177">
        <v>102318804</v>
      </c>
      <c r="C1681" s="178">
        <v>77007002</v>
      </c>
      <c r="D1681" s="179" t="s">
        <v>5140</v>
      </c>
      <c r="E1681" s="180" t="s">
        <v>3204</v>
      </c>
      <c r="F1681" s="181" t="s">
        <v>381</v>
      </c>
      <c r="G1681" s="170"/>
      <c r="H1681" s="170"/>
      <c r="I1681" s="170"/>
      <c r="J1681" s="171"/>
      <c r="K1681" s="171"/>
      <c r="L1681" s="168" t="s">
        <v>416</v>
      </c>
      <c r="M1681" s="171"/>
      <c r="N1681" s="171"/>
      <c r="O1681" s="171"/>
      <c r="P1681" s="170"/>
    </row>
    <row r="1682" spans="1:16" x14ac:dyDescent="0.25">
      <c r="A1682" s="168"/>
      <c r="B1682" s="177">
        <v>102319020</v>
      </c>
      <c r="C1682" s="178">
        <v>85067732</v>
      </c>
      <c r="D1682" s="179" t="s">
        <v>5368</v>
      </c>
      <c r="E1682" s="180" t="s">
        <v>3610</v>
      </c>
      <c r="F1682" s="181" t="s">
        <v>379</v>
      </c>
      <c r="G1682" s="170"/>
      <c r="H1682" s="170"/>
      <c r="I1682" s="170"/>
      <c r="J1682" s="171"/>
      <c r="K1682" s="171"/>
      <c r="L1682" s="168" t="s">
        <v>423</v>
      </c>
      <c r="M1682" s="171"/>
      <c r="N1682" s="171"/>
      <c r="O1682" s="171"/>
      <c r="P1682" s="170"/>
    </row>
    <row r="1683" spans="1:16" x14ac:dyDescent="0.25">
      <c r="A1683" s="168"/>
      <c r="B1683" s="177">
        <v>102318805</v>
      </c>
      <c r="C1683" s="178">
        <v>79635732</v>
      </c>
      <c r="D1683" s="179" t="s">
        <v>5141</v>
      </c>
      <c r="E1683" s="180" t="s">
        <v>3206</v>
      </c>
      <c r="F1683" s="181" t="s">
        <v>379</v>
      </c>
      <c r="G1683" s="170"/>
      <c r="H1683" s="170"/>
      <c r="I1683" s="170"/>
      <c r="J1683" s="171"/>
      <c r="K1683" s="171"/>
      <c r="L1683" s="168" t="s">
        <v>416</v>
      </c>
      <c r="M1683" s="171"/>
      <c r="N1683" s="171"/>
      <c r="O1683" s="171"/>
      <c r="P1683" s="170"/>
    </row>
    <row r="1684" spans="1:16" x14ac:dyDescent="0.25">
      <c r="A1684" s="168"/>
      <c r="B1684" s="177">
        <v>102318911</v>
      </c>
      <c r="C1684" s="178">
        <v>87429415</v>
      </c>
      <c r="D1684" s="179" t="s">
        <v>5254</v>
      </c>
      <c r="E1684" s="180" t="s">
        <v>3404</v>
      </c>
      <c r="F1684" s="181" t="s">
        <v>379</v>
      </c>
      <c r="G1684" s="170"/>
      <c r="H1684" s="170"/>
      <c r="I1684" s="170"/>
      <c r="J1684" s="171"/>
      <c r="K1684" s="171"/>
      <c r="L1684" s="168" t="s">
        <v>420</v>
      </c>
      <c r="M1684" s="171"/>
      <c r="N1684" s="171"/>
      <c r="O1684" s="171"/>
      <c r="P1684" s="170"/>
    </row>
    <row r="1685" spans="1:16" x14ac:dyDescent="0.25">
      <c r="A1685" s="168"/>
      <c r="B1685" s="177">
        <v>102318984</v>
      </c>
      <c r="C1685" s="178">
        <v>87964467</v>
      </c>
      <c r="D1685" s="179" t="s">
        <v>5331</v>
      </c>
      <c r="E1685" s="180" t="s">
        <v>3541</v>
      </c>
      <c r="F1685" s="181" t="s">
        <v>379</v>
      </c>
      <c r="G1685" s="170"/>
      <c r="H1685" s="170"/>
      <c r="I1685" s="170"/>
      <c r="J1685" s="171"/>
      <c r="K1685" s="171"/>
      <c r="L1685" s="168" t="s">
        <v>422</v>
      </c>
      <c r="M1685" s="171"/>
      <c r="N1685" s="171"/>
      <c r="O1685" s="171"/>
      <c r="P1685" s="170"/>
    </row>
    <row r="1686" spans="1:16" x14ac:dyDescent="0.25">
      <c r="A1686" s="168"/>
      <c r="B1686" s="177">
        <v>102318947</v>
      </c>
      <c r="C1686" s="178">
        <v>88024882</v>
      </c>
      <c r="D1686" s="179" t="s">
        <v>5294</v>
      </c>
      <c r="E1686" s="180" t="s">
        <v>3470</v>
      </c>
      <c r="F1686" s="181" t="s">
        <v>381</v>
      </c>
      <c r="G1686" s="170"/>
      <c r="H1686" s="170"/>
      <c r="I1686" s="170"/>
      <c r="J1686" s="171"/>
      <c r="K1686" s="171"/>
      <c r="L1686" s="168" t="s">
        <v>421</v>
      </c>
      <c r="M1686" s="171"/>
      <c r="N1686" s="171"/>
      <c r="O1686" s="171"/>
      <c r="P1686" s="170"/>
    </row>
    <row r="1687" spans="1:16" x14ac:dyDescent="0.25">
      <c r="A1687" s="168"/>
      <c r="B1687" s="177">
        <v>102318770</v>
      </c>
      <c r="C1687" s="178">
        <v>86108062</v>
      </c>
      <c r="D1687" s="179" t="s">
        <v>5103</v>
      </c>
      <c r="E1687" s="180" t="s">
        <v>3142</v>
      </c>
      <c r="F1687" s="181" t="s">
        <v>379</v>
      </c>
      <c r="G1687" s="170"/>
      <c r="H1687" s="170"/>
      <c r="I1687" s="170"/>
      <c r="J1687" s="171"/>
      <c r="K1687" s="171"/>
      <c r="L1687" s="168" t="s">
        <v>404</v>
      </c>
      <c r="M1687" s="171"/>
      <c r="N1687" s="171"/>
      <c r="O1687" s="171"/>
      <c r="P1687" s="170"/>
    </row>
    <row r="1688" spans="1:16" x14ac:dyDescent="0.25">
      <c r="A1688" s="168"/>
      <c r="B1688" s="177">
        <v>102318948</v>
      </c>
      <c r="C1688" s="178">
        <v>84794823</v>
      </c>
      <c r="D1688" s="179" t="s">
        <v>5295</v>
      </c>
      <c r="E1688" s="180" t="s">
        <v>3472</v>
      </c>
      <c r="F1688" s="181" t="s">
        <v>381</v>
      </c>
      <c r="G1688" s="170"/>
      <c r="H1688" s="170"/>
      <c r="I1688" s="170"/>
      <c r="J1688" s="171"/>
      <c r="K1688" s="171"/>
      <c r="L1688" s="168" t="s">
        <v>421</v>
      </c>
      <c r="M1688" s="171"/>
      <c r="N1688" s="171"/>
      <c r="O1688" s="171"/>
      <c r="P1688" s="170"/>
    </row>
    <row r="1689" spans="1:16" x14ac:dyDescent="0.25">
      <c r="A1689" s="168"/>
      <c r="B1689" s="177">
        <v>102319021</v>
      </c>
      <c r="C1689" s="178">
        <v>72275251</v>
      </c>
      <c r="D1689" s="179" t="s">
        <v>5369</v>
      </c>
      <c r="E1689" s="180" t="s">
        <v>3612</v>
      </c>
      <c r="F1689" s="181" t="s">
        <v>381</v>
      </c>
      <c r="G1689" s="170"/>
      <c r="H1689" s="170"/>
      <c r="I1689" s="170"/>
      <c r="J1689" s="171"/>
      <c r="K1689" s="171"/>
      <c r="L1689" s="168" t="s">
        <v>423</v>
      </c>
      <c r="M1689" s="171"/>
      <c r="N1689" s="171"/>
      <c r="O1689" s="171"/>
      <c r="P1689" s="170"/>
    </row>
    <row r="1690" spans="1:16" x14ac:dyDescent="0.25">
      <c r="A1690" s="168"/>
      <c r="B1690" s="177">
        <v>102318806</v>
      </c>
      <c r="C1690" s="178">
        <v>87009812</v>
      </c>
      <c r="D1690" s="179" t="s">
        <v>5142</v>
      </c>
      <c r="E1690" s="180" t="s">
        <v>3208</v>
      </c>
      <c r="F1690" s="181" t="s">
        <v>381</v>
      </c>
      <c r="G1690" s="170"/>
      <c r="H1690" s="170"/>
      <c r="I1690" s="170"/>
      <c r="J1690" s="171"/>
      <c r="K1690" s="171"/>
      <c r="L1690" s="168" t="s">
        <v>416</v>
      </c>
      <c r="M1690" s="171"/>
      <c r="N1690" s="171"/>
      <c r="O1690" s="171"/>
      <c r="P1690" s="170"/>
    </row>
    <row r="1691" spans="1:16" x14ac:dyDescent="0.25">
      <c r="A1691" s="168"/>
      <c r="B1691" s="177">
        <v>102319054</v>
      </c>
      <c r="C1691" s="178">
        <v>78228687</v>
      </c>
      <c r="D1691" s="179" t="s">
        <v>5405</v>
      </c>
      <c r="E1691" s="180" t="s">
        <v>3672</v>
      </c>
      <c r="F1691" s="181" t="s">
        <v>381</v>
      </c>
      <c r="G1691" s="170"/>
      <c r="H1691" s="170"/>
      <c r="I1691" s="170"/>
      <c r="J1691" s="171"/>
      <c r="K1691" s="171"/>
      <c r="L1691" s="168" t="s">
        <v>424</v>
      </c>
      <c r="M1691" s="171"/>
      <c r="N1691" s="171"/>
      <c r="O1691" s="171"/>
      <c r="P1691" s="170"/>
    </row>
    <row r="1692" spans="1:16" x14ac:dyDescent="0.25">
      <c r="A1692" s="168"/>
      <c r="B1692" s="177">
        <v>102319022</v>
      </c>
      <c r="C1692" s="178">
        <v>87316368</v>
      </c>
      <c r="D1692" s="179" t="s">
        <v>5370</v>
      </c>
      <c r="E1692" s="180" t="s">
        <v>5371</v>
      </c>
      <c r="F1692" s="181" t="s">
        <v>379</v>
      </c>
      <c r="G1692" s="170"/>
      <c r="H1692" s="170"/>
      <c r="I1692" s="170"/>
      <c r="J1692" s="171"/>
      <c r="K1692" s="171"/>
      <c r="L1692" s="168" t="s">
        <v>423</v>
      </c>
      <c r="M1692" s="171"/>
      <c r="N1692" s="171"/>
      <c r="O1692" s="171"/>
      <c r="P1692" s="170" t="s">
        <v>5489</v>
      </c>
    </row>
    <row r="1693" spans="1:16" x14ac:dyDescent="0.25">
      <c r="A1693" s="168"/>
      <c r="B1693" s="177">
        <v>102318838</v>
      </c>
      <c r="C1693" s="178">
        <v>85341813</v>
      </c>
      <c r="D1693" s="179" t="s">
        <v>5176</v>
      </c>
      <c r="E1693" s="180" t="s">
        <v>3269</v>
      </c>
      <c r="F1693" s="181" t="s">
        <v>381</v>
      </c>
      <c r="G1693" s="170"/>
      <c r="H1693" s="170"/>
      <c r="I1693" s="170"/>
      <c r="J1693" s="171"/>
      <c r="K1693" s="171"/>
      <c r="L1693" s="168" t="s">
        <v>417</v>
      </c>
      <c r="M1693" s="171"/>
      <c r="N1693" s="171"/>
      <c r="O1693" s="171"/>
      <c r="P1693" s="170"/>
    </row>
    <row r="1694" spans="1:16" x14ac:dyDescent="0.25">
      <c r="A1694" s="168"/>
      <c r="B1694" s="177">
        <v>102318912</v>
      </c>
      <c r="C1694" s="178">
        <v>88361461</v>
      </c>
      <c r="D1694" s="179" t="s">
        <v>5255</v>
      </c>
      <c r="E1694" s="180" t="s">
        <v>3406</v>
      </c>
      <c r="F1694" s="181" t="s">
        <v>381</v>
      </c>
      <c r="G1694" s="170"/>
      <c r="H1694" s="170"/>
      <c r="I1694" s="170"/>
      <c r="J1694" s="171"/>
      <c r="K1694" s="171"/>
      <c r="L1694" s="168" t="s">
        <v>420</v>
      </c>
      <c r="M1694" s="171"/>
      <c r="N1694" s="171"/>
      <c r="O1694" s="171"/>
      <c r="P1694" s="170"/>
    </row>
    <row r="1695" spans="1:16" x14ac:dyDescent="0.25">
      <c r="A1695" s="168"/>
      <c r="B1695" s="177">
        <v>102318839</v>
      </c>
      <c r="C1695" s="178">
        <v>77753281</v>
      </c>
      <c r="D1695" s="179" t="s">
        <v>5177</v>
      </c>
      <c r="E1695" s="180" t="s">
        <v>3271</v>
      </c>
      <c r="F1695" s="181" t="s">
        <v>381</v>
      </c>
      <c r="G1695" s="170"/>
      <c r="H1695" s="170"/>
      <c r="I1695" s="170"/>
      <c r="J1695" s="171"/>
      <c r="K1695" s="171"/>
      <c r="L1695" s="168" t="s">
        <v>417</v>
      </c>
      <c r="M1695" s="171"/>
      <c r="N1695" s="171"/>
      <c r="O1695" s="171"/>
      <c r="P1695" s="170"/>
    </row>
    <row r="1696" spans="1:16" x14ac:dyDescent="0.25">
      <c r="A1696" s="168"/>
      <c r="B1696" s="177">
        <v>102318771</v>
      </c>
      <c r="C1696" s="178">
        <v>75938192</v>
      </c>
      <c r="D1696" s="179" t="s">
        <v>5104</v>
      </c>
      <c r="E1696" s="180" t="s">
        <v>3144</v>
      </c>
      <c r="F1696" s="181" t="s">
        <v>379</v>
      </c>
      <c r="G1696" s="170"/>
      <c r="H1696" s="170"/>
      <c r="I1696" s="170"/>
      <c r="J1696" s="171"/>
      <c r="K1696" s="171"/>
      <c r="L1696" s="168" t="s">
        <v>404</v>
      </c>
      <c r="M1696" s="171"/>
      <c r="N1696" s="171"/>
      <c r="O1696" s="171"/>
      <c r="P1696" s="170"/>
    </row>
    <row r="1697" spans="1:16" x14ac:dyDescent="0.25">
      <c r="A1697" s="168"/>
      <c r="B1697" s="177">
        <v>102319023</v>
      </c>
      <c r="C1697" s="178">
        <v>87528383</v>
      </c>
      <c r="D1697" s="179" t="s">
        <v>5372</v>
      </c>
      <c r="E1697" s="180" t="s">
        <v>3614</v>
      </c>
      <c r="F1697" s="181" t="s">
        <v>379</v>
      </c>
      <c r="G1697" s="170"/>
      <c r="H1697" s="170"/>
      <c r="I1697" s="170"/>
      <c r="J1697" s="171"/>
      <c r="K1697" s="171"/>
      <c r="L1697" s="168" t="s">
        <v>423</v>
      </c>
      <c r="M1697" s="171"/>
      <c r="N1697" s="171"/>
      <c r="O1697" s="171"/>
      <c r="P1697" s="170"/>
    </row>
    <row r="1698" spans="1:16" x14ac:dyDescent="0.25">
      <c r="A1698" s="168"/>
      <c r="B1698" s="177">
        <v>102319092</v>
      </c>
      <c r="C1698" s="178">
        <v>86772171</v>
      </c>
      <c r="D1698" s="179" t="s">
        <v>5443</v>
      </c>
      <c r="E1698" s="180" t="s">
        <v>3746</v>
      </c>
      <c r="F1698" s="181" t="s">
        <v>379</v>
      </c>
      <c r="G1698" s="170"/>
      <c r="H1698" s="170"/>
      <c r="I1698" s="170"/>
      <c r="J1698" s="171"/>
      <c r="K1698" s="171"/>
      <c r="L1698" s="168" t="s">
        <v>425</v>
      </c>
      <c r="M1698" s="171"/>
      <c r="N1698" s="171"/>
      <c r="O1698" s="171"/>
      <c r="P1698" s="170"/>
    </row>
    <row r="1699" spans="1:16" x14ac:dyDescent="0.25">
      <c r="A1699" s="168"/>
      <c r="B1699" s="177">
        <v>102319055</v>
      </c>
      <c r="C1699" s="178">
        <v>83935390</v>
      </c>
      <c r="D1699" s="179" t="s">
        <v>5406</v>
      </c>
      <c r="E1699" s="180" t="s">
        <v>3674</v>
      </c>
      <c r="F1699" s="181" t="s">
        <v>379</v>
      </c>
      <c r="G1699" s="170"/>
      <c r="H1699" s="170"/>
      <c r="I1699" s="170"/>
      <c r="J1699" s="171"/>
      <c r="K1699" s="171"/>
      <c r="L1699" s="168" t="s">
        <v>424</v>
      </c>
      <c r="M1699" s="171"/>
      <c r="N1699" s="171"/>
      <c r="O1699" s="171"/>
      <c r="P1699" s="170"/>
    </row>
    <row r="1700" spans="1:16" x14ac:dyDescent="0.25">
      <c r="A1700" s="168"/>
      <c r="B1700" s="177">
        <v>102319056</v>
      </c>
      <c r="C1700" s="178">
        <v>87480517</v>
      </c>
      <c r="D1700" s="179" t="s">
        <v>5407</v>
      </c>
      <c r="E1700" s="180" t="s">
        <v>3676</v>
      </c>
      <c r="F1700" s="181" t="s">
        <v>379</v>
      </c>
      <c r="G1700" s="170"/>
      <c r="H1700" s="170"/>
      <c r="I1700" s="170"/>
      <c r="J1700" s="171"/>
      <c r="K1700" s="171"/>
      <c r="L1700" s="168" t="s">
        <v>424</v>
      </c>
      <c r="M1700" s="171"/>
      <c r="N1700" s="171"/>
      <c r="O1700" s="171"/>
      <c r="P1700" s="170"/>
    </row>
    <row r="1701" spans="1:16" x14ac:dyDescent="0.25">
      <c r="A1701" s="168"/>
      <c r="B1701" s="177">
        <v>102319093</v>
      </c>
      <c r="C1701" s="178">
        <v>71100442</v>
      </c>
      <c r="D1701" s="179" t="s">
        <v>5444</v>
      </c>
      <c r="E1701" s="180" t="s">
        <v>3748</v>
      </c>
      <c r="F1701" s="181" t="s">
        <v>381</v>
      </c>
      <c r="G1701" s="170"/>
      <c r="H1701" s="170"/>
      <c r="I1701" s="170"/>
      <c r="J1701" s="171"/>
      <c r="K1701" s="171"/>
      <c r="L1701" s="168" t="s">
        <v>425</v>
      </c>
      <c r="M1701" s="171"/>
      <c r="N1701" s="171"/>
      <c r="O1701" s="171"/>
      <c r="P1701" s="170"/>
    </row>
    <row r="1702" spans="1:16" x14ac:dyDescent="0.25">
      <c r="A1702" s="168"/>
      <c r="B1702" s="177">
        <v>102319024</v>
      </c>
      <c r="C1702" s="178">
        <v>61965192</v>
      </c>
      <c r="D1702" s="179" t="s">
        <v>5373</v>
      </c>
      <c r="E1702" s="180" t="s">
        <v>3616</v>
      </c>
      <c r="F1702" s="181" t="s">
        <v>379</v>
      </c>
      <c r="G1702" s="170"/>
      <c r="H1702" s="170"/>
      <c r="I1702" s="170"/>
      <c r="J1702" s="171"/>
      <c r="K1702" s="171"/>
      <c r="L1702" s="168" t="s">
        <v>423</v>
      </c>
      <c r="M1702" s="171"/>
      <c r="N1702" s="171"/>
      <c r="O1702" s="171"/>
      <c r="P1702" s="170"/>
    </row>
    <row r="1703" spans="1:16" x14ac:dyDescent="0.25">
      <c r="A1703" s="168"/>
      <c r="B1703" s="177">
        <v>102318807</v>
      </c>
      <c r="C1703" s="178">
        <v>73418492</v>
      </c>
      <c r="D1703" s="179" t="s">
        <v>5143</v>
      </c>
      <c r="E1703" s="180" t="s">
        <v>3210</v>
      </c>
      <c r="F1703" s="181" t="s">
        <v>381</v>
      </c>
      <c r="G1703" s="170"/>
      <c r="H1703" s="170"/>
      <c r="I1703" s="170"/>
      <c r="J1703" s="171"/>
      <c r="K1703" s="171"/>
      <c r="L1703" s="168" t="s">
        <v>416</v>
      </c>
      <c r="M1703" s="171"/>
      <c r="N1703" s="171"/>
      <c r="O1703" s="171"/>
      <c r="P1703" s="170"/>
    </row>
    <row r="1704" spans="1:16" x14ac:dyDescent="0.25">
      <c r="A1704" s="168"/>
      <c r="B1704" s="177">
        <v>102318878</v>
      </c>
      <c r="C1704" s="178">
        <v>81466861</v>
      </c>
      <c r="D1704" s="179" t="s">
        <v>5219</v>
      </c>
      <c r="E1704" s="180" t="s">
        <v>3342</v>
      </c>
      <c r="F1704" s="181" t="s">
        <v>381</v>
      </c>
      <c r="G1704" s="170"/>
      <c r="H1704" s="170"/>
      <c r="I1704" s="170"/>
      <c r="J1704" s="171"/>
      <c r="K1704" s="171"/>
      <c r="L1704" s="168" t="s">
        <v>419</v>
      </c>
      <c r="M1704" s="171"/>
      <c r="N1704" s="171"/>
      <c r="O1704" s="171"/>
      <c r="P1704" s="170"/>
    </row>
    <row r="1705" spans="1:16" x14ac:dyDescent="0.25">
      <c r="A1705" s="168"/>
      <c r="B1705" s="177">
        <v>102318840</v>
      </c>
      <c r="C1705" s="178">
        <v>85839134</v>
      </c>
      <c r="D1705" s="179" t="s">
        <v>5178</v>
      </c>
      <c r="E1705" s="180" t="s">
        <v>3273</v>
      </c>
      <c r="F1705" s="181" t="s">
        <v>381</v>
      </c>
      <c r="G1705" s="170"/>
      <c r="H1705" s="170"/>
      <c r="I1705" s="170"/>
      <c r="J1705" s="171"/>
      <c r="K1705" s="171"/>
      <c r="L1705" s="168" t="s">
        <v>417</v>
      </c>
      <c r="M1705" s="171"/>
      <c r="N1705" s="171"/>
      <c r="O1705" s="171"/>
      <c r="P1705" s="170"/>
    </row>
    <row r="1706" spans="1:16" x14ac:dyDescent="0.25">
      <c r="A1706" s="168"/>
      <c r="B1706" s="177">
        <v>102318841</v>
      </c>
      <c r="C1706" s="178">
        <v>86437547</v>
      </c>
      <c r="D1706" s="179" t="s">
        <v>5179</v>
      </c>
      <c r="E1706" s="180" t="s">
        <v>3275</v>
      </c>
      <c r="F1706" s="181" t="s">
        <v>381</v>
      </c>
      <c r="G1706" s="170"/>
      <c r="H1706" s="170"/>
      <c r="I1706" s="170"/>
      <c r="J1706" s="171"/>
      <c r="K1706" s="171"/>
      <c r="L1706" s="168" t="s">
        <v>417</v>
      </c>
      <c r="M1706" s="171"/>
      <c r="N1706" s="171"/>
      <c r="O1706" s="171"/>
      <c r="P1706" s="170"/>
    </row>
    <row r="1707" spans="1:16" x14ac:dyDescent="0.25">
      <c r="A1707" s="168"/>
      <c r="B1707" s="177">
        <v>102318913</v>
      </c>
      <c r="C1707" s="178">
        <v>76259081</v>
      </c>
      <c r="D1707" s="179" t="s">
        <v>5256</v>
      </c>
      <c r="E1707" s="180" t="s">
        <v>3408</v>
      </c>
      <c r="F1707" s="181" t="s">
        <v>381</v>
      </c>
      <c r="G1707" s="170"/>
      <c r="H1707" s="170"/>
      <c r="I1707" s="170"/>
      <c r="J1707" s="171"/>
      <c r="K1707" s="171"/>
      <c r="L1707" s="168" t="s">
        <v>420</v>
      </c>
      <c r="M1707" s="171"/>
      <c r="N1707" s="171"/>
      <c r="O1707" s="171"/>
      <c r="P1707" s="170"/>
    </row>
    <row r="1708" spans="1:16" x14ac:dyDescent="0.25">
      <c r="A1708" s="168"/>
      <c r="B1708" s="177">
        <v>102318949</v>
      </c>
      <c r="C1708" s="178">
        <v>74575647</v>
      </c>
      <c r="D1708" s="179" t="s">
        <v>5296</v>
      </c>
      <c r="E1708" s="180" t="s">
        <v>3474</v>
      </c>
      <c r="F1708" s="181" t="s">
        <v>381</v>
      </c>
      <c r="G1708" s="170"/>
      <c r="H1708" s="170"/>
      <c r="I1708" s="170"/>
      <c r="J1708" s="171"/>
      <c r="K1708" s="171"/>
      <c r="L1708" s="168" t="s">
        <v>421</v>
      </c>
      <c r="M1708" s="171"/>
      <c r="N1708" s="171"/>
      <c r="O1708" s="171"/>
      <c r="P1708" s="170"/>
    </row>
    <row r="1709" spans="1:16" x14ac:dyDescent="0.25">
      <c r="A1709" s="168"/>
      <c r="B1709" s="177">
        <v>102318808</v>
      </c>
      <c r="C1709" s="178">
        <v>84133237</v>
      </c>
      <c r="D1709" s="179" t="s">
        <v>5144</v>
      </c>
      <c r="E1709" s="180" t="s">
        <v>3212</v>
      </c>
      <c r="F1709" s="181" t="s">
        <v>381</v>
      </c>
      <c r="G1709" s="170"/>
      <c r="H1709" s="170"/>
      <c r="I1709" s="170"/>
      <c r="J1709" s="171"/>
      <c r="K1709" s="171"/>
      <c r="L1709" s="168" t="s">
        <v>416</v>
      </c>
      <c r="M1709" s="171"/>
      <c r="N1709" s="171"/>
      <c r="O1709" s="171"/>
      <c r="P1709" s="170"/>
    </row>
    <row r="1710" spans="1:16" x14ac:dyDescent="0.25">
      <c r="A1710" s="168"/>
      <c r="B1710" s="177">
        <v>102319129</v>
      </c>
      <c r="C1710" s="178">
        <v>71253626</v>
      </c>
      <c r="D1710" s="179" t="s">
        <v>5482</v>
      </c>
      <c r="E1710" s="180" t="s">
        <v>3811</v>
      </c>
      <c r="F1710" s="181" t="s">
        <v>379</v>
      </c>
      <c r="G1710" s="170"/>
      <c r="H1710" s="170"/>
      <c r="I1710" s="170"/>
      <c r="J1710" s="171"/>
      <c r="K1710" s="171"/>
      <c r="L1710" s="168" t="s">
        <v>426</v>
      </c>
      <c r="M1710" s="171"/>
      <c r="N1710" s="171"/>
      <c r="O1710" s="171"/>
      <c r="P1710" s="170"/>
    </row>
    <row r="1711" spans="1:16" x14ac:dyDescent="0.25">
      <c r="A1711" s="168"/>
      <c r="B1711" s="177">
        <v>102318879</v>
      </c>
      <c r="C1711" s="178">
        <v>87534748</v>
      </c>
      <c r="D1711" s="179" t="s">
        <v>5220</v>
      </c>
      <c r="E1711" s="180" t="s">
        <v>3344</v>
      </c>
      <c r="F1711" s="181" t="s">
        <v>381</v>
      </c>
      <c r="G1711" s="170"/>
      <c r="H1711" s="170"/>
      <c r="I1711" s="170"/>
      <c r="J1711" s="171"/>
      <c r="K1711" s="171"/>
      <c r="L1711" s="168" t="s">
        <v>419</v>
      </c>
      <c r="M1711" s="171"/>
      <c r="N1711" s="171"/>
      <c r="O1711" s="171"/>
      <c r="P1711" s="170"/>
    </row>
    <row r="1712" spans="1:16" x14ac:dyDescent="0.25">
      <c r="A1712" s="168"/>
      <c r="B1712" s="177">
        <v>102318950</v>
      </c>
      <c r="C1712" s="178">
        <v>84810048</v>
      </c>
      <c r="D1712" s="179" t="s">
        <v>5297</v>
      </c>
      <c r="E1712" s="180" t="s">
        <v>3476</v>
      </c>
      <c r="F1712" s="181" t="s">
        <v>381</v>
      </c>
      <c r="G1712" s="170"/>
      <c r="H1712" s="170"/>
      <c r="I1712" s="170"/>
      <c r="J1712" s="171"/>
      <c r="K1712" s="171"/>
      <c r="L1712" s="168" t="s">
        <v>421</v>
      </c>
      <c r="M1712" s="171"/>
      <c r="N1712" s="171"/>
      <c r="O1712" s="171"/>
      <c r="P1712" s="170"/>
    </row>
    <row r="1713" spans="1:16" x14ac:dyDescent="0.25">
      <c r="A1713" s="168"/>
      <c r="B1713" s="177">
        <v>102318809</v>
      </c>
      <c r="C1713" s="178">
        <v>83676718</v>
      </c>
      <c r="D1713" s="179" t="s">
        <v>5145</v>
      </c>
      <c r="E1713" s="180" t="s">
        <v>3214</v>
      </c>
      <c r="F1713" s="181" t="s">
        <v>381</v>
      </c>
      <c r="G1713" s="170"/>
      <c r="H1713" s="170"/>
      <c r="I1713" s="170"/>
      <c r="J1713" s="171"/>
      <c r="K1713" s="171"/>
      <c r="L1713" s="168" t="s">
        <v>416</v>
      </c>
      <c r="M1713" s="171"/>
      <c r="N1713" s="171"/>
      <c r="O1713" s="171"/>
      <c r="P1713" s="170"/>
    </row>
    <row r="1714" spans="1:16" x14ac:dyDescent="0.25">
      <c r="A1714" s="168"/>
      <c r="B1714" s="177">
        <v>102318914</v>
      </c>
      <c r="C1714" s="178">
        <v>86617146</v>
      </c>
      <c r="D1714" s="179" t="s">
        <v>5257</v>
      </c>
      <c r="E1714" s="180" t="s">
        <v>3410</v>
      </c>
      <c r="F1714" s="181" t="s">
        <v>381</v>
      </c>
      <c r="G1714" s="170"/>
      <c r="H1714" s="170"/>
      <c r="I1714" s="170"/>
      <c r="J1714" s="171"/>
      <c r="K1714" s="171"/>
      <c r="L1714" s="168" t="s">
        <v>420</v>
      </c>
      <c r="M1714" s="171"/>
      <c r="N1714" s="171"/>
      <c r="O1714" s="171"/>
      <c r="P1714" s="170"/>
    </row>
    <row r="1715" spans="1:16" x14ac:dyDescent="0.25">
      <c r="A1715" s="168"/>
      <c r="B1715" s="177">
        <v>102318985</v>
      </c>
      <c r="C1715" s="178">
        <v>76267127</v>
      </c>
      <c r="D1715" s="179" t="s">
        <v>5332</v>
      </c>
      <c r="E1715" s="180" t="s">
        <v>3543</v>
      </c>
      <c r="F1715" s="181" t="s">
        <v>381</v>
      </c>
      <c r="G1715" s="170"/>
      <c r="H1715" s="170"/>
      <c r="I1715" s="170"/>
      <c r="J1715" s="171"/>
      <c r="K1715" s="171"/>
      <c r="L1715" s="168" t="s">
        <v>422</v>
      </c>
      <c r="M1715" s="171"/>
      <c r="N1715" s="171"/>
      <c r="O1715" s="171"/>
      <c r="P1715" s="170"/>
    </row>
    <row r="1716" spans="1:16" x14ac:dyDescent="0.25">
      <c r="A1716" s="168"/>
      <c r="B1716" s="177">
        <v>102318880</v>
      </c>
      <c r="C1716" s="178">
        <v>89570855</v>
      </c>
      <c r="D1716" s="179" t="s">
        <v>5221</v>
      </c>
      <c r="E1716" s="180" t="s">
        <v>3346</v>
      </c>
      <c r="F1716" s="181" t="s">
        <v>381</v>
      </c>
      <c r="G1716" s="170"/>
      <c r="H1716" s="170"/>
      <c r="I1716" s="170"/>
      <c r="J1716" s="171"/>
      <c r="K1716" s="171"/>
      <c r="L1716" s="168" t="s">
        <v>419</v>
      </c>
      <c r="M1716" s="171"/>
      <c r="N1716" s="171"/>
      <c r="O1716" s="171"/>
      <c r="P1716" s="170"/>
    </row>
    <row r="1717" spans="1:16" x14ac:dyDescent="0.25">
      <c r="A1717" s="168"/>
      <c r="B1717" s="177">
        <v>102318951</v>
      </c>
      <c r="C1717" s="178">
        <v>78012684</v>
      </c>
      <c r="D1717" s="179" t="s">
        <v>5298</v>
      </c>
      <c r="E1717" s="180" t="s">
        <v>3478</v>
      </c>
      <c r="F1717" s="181" t="s">
        <v>379</v>
      </c>
      <c r="G1717" s="170"/>
      <c r="H1717" s="170"/>
      <c r="I1717" s="170"/>
      <c r="J1717" s="171"/>
      <c r="K1717" s="171"/>
      <c r="L1717" s="168" t="s">
        <v>421</v>
      </c>
      <c r="M1717" s="171"/>
      <c r="N1717" s="171"/>
      <c r="O1717" s="171"/>
      <c r="P1717" s="170"/>
    </row>
    <row r="1718" spans="1:16" x14ac:dyDescent="0.25">
      <c r="A1718" s="168"/>
      <c r="B1718" s="177">
        <v>102319130</v>
      </c>
      <c r="C1718" s="178">
        <v>72498929</v>
      </c>
      <c r="D1718" s="179" t="s">
        <v>5483</v>
      </c>
      <c r="E1718" s="180" t="s">
        <v>3813</v>
      </c>
      <c r="F1718" s="181" t="s">
        <v>379</v>
      </c>
      <c r="G1718" s="170"/>
      <c r="H1718" s="170"/>
      <c r="I1718" s="170"/>
      <c r="J1718" s="171"/>
      <c r="K1718" s="171"/>
      <c r="L1718" s="168" t="s">
        <v>426</v>
      </c>
      <c r="M1718" s="171"/>
      <c r="N1718" s="171"/>
      <c r="O1718" s="171"/>
      <c r="P1718" s="170"/>
    </row>
    <row r="1719" spans="1:16" x14ac:dyDescent="0.25">
      <c r="A1719" s="168"/>
      <c r="B1719" s="177">
        <v>102319131</v>
      </c>
      <c r="C1719" s="178">
        <v>88718943</v>
      </c>
      <c r="D1719" s="179" t="s">
        <v>5484</v>
      </c>
      <c r="E1719" s="180" t="s">
        <v>3815</v>
      </c>
      <c r="F1719" s="181" t="s">
        <v>379</v>
      </c>
      <c r="G1719" s="170"/>
      <c r="H1719" s="170"/>
      <c r="I1719" s="170"/>
      <c r="J1719" s="171"/>
      <c r="K1719" s="171"/>
      <c r="L1719" s="168" t="s">
        <v>426</v>
      </c>
      <c r="M1719" s="171"/>
      <c r="N1719" s="171"/>
      <c r="O1719" s="171"/>
      <c r="P1719" s="170"/>
    </row>
    <row r="1720" spans="1:16" x14ac:dyDescent="0.25">
      <c r="A1720" s="168"/>
      <c r="B1720" s="177">
        <v>102319057</v>
      </c>
      <c r="C1720" s="178">
        <v>74258368</v>
      </c>
      <c r="D1720" s="179" t="s">
        <v>5408</v>
      </c>
      <c r="E1720" s="180" t="s">
        <v>3678</v>
      </c>
      <c r="F1720" s="181" t="s">
        <v>381</v>
      </c>
      <c r="G1720" s="170"/>
      <c r="H1720" s="170"/>
      <c r="I1720" s="170"/>
      <c r="J1720" s="171"/>
      <c r="K1720" s="171"/>
      <c r="L1720" s="168" t="s">
        <v>424</v>
      </c>
      <c r="M1720" s="171"/>
      <c r="N1720" s="171"/>
      <c r="O1720" s="171"/>
      <c r="P1720" s="170"/>
    </row>
    <row r="1721" spans="1:16" x14ac:dyDescent="0.25">
      <c r="A1721" s="168"/>
      <c r="B1721" s="177">
        <v>102319058</v>
      </c>
      <c r="C1721" s="178">
        <v>75433510</v>
      </c>
      <c r="D1721" s="179" t="s">
        <v>5409</v>
      </c>
      <c r="E1721" s="180" t="s">
        <v>3834</v>
      </c>
      <c r="F1721" s="181" t="s">
        <v>379</v>
      </c>
      <c r="G1721" s="170"/>
      <c r="H1721" s="170"/>
      <c r="I1721" s="170"/>
      <c r="J1721" s="171"/>
      <c r="K1721" s="171"/>
      <c r="L1721" s="168" t="s">
        <v>424</v>
      </c>
      <c r="M1721" s="171"/>
      <c r="N1721" s="171"/>
      <c r="O1721" s="171"/>
      <c r="P1721" s="170"/>
    </row>
    <row r="1722" spans="1:16" x14ac:dyDescent="0.25">
      <c r="A1722" s="168"/>
      <c r="B1722" s="177">
        <v>102319059</v>
      </c>
      <c r="C1722" s="178">
        <v>82480255</v>
      </c>
      <c r="D1722" s="179" t="s">
        <v>5410</v>
      </c>
      <c r="E1722" s="180" t="s">
        <v>3681</v>
      </c>
      <c r="F1722" s="181" t="s">
        <v>379</v>
      </c>
      <c r="G1722" s="170"/>
      <c r="H1722" s="170"/>
      <c r="I1722" s="170"/>
      <c r="J1722" s="171"/>
      <c r="K1722" s="171"/>
      <c r="L1722" s="168" t="s">
        <v>424</v>
      </c>
      <c r="M1722" s="171"/>
      <c r="N1722" s="171"/>
      <c r="O1722" s="171"/>
      <c r="P1722" s="170"/>
    </row>
    <row r="1723" spans="1:16" x14ac:dyDescent="0.25">
      <c r="A1723" s="168"/>
      <c r="B1723" s="177">
        <v>102319060</v>
      </c>
      <c r="C1723" s="178">
        <v>88869033</v>
      </c>
      <c r="D1723" s="179" t="s">
        <v>5411</v>
      </c>
      <c r="E1723" s="180" t="s">
        <v>3683</v>
      </c>
      <c r="F1723" s="181" t="s">
        <v>379</v>
      </c>
      <c r="G1723" s="170"/>
      <c r="H1723" s="170"/>
      <c r="I1723" s="170"/>
      <c r="J1723" s="171"/>
      <c r="K1723" s="171"/>
      <c r="L1723" s="168" t="s">
        <v>424</v>
      </c>
      <c r="M1723" s="171"/>
      <c r="N1723" s="171"/>
      <c r="O1723" s="171"/>
      <c r="P1723" s="170"/>
    </row>
    <row r="1724" spans="1:16" x14ac:dyDescent="0.25">
      <c r="A1724" s="168"/>
      <c r="B1724" s="177">
        <v>102319132</v>
      </c>
      <c r="C1724" s="178">
        <v>83334829</v>
      </c>
      <c r="D1724" s="179" t="s">
        <v>5485</v>
      </c>
      <c r="E1724" s="180" t="s">
        <v>3817</v>
      </c>
      <c r="F1724" s="181" t="s">
        <v>379</v>
      </c>
      <c r="G1724" s="170"/>
      <c r="H1724" s="170"/>
      <c r="I1724" s="170"/>
      <c r="J1724" s="171"/>
      <c r="K1724" s="171"/>
      <c r="L1724" s="168" t="s">
        <v>426</v>
      </c>
      <c r="M1724" s="171"/>
      <c r="N1724" s="171"/>
      <c r="O1724" s="171"/>
      <c r="P1724" s="170"/>
    </row>
    <row r="1725" spans="1:16" x14ac:dyDescent="0.25">
      <c r="A1725" s="168"/>
      <c r="B1725" s="177">
        <v>102318842</v>
      </c>
      <c r="C1725" s="178">
        <v>86624127</v>
      </c>
      <c r="D1725" s="179" t="s">
        <v>5180</v>
      </c>
      <c r="E1725" s="180" t="s">
        <v>3277</v>
      </c>
      <c r="F1725" s="181" t="s">
        <v>381</v>
      </c>
      <c r="G1725" s="170"/>
      <c r="H1725" s="170"/>
      <c r="I1725" s="170"/>
      <c r="J1725" s="171"/>
      <c r="K1725" s="171"/>
      <c r="L1725" s="168" t="s">
        <v>417</v>
      </c>
      <c r="M1725" s="171"/>
      <c r="N1725" s="171"/>
      <c r="O1725" s="171"/>
      <c r="P1725" s="170"/>
    </row>
    <row r="1726" spans="1:16" x14ac:dyDescent="0.25">
      <c r="A1726" s="168"/>
      <c r="B1726" s="177">
        <v>102318986</v>
      </c>
      <c r="C1726" s="178">
        <v>88736872</v>
      </c>
      <c r="D1726" s="179" t="s">
        <v>5333</v>
      </c>
      <c r="E1726" s="180" t="s">
        <v>3545</v>
      </c>
      <c r="F1726" s="181" t="s">
        <v>381</v>
      </c>
      <c r="G1726" s="170"/>
      <c r="H1726" s="170"/>
      <c r="I1726" s="170"/>
      <c r="J1726" s="171"/>
      <c r="K1726" s="171"/>
      <c r="L1726" s="168" t="s">
        <v>422</v>
      </c>
      <c r="M1726" s="171"/>
      <c r="N1726" s="171"/>
      <c r="O1726" s="171"/>
      <c r="P1726" s="170"/>
    </row>
    <row r="1727" spans="1:16" x14ac:dyDescent="0.25">
      <c r="A1727" s="168"/>
      <c r="B1727" s="177">
        <v>102318772</v>
      </c>
      <c r="C1727" s="178">
        <v>78099494</v>
      </c>
      <c r="D1727" s="179" t="s">
        <v>5105</v>
      </c>
      <c r="E1727" s="180" t="s">
        <v>5106</v>
      </c>
      <c r="F1727" s="181" t="s">
        <v>379</v>
      </c>
      <c r="G1727" s="170"/>
      <c r="H1727" s="170"/>
      <c r="I1727" s="170"/>
      <c r="J1727" s="171"/>
      <c r="K1727" s="171"/>
      <c r="L1727" s="168" t="s">
        <v>404</v>
      </c>
      <c r="M1727" s="171"/>
      <c r="N1727" s="171"/>
      <c r="O1727" s="171"/>
      <c r="P1727" s="170" t="s">
        <v>5489</v>
      </c>
    </row>
    <row r="1728" spans="1:16" x14ac:dyDescent="0.25">
      <c r="A1728" s="168"/>
      <c r="B1728" s="177">
        <v>102319025</v>
      </c>
      <c r="C1728" s="178">
        <v>87700522</v>
      </c>
      <c r="D1728" s="179" t="s">
        <v>5374</v>
      </c>
      <c r="E1728" s="180" t="s">
        <v>3618</v>
      </c>
      <c r="F1728" s="181" t="s">
        <v>379</v>
      </c>
      <c r="G1728" s="170"/>
      <c r="H1728" s="170"/>
      <c r="I1728" s="170"/>
      <c r="J1728" s="171"/>
      <c r="K1728" s="171"/>
      <c r="L1728" s="168" t="s">
        <v>423</v>
      </c>
      <c r="M1728" s="171"/>
      <c r="N1728" s="171"/>
      <c r="O1728" s="171"/>
      <c r="P1728" s="170"/>
    </row>
    <row r="1729" spans="1:16" x14ac:dyDescent="0.25">
      <c r="A1729" s="168"/>
      <c r="B1729" s="177">
        <v>102318843</v>
      </c>
      <c r="C1729" s="178">
        <v>83798069</v>
      </c>
      <c r="D1729" s="179" t="s">
        <v>5181</v>
      </c>
      <c r="E1729" s="180" t="s">
        <v>3279</v>
      </c>
      <c r="F1729" s="181" t="s">
        <v>381</v>
      </c>
      <c r="G1729" s="170"/>
      <c r="H1729" s="170"/>
      <c r="I1729" s="170"/>
      <c r="J1729" s="171"/>
      <c r="K1729" s="171"/>
      <c r="L1729" s="168" t="s">
        <v>417</v>
      </c>
      <c r="M1729" s="171"/>
      <c r="N1729" s="171"/>
      <c r="O1729" s="171"/>
      <c r="P1729" s="170"/>
    </row>
    <row r="1730" spans="1:16" x14ac:dyDescent="0.25">
      <c r="A1730" s="168"/>
      <c r="B1730" s="177">
        <v>102318915</v>
      </c>
      <c r="C1730" s="178">
        <v>81165467</v>
      </c>
      <c r="D1730" s="179" t="s">
        <v>5258</v>
      </c>
      <c r="E1730" s="180" t="s">
        <v>3412</v>
      </c>
      <c r="F1730" s="181" t="s">
        <v>381</v>
      </c>
      <c r="G1730" s="170"/>
      <c r="H1730" s="170"/>
      <c r="I1730" s="170"/>
      <c r="J1730" s="171"/>
      <c r="K1730" s="171"/>
      <c r="L1730" s="168" t="s">
        <v>420</v>
      </c>
      <c r="M1730" s="171"/>
      <c r="N1730" s="171"/>
      <c r="O1730" s="171"/>
      <c r="P1730" s="170"/>
    </row>
    <row r="1731" spans="1:16" x14ac:dyDescent="0.25">
      <c r="A1731" s="168"/>
      <c r="B1731" s="177">
        <v>102319094</v>
      </c>
      <c r="C1731" s="178">
        <v>85141692</v>
      </c>
      <c r="D1731" s="179" t="s">
        <v>5445</v>
      </c>
      <c r="E1731" s="180" t="s">
        <v>3750</v>
      </c>
      <c r="F1731" s="181" t="s">
        <v>381</v>
      </c>
      <c r="G1731" s="170"/>
      <c r="H1731" s="170"/>
      <c r="I1731" s="170"/>
      <c r="J1731" s="171"/>
      <c r="K1731" s="171"/>
      <c r="L1731" s="168" t="s">
        <v>425</v>
      </c>
      <c r="M1731" s="171"/>
      <c r="N1731" s="171"/>
      <c r="O1731" s="171"/>
      <c r="P1731" s="170"/>
    </row>
    <row r="1732" spans="1:16" x14ac:dyDescent="0.25">
      <c r="A1732" s="168"/>
      <c r="B1732" s="177">
        <v>102318952</v>
      </c>
      <c r="C1732" s="178">
        <v>88120650</v>
      </c>
      <c r="D1732" s="179" t="s">
        <v>5299</v>
      </c>
      <c r="E1732" s="180" t="s">
        <v>3480</v>
      </c>
      <c r="F1732" s="181" t="s">
        <v>381</v>
      </c>
      <c r="G1732" s="170"/>
      <c r="H1732" s="170"/>
      <c r="I1732" s="170"/>
      <c r="J1732" s="171"/>
      <c r="K1732" s="171"/>
      <c r="L1732" s="168" t="s">
        <v>421</v>
      </c>
      <c r="M1732" s="171"/>
      <c r="N1732" s="171"/>
      <c r="O1732" s="171"/>
      <c r="P1732" s="170"/>
    </row>
    <row r="1733" spans="1:16" x14ac:dyDescent="0.25">
      <c r="A1733" s="168"/>
      <c r="B1733" s="177">
        <v>102319095</v>
      </c>
      <c r="C1733" s="178">
        <v>86836055</v>
      </c>
      <c r="D1733" s="179" t="s">
        <v>5446</v>
      </c>
      <c r="E1733" s="180" t="s">
        <v>3752</v>
      </c>
      <c r="F1733" s="181" t="s">
        <v>379</v>
      </c>
      <c r="G1733" s="170"/>
      <c r="H1733" s="170"/>
      <c r="I1733" s="170"/>
      <c r="J1733" s="171"/>
      <c r="K1733" s="171"/>
      <c r="L1733" s="168" t="s">
        <v>425</v>
      </c>
      <c r="M1733" s="171"/>
      <c r="N1733" s="171"/>
      <c r="O1733" s="171"/>
      <c r="P1733" s="170"/>
    </row>
    <row r="1734" spans="1:16" x14ac:dyDescent="0.25">
      <c r="A1734" s="168"/>
      <c r="B1734" s="177">
        <v>102318844</v>
      </c>
      <c r="C1734" s="178">
        <v>72929475</v>
      </c>
      <c r="D1734" s="179" t="s">
        <v>5182</v>
      </c>
      <c r="E1734" s="180" t="s">
        <v>3281</v>
      </c>
      <c r="F1734" s="181" t="s">
        <v>381</v>
      </c>
      <c r="G1734" s="170"/>
      <c r="H1734" s="170"/>
      <c r="I1734" s="170"/>
      <c r="J1734" s="171"/>
      <c r="K1734" s="171"/>
      <c r="L1734" s="168" t="s">
        <v>417</v>
      </c>
      <c r="M1734" s="171"/>
      <c r="N1734" s="171"/>
      <c r="O1734" s="171"/>
      <c r="P1734" s="170"/>
    </row>
    <row r="1735" spans="1:16" x14ac:dyDescent="0.25">
      <c r="A1735" s="168"/>
      <c r="B1735" s="177">
        <v>102318953</v>
      </c>
      <c r="C1735" s="178">
        <v>84906908</v>
      </c>
      <c r="D1735" s="179" t="s">
        <v>5300</v>
      </c>
      <c r="E1735" s="180" t="s">
        <v>3482</v>
      </c>
      <c r="F1735" s="181" t="s">
        <v>381</v>
      </c>
      <c r="G1735" s="170"/>
      <c r="H1735" s="170"/>
      <c r="I1735" s="170"/>
      <c r="J1735" s="171"/>
      <c r="K1735" s="171"/>
      <c r="L1735" s="168" t="s">
        <v>421</v>
      </c>
      <c r="M1735" s="171"/>
      <c r="N1735" s="171"/>
      <c r="O1735" s="171"/>
      <c r="P1735" s="170"/>
    </row>
    <row r="1736" spans="1:16" x14ac:dyDescent="0.25">
      <c r="A1736" s="168"/>
      <c r="B1736" s="177">
        <v>102318987</v>
      </c>
      <c r="C1736" s="178">
        <v>77061719</v>
      </c>
      <c r="D1736" s="179" t="s">
        <v>5334</v>
      </c>
      <c r="E1736" s="180" t="s">
        <v>3547</v>
      </c>
      <c r="F1736" s="181" t="s">
        <v>379</v>
      </c>
      <c r="G1736" s="170"/>
      <c r="H1736" s="170"/>
      <c r="I1736" s="170"/>
      <c r="J1736" s="171"/>
      <c r="K1736" s="171"/>
      <c r="L1736" s="168" t="s">
        <v>422</v>
      </c>
      <c r="M1736" s="171"/>
      <c r="N1736" s="171"/>
      <c r="O1736" s="171"/>
      <c r="P1736" s="170"/>
    </row>
    <row r="1737" spans="1:16" x14ac:dyDescent="0.25">
      <c r="A1737" s="168"/>
      <c r="B1737" s="177">
        <v>102319096</v>
      </c>
      <c r="C1737" s="178">
        <v>73365029</v>
      </c>
      <c r="D1737" s="179" t="s">
        <v>5447</v>
      </c>
      <c r="E1737" s="180" t="s">
        <v>5448</v>
      </c>
      <c r="F1737" s="181" t="s">
        <v>379</v>
      </c>
      <c r="G1737" s="170"/>
      <c r="H1737" s="170"/>
      <c r="I1737" s="170"/>
      <c r="J1737" s="171"/>
      <c r="K1737" s="171"/>
      <c r="L1737" s="168" t="s">
        <v>425</v>
      </c>
      <c r="M1737" s="171"/>
      <c r="N1737" s="171"/>
      <c r="O1737" s="171"/>
      <c r="P1737" s="170" t="s">
        <v>5488</v>
      </c>
    </row>
    <row r="1738" spans="1:16" x14ac:dyDescent="0.25">
      <c r="A1738" s="168"/>
      <c r="B1738" s="177">
        <v>102318845</v>
      </c>
      <c r="C1738" s="178">
        <v>3095196125</v>
      </c>
      <c r="D1738" s="179" t="s">
        <v>5183</v>
      </c>
      <c r="E1738" s="180" t="s">
        <v>3283</v>
      </c>
      <c r="F1738" s="181" t="s">
        <v>381</v>
      </c>
      <c r="G1738" s="170"/>
      <c r="H1738" s="170"/>
      <c r="I1738" s="170"/>
      <c r="J1738" s="171"/>
      <c r="K1738" s="171"/>
      <c r="L1738" s="168" t="s">
        <v>417</v>
      </c>
      <c r="M1738" s="171"/>
      <c r="N1738" s="171"/>
      <c r="O1738" s="171"/>
      <c r="P1738" s="170"/>
    </row>
    <row r="1739" spans="1:16" x14ac:dyDescent="0.25">
      <c r="A1739" s="168"/>
      <c r="B1739" s="177">
        <v>102318881</v>
      </c>
      <c r="C1739" s="178">
        <v>74275181</v>
      </c>
      <c r="D1739" s="179" t="s">
        <v>5222</v>
      </c>
      <c r="E1739" s="180" t="s">
        <v>3348</v>
      </c>
      <c r="F1739" s="181" t="s">
        <v>381</v>
      </c>
      <c r="G1739" s="170"/>
      <c r="H1739" s="170"/>
      <c r="I1739" s="170"/>
      <c r="J1739" s="171"/>
      <c r="K1739" s="171"/>
      <c r="L1739" s="168" t="s">
        <v>419</v>
      </c>
      <c r="M1739" s="171"/>
      <c r="N1739" s="171"/>
      <c r="O1739" s="171"/>
      <c r="P1739" s="170"/>
    </row>
    <row r="1740" spans="1:16" x14ac:dyDescent="0.25">
      <c r="A1740" s="168"/>
      <c r="B1740" s="177">
        <v>102318773</v>
      </c>
      <c r="C1740" s="178">
        <v>86799792</v>
      </c>
      <c r="D1740" s="179" t="s">
        <v>5107</v>
      </c>
      <c r="E1740" s="180" t="s">
        <v>3146</v>
      </c>
      <c r="F1740" s="181" t="s">
        <v>381</v>
      </c>
      <c r="G1740" s="170"/>
      <c r="H1740" s="170"/>
      <c r="I1740" s="170"/>
      <c r="J1740" s="171"/>
      <c r="K1740" s="171"/>
      <c r="L1740" s="168" t="s">
        <v>404</v>
      </c>
      <c r="M1740" s="171"/>
      <c r="N1740" s="171"/>
      <c r="O1740" s="171"/>
      <c r="P1740" s="170"/>
    </row>
    <row r="1741" spans="1:16" x14ac:dyDescent="0.25">
      <c r="A1741" s="168"/>
      <c r="B1741" s="177">
        <v>102318988</v>
      </c>
      <c r="C1741" s="178">
        <v>75816553</v>
      </c>
      <c r="D1741" s="179" t="s">
        <v>5335</v>
      </c>
      <c r="E1741" s="180" t="s">
        <v>3549</v>
      </c>
      <c r="F1741" s="181" t="s">
        <v>379</v>
      </c>
      <c r="G1741" s="170"/>
      <c r="H1741" s="170"/>
      <c r="I1741" s="170"/>
      <c r="J1741" s="171"/>
      <c r="K1741" s="171"/>
      <c r="L1741" s="168" t="s">
        <v>422</v>
      </c>
      <c r="M1741" s="171"/>
      <c r="N1741" s="171"/>
      <c r="O1741" s="171"/>
      <c r="P1741" s="170"/>
    </row>
    <row r="1742" spans="1:16" x14ac:dyDescent="0.25">
      <c r="A1742" s="168"/>
      <c r="B1742" s="177">
        <v>102319133</v>
      </c>
      <c r="C1742" s="178">
        <v>66133611</v>
      </c>
      <c r="D1742" s="179" t="s">
        <v>5486</v>
      </c>
      <c r="E1742" s="180" t="s">
        <v>3819</v>
      </c>
      <c r="F1742" s="181" t="s">
        <v>379</v>
      </c>
      <c r="G1742" s="170"/>
      <c r="H1742" s="170"/>
      <c r="I1742" s="170"/>
      <c r="J1742" s="171"/>
      <c r="K1742" s="171"/>
      <c r="L1742" s="168" t="s">
        <v>426</v>
      </c>
      <c r="M1742" s="171"/>
      <c r="N1742" s="171"/>
      <c r="O1742" s="171"/>
      <c r="P1742" s="170"/>
    </row>
    <row r="1743" spans="1:16" x14ac:dyDescent="0.25">
      <c r="A1743" s="168"/>
      <c r="B1743" s="177">
        <v>102319097</v>
      </c>
      <c r="C1743" s="178">
        <v>81386473</v>
      </c>
      <c r="D1743" s="179" t="s">
        <v>5449</v>
      </c>
      <c r="E1743" s="180" t="s">
        <v>3754</v>
      </c>
      <c r="F1743" s="181" t="s">
        <v>379</v>
      </c>
      <c r="G1743" s="170"/>
      <c r="H1743" s="170"/>
      <c r="I1743" s="170"/>
      <c r="J1743" s="171"/>
      <c r="K1743" s="171"/>
      <c r="L1743" s="168" t="s">
        <v>425</v>
      </c>
      <c r="M1743" s="171"/>
      <c r="N1743" s="171"/>
      <c r="O1743" s="171"/>
      <c r="P1743" s="170"/>
    </row>
    <row r="1744" spans="1:16" x14ac:dyDescent="0.25">
      <c r="A1744" s="168"/>
      <c r="B1744" s="177">
        <v>102318916</v>
      </c>
      <c r="C1744" s="178">
        <v>73556428</v>
      </c>
      <c r="D1744" s="179" t="s">
        <v>5259</v>
      </c>
      <c r="E1744" s="180" t="s">
        <v>3414</v>
      </c>
      <c r="F1744" s="181" t="s">
        <v>381</v>
      </c>
      <c r="G1744" s="170"/>
      <c r="H1744" s="170"/>
      <c r="I1744" s="170"/>
      <c r="J1744" s="171"/>
      <c r="K1744" s="171"/>
      <c r="L1744" s="168" t="s">
        <v>420</v>
      </c>
      <c r="M1744" s="171"/>
      <c r="N1744" s="171"/>
      <c r="O1744" s="171"/>
      <c r="P1744" s="170"/>
    </row>
    <row r="1745" spans="1:16" x14ac:dyDescent="0.25">
      <c r="A1745" s="168"/>
      <c r="B1745" s="177">
        <v>102318917</v>
      </c>
      <c r="C1745" s="178">
        <v>83231183</v>
      </c>
      <c r="D1745" s="179" t="s">
        <v>5260</v>
      </c>
      <c r="E1745" s="180" t="s">
        <v>3416</v>
      </c>
      <c r="F1745" s="181" t="s">
        <v>381</v>
      </c>
      <c r="G1745" s="170"/>
      <c r="H1745" s="170"/>
      <c r="I1745" s="170"/>
      <c r="J1745" s="171"/>
      <c r="K1745" s="171"/>
      <c r="L1745" s="168" t="s">
        <v>420</v>
      </c>
      <c r="M1745" s="171"/>
      <c r="N1745" s="171"/>
      <c r="O1745" s="171"/>
      <c r="P1745" s="170"/>
    </row>
    <row r="1746" spans="1:16" x14ac:dyDescent="0.25">
      <c r="A1746" s="168"/>
      <c r="B1746" s="177">
        <v>102319061</v>
      </c>
      <c r="C1746" s="178">
        <v>79453347</v>
      </c>
      <c r="D1746" s="179" t="s">
        <v>5412</v>
      </c>
      <c r="E1746" s="180" t="s">
        <v>3685</v>
      </c>
      <c r="F1746" s="181" t="s">
        <v>379</v>
      </c>
      <c r="G1746" s="170"/>
      <c r="H1746" s="170"/>
      <c r="I1746" s="170"/>
      <c r="J1746" s="171"/>
      <c r="K1746" s="171"/>
      <c r="L1746" s="168" t="s">
        <v>424</v>
      </c>
      <c r="M1746" s="171"/>
      <c r="N1746" s="171"/>
      <c r="O1746" s="171"/>
      <c r="P1746" s="170"/>
    </row>
    <row r="1747" spans="1:16" x14ac:dyDescent="0.25">
      <c r="A1747" s="168"/>
      <c r="B1747" s="177">
        <v>102318989</v>
      </c>
      <c r="C1747" s="178">
        <v>75022738</v>
      </c>
      <c r="D1747" s="179" t="s">
        <v>5336</v>
      </c>
      <c r="E1747" s="180" t="s">
        <v>3551</v>
      </c>
      <c r="F1747" s="181" t="s">
        <v>379</v>
      </c>
      <c r="G1747" s="170"/>
      <c r="H1747" s="170"/>
      <c r="I1747" s="170"/>
      <c r="J1747" s="171"/>
      <c r="K1747" s="171"/>
      <c r="L1747" s="168" t="s">
        <v>422</v>
      </c>
      <c r="M1747" s="171"/>
      <c r="N1747" s="171"/>
      <c r="O1747" s="171"/>
      <c r="P1747" s="170"/>
    </row>
    <row r="1748" spans="1:16" x14ac:dyDescent="0.25">
      <c r="A1748" s="168"/>
      <c r="B1748" s="177"/>
      <c r="C1748" s="178"/>
      <c r="D1748" s="179"/>
      <c r="E1748" s="180"/>
      <c r="F1748" s="181"/>
      <c r="G1748" s="170"/>
      <c r="H1748" s="170"/>
      <c r="I1748" s="170"/>
      <c r="J1748" s="171"/>
      <c r="K1748" s="171"/>
      <c r="L1748" s="168"/>
      <c r="M1748" s="173" t="s">
        <v>4676</v>
      </c>
      <c r="N1748" s="171"/>
      <c r="O1748" s="171"/>
      <c r="P1748" s="170"/>
    </row>
    <row r="1749" spans="1:16" x14ac:dyDescent="0.25">
      <c r="A1749" s="168"/>
      <c r="B1749" s="174">
        <v>102419385</v>
      </c>
      <c r="C1749" s="174" t="s">
        <v>4529</v>
      </c>
      <c r="D1749" s="174" t="s">
        <v>4929</v>
      </c>
      <c r="E1749" s="175" t="s">
        <v>4115</v>
      </c>
      <c r="F1749" s="176" t="s">
        <v>379</v>
      </c>
      <c r="G1749" s="170"/>
      <c r="H1749" s="170"/>
      <c r="I1749" s="170"/>
      <c r="J1749" s="170"/>
      <c r="K1749" s="170"/>
      <c r="L1749" s="168"/>
      <c r="M1749" s="171" t="s">
        <v>2377</v>
      </c>
      <c r="N1749" s="170"/>
      <c r="O1749" s="170"/>
      <c r="P1749" s="170"/>
    </row>
    <row r="1750" spans="1:16" x14ac:dyDescent="0.25">
      <c r="A1750" s="168"/>
      <c r="B1750" s="174">
        <v>102419171</v>
      </c>
      <c r="C1750" s="174" t="s">
        <v>4316</v>
      </c>
      <c r="D1750" s="174" t="s">
        <v>4715</v>
      </c>
      <c r="E1750" s="175" t="s">
        <v>3903</v>
      </c>
      <c r="F1750" s="176" t="s">
        <v>379</v>
      </c>
      <c r="G1750" s="170"/>
      <c r="H1750" s="170"/>
      <c r="I1750" s="170"/>
      <c r="J1750" s="170"/>
      <c r="K1750" s="170"/>
      <c r="L1750" s="168"/>
      <c r="M1750" s="171" t="s">
        <v>2397</v>
      </c>
      <c r="N1750" s="170"/>
      <c r="O1750" s="170"/>
      <c r="P1750" s="170"/>
    </row>
    <row r="1751" spans="1:16" x14ac:dyDescent="0.25">
      <c r="A1751" s="168"/>
      <c r="B1751" s="174">
        <v>102419314</v>
      </c>
      <c r="C1751" s="174" t="s">
        <v>4458</v>
      </c>
      <c r="D1751" s="174" t="s">
        <v>4858</v>
      </c>
      <c r="E1751" s="175" t="s">
        <v>4044</v>
      </c>
      <c r="F1751" s="176" t="s">
        <v>379</v>
      </c>
      <c r="G1751" s="170"/>
      <c r="H1751" s="170"/>
      <c r="I1751" s="170"/>
      <c r="J1751" s="170"/>
      <c r="K1751" s="170"/>
      <c r="L1751" s="168"/>
      <c r="M1751" s="171" t="s">
        <v>2373</v>
      </c>
      <c r="N1751" s="170"/>
      <c r="O1751" s="170"/>
      <c r="P1751" s="170"/>
    </row>
    <row r="1752" spans="1:16" x14ac:dyDescent="0.25">
      <c r="A1752" s="168"/>
      <c r="B1752" s="174">
        <v>102419455</v>
      </c>
      <c r="C1752" s="174" t="s">
        <v>4599</v>
      </c>
      <c r="D1752" s="174" t="s">
        <v>4999</v>
      </c>
      <c r="E1752" s="175" t="s">
        <v>4184</v>
      </c>
      <c r="F1752" s="176" t="s">
        <v>379</v>
      </c>
      <c r="G1752" s="170"/>
      <c r="H1752" s="170"/>
      <c r="I1752" s="170"/>
      <c r="J1752" s="170"/>
      <c r="K1752" s="170"/>
      <c r="L1752" s="168"/>
      <c r="M1752" s="171" t="s">
        <v>2383</v>
      </c>
      <c r="N1752" s="170"/>
      <c r="O1752" s="170"/>
      <c r="P1752" s="170"/>
    </row>
    <row r="1753" spans="1:16" x14ac:dyDescent="0.25">
      <c r="A1753" s="168"/>
      <c r="B1753" s="174">
        <v>102419207</v>
      </c>
      <c r="C1753" s="174" t="s">
        <v>4352</v>
      </c>
      <c r="D1753" s="174" t="s">
        <v>4751</v>
      </c>
      <c r="E1753" s="175" t="s">
        <v>3938</v>
      </c>
      <c r="F1753" s="176" t="s">
        <v>381</v>
      </c>
      <c r="G1753" s="170"/>
      <c r="H1753" s="170"/>
      <c r="I1753" s="170"/>
      <c r="J1753" s="170"/>
      <c r="K1753" s="170"/>
      <c r="L1753" s="168"/>
      <c r="M1753" s="171" t="s">
        <v>2389</v>
      </c>
      <c r="N1753" s="170"/>
      <c r="O1753" s="170"/>
      <c r="P1753" s="170"/>
    </row>
    <row r="1754" spans="1:16" x14ac:dyDescent="0.25">
      <c r="A1754" s="168"/>
      <c r="B1754" s="174">
        <v>102419349</v>
      </c>
      <c r="C1754" s="174" t="s">
        <v>4493</v>
      </c>
      <c r="D1754" s="174" t="s">
        <v>4893</v>
      </c>
      <c r="E1754" s="175" t="s">
        <v>4079</v>
      </c>
      <c r="F1754" s="176" t="s">
        <v>381</v>
      </c>
      <c r="G1754" s="170"/>
      <c r="H1754" s="170"/>
      <c r="I1754" s="170"/>
      <c r="J1754" s="170"/>
      <c r="K1754" s="170"/>
      <c r="L1754" s="168"/>
      <c r="M1754" s="171" t="s">
        <v>2379</v>
      </c>
      <c r="N1754" s="170"/>
      <c r="O1754" s="170"/>
      <c r="P1754" s="170"/>
    </row>
    <row r="1755" spans="1:16" x14ac:dyDescent="0.25">
      <c r="A1755" s="168"/>
      <c r="B1755" s="174">
        <v>102419243</v>
      </c>
      <c r="C1755" s="174" t="s">
        <v>4387</v>
      </c>
      <c r="D1755" s="174" t="s">
        <v>4787</v>
      </c>
      <c r="E1755" s="175" t="s">
        <v>3973</v>
      </c>
      <c r="F1755" s="176" t="s">
        <v>381</v>
      </c>
      <c r="G1755" s="170"/>
      <c r="H1755" s="170"/>
      <c r="I1755" s="170"/>
      <c r="J1755" s="170"/>
      <c r="K1755" s="170"/>
      <c r="L1755" s="168"/>
      <c r="M1755" s="171" t="s">
        <v>2371</v>
      </c>
      <c r="N1755" s="170"/>
      <c r="O1755" s="170"/>
      <c r="P1755" s="170"/>
    </row>
    <row r="1756" spans="1:16" x14ac:dyDescent="0.25">
      <c r="A1756" s="168"/>
      <c r="B1756" s="174">
        <v>102419315</v>
      </c>
      <c r="C1756" s="174" t="s">
        <v>4459</v>
      </c>
      <c r="D1756" s="174" t="s">
        <v>4859</v>
      </c>
      <c r="E1756" s="175" t="s">
        <v>4045</v>
      </c>
      <c r="F1756" s="176" t="s">
        <v>381</v>
      </c>
      <c r="G1756" s="170"/>
      <c r="H1756" s="170"/>
      <c r="I1756" s="170"/>
      <c r="J1756" s="170"/>
      <c r="K1756" s="170"/>
      <c r="L1756" s="168"/>
      <c r="M1756" s="171" t="s">
        <v>2373</v>
      </c>
      <c r="N1756" s="170"/>
      <c r="O1756" s="170"/>
      <c r="P1756" s="170"/>
    </row>
    <row r="1757" spans="1:16" x14ac:dyDescent="0.25">
      <c r="A1757" s="168"/>
      <c r="B1757" s="174">
        <v>102419350</v>
      </c>
      <c r="C1757" s="174" t="s">
        <v>4494</v>
      </c>
      <c r="D1757" s="174" t="s">
        <v>4894</v>
      </c>
      <c r="E1757" s="175" t="s">
        <v>4080</v>
      </c>
      <c r="F1757" s="176" t="s">
        <v>379</v>
      </c>
      <c r="G1757" s="170"/>
      <c r="H1757" s="170"/>
      <c r="I1757" s="170"/>
      <c r="J1757" s="170"/>
      <c r="K1757" s="170"/>
      <c r="L1757" s="168"/>
      <c r="M1757" s="171" t="s">
        <v>2379</v>
      </c>
      <c r="N1757" s="170"/>
      <c r="O1757" s="170"/>
      <c r="P1757" s="170"/>
    </row>
    <row r="1758" spans="1:16" x14ac:dyDescent="0.25">
      <c r="A1758" s="168"/>
      <c r="B1758" s="174">
        <v>102419172</v>
      </c>
      <c r="C1758" s="174" t="s">
        <v>4317</v>
      </c>
      <c r="D1758" s="174" t="s">
        <v>4716</v>
      </c>
      <c r="E1758" s="175" t="s">
        <v>3904</v>
      </c>
      <c r="F1758" s="176" t="s">
        <v>381</v>
      </c>
      <c r="G1758" s="170"/>
      <c r="H1758" s="170"/>
      <c r="I1758" s="170"/>
      <c r="J1758" s="170"/>
      <c r="K1758" s="170"/>
      <c r="L1758" s="168"/>
      <c r="M1758" s="171" t="s">
        <v>2397</v>
      </c>
      <c r="N1758" s="170"/>
      <c r="O1758" s="170"/>
      <c r="P1758" s="170"/>
    </row>
    <row r="1759" spans="1:16" x14ac:dyDescent="0.25">
      <c r="A1759" s="168"/>
      <c r="B1759" s="174">
        <v>102419456</v>
      </c>
      <c r="C1759" s="174" t="s">
        <v>4600</v>
      </c>
      <c r="D1759" s="174" t="s">
        <v>5000</v>
      </c>
      <c r="E1759" s="175" t="s">
        <v>4185</v>
      </c>
      <c r="F1759" s="176" t="s">
        <v>379</v>
      </c>
      <c r="G1759" s="170"/>
      <c r="H1759" s="170"/>
      <c r="I1759" s="170"/>
      <c r="J1759" s="170"/>
      <c r="K1759" s="170"/>
      <c r="L1759" s="168"/>
      <c r="M1759" s="171" t="s">
        <v>2383</v>
      </c>
      <c r="N1759" s="170"/>
      <c r="O1759" s="170"/>
      <c r="P1759" s="170"/>
    </row>
    <row r="1760" spans="1:16" x14ac:dyDescent="0.25">
      <c r="A1760" s="168"/>
      <c r="B1760" s="174">
        <v>102419457</v>
      </c>
      <c r="C1760" s="174" t="s">
        <v>4601</v>
      </c>
      <c r="D1760" s="174" t="s">
        <v>5001</v>
      </c>
      <c r="E1760" s="175" t="s">
        <v>4186</v>
      </c>
      <c r="F1760" s="176" t="s">
        <v>379</v>
      </c>
      <c r="G1760" s="170"/>
      <c r="H1760" s="170"/>
      <c r="I1760" s="170"/>
      <c r="J1760" s="170"/>
      <c r="K1760" s="170"/>
      <c r="L1760" s="168"/>
      <c r="M1760" s="171" t="s">
        <v>2383</v>
      </c>
      <c r="N1760" s="170"/>
      <c r="O1760" s="170"/>
      <c r="P1760" s="170"/>
    </row>
    <row r="1761" spans="1:16" x14ac:dyDescent="0.25">
      <c r="A1761" s="168"/>
      <c r="B1761" s="174">
        <v>102419386</v>
      </c>
      <c r="C1761" s="174" t="s">
        <v>4530</v>
      </c>
      <c r="D1761" s="174" t="s">
        <v>4930</v>
      </c>
      <c r="E1761" s="175" t="s">
        <v>4116</v>
      </c>
      <c r="F1761" s="176" t="s">
        <v>381</v>
      </c>
      <c r="G1761" s="170"/>
      <c r="H1761" s="170"/>
      <c r="I1761" s="170"/>
      <c r="J1761" s="170"/>
      <c r="K1761" s="170"/>
      <c r="L1761" s="168"/>
      <c r="M1761" s="171" t="s">
        <v>2377</v>
      </c>
      <c r="N1761" s="170"/>
      <c r="O1761" s="170"/>
      <c r="P1761" s="170"/>
    </row>
    <row r="1762" spans="1:16" x14ac:dyDescent="0.25">
      <c r="A1762" s="168"/>
      <c r="B1762" s="174">
        <v>102419208</v>
      </c>
      <c r="C1762" s="174" t="s">
        <v>4353</v>
      </c>
      <c r="D1762" s="174" t="s">
        <v>4752</v>
      </c>
      <c r="E1762" s="175" t="s">
        <v>3939</v>
      </c>
      <c r="F1762" s="176" t="s">
        <v>381</v>
      </c>
      <c r="G1762" s="170"/>
      <c r="H1762" s="170"/>
      <c r="I1762" s="170"/>
      <c r="J1762" s="170"/>
      <c r="K1762" s="170"/>
      <c r="L1762" s="168"/>
      <c r="M1762" s="171" t="s">
        <v>2389</v>
      </c>
      <c r="N1762" s="170"/>
      <c r="O1762" s="170"/>
      <c r="P1762" s="170"/>
    </row>
    <row r="1763" spans="1:16" x14ac:dyDescent="0.25">
      <c r="A1763" s="168"/>
      <c r="B1763" s="174">
        <v>102419209</v>
      </c>
      <c r="C1763" s="174" t="s">
        <v>4354</v>
      </c>
      <c r="D1763" s="174" t="s">
        <v>4753</v>
      </c>
      <c r="E1763" s="175" t="s">
        <v>3940</v>
      </c>
      <c r="F1763" s="176" t="s">
        <v>381</v>
      </c>
      <c r="G1763" s="170"/>
      <c r="H1763" s="170"/>
      <c r="I1763" s="170"/>
      <c r="J1763" s="170"/>
      <c r="K1763" s="170"/>
      <c r="L1763" s="168"/>
      <c r="M1763" s="171" t="s">
        <v>2389</v>
      </c>
      <c r="N1763" s="170"/>
      <c r="O1763" s="170"/>
      <c r="P1763" s="170"/>
    </row>
    <row r="1764" spans="1:16" x14ac:dyDescent="0.25">
      <c r="A1764" s="168"/>
      <c r="B1764" s="174">
        <v>102419135</v>
      </c>
      <c r="C1764" s="174" t="s">
        <v>4280</v>
      </c>
      <c r="D1764" s="174" t="s">
        <v>4679</v>
      </c>
      <c r="E1764" s="175" t="s">
        <v>3868</v>
      </c>
      <c r="F1764" s="176" t="s">
        <v>379</v>
      </c>
      <c r="G1764" s="170"/>
      <c r="H1764" s="170"/>
      <c r="I1764" s="170"/>
      <c r="J1764" s="170"/>
      <c r="K1764" s="170"/>
      <c r="L1764" s="168"/>
      <c r="M1764" s="171" t="s">
        <v>2386</v>
      </c>
      <c r="N1764" s="170"/>
      <c r="O1764" s="170"/>
      <c r="P1764" s="170"/>
    </row>
    <row r="1765" spans="1:16" x14ac:dyDescent="0.25">
      <c r="A1765" s="168"/>
      <c r="B1765" s="174">
        <v>102419421</v>
      </c>
      <c r="C1765" s="174" t="s">
        <v>4565</v>
      </c>
      <c r="D1765" s="174" t="s">
        <v>4965</v>
      </c>
      <c r="E1765" s="175" t="s">
        <v>4151</v>
      </c>
      <c r="F1765" s="176" t="s">
        <v>379</v>
      </c>
      <c r="G1765" s="170"/>
      <c r="H1765" s="170"/>
      <c r="I1765" s="170"/>
      <c r="J1765" s="170"/>
      <c r="K1765" s="170"/>
      <c r="L1765" s="168"/>
      <c r="M1765" s="171" t="s">
        <v>2375</v>
      </c>
      <c r="N1765" s="170"/>
      <c r="O1765" s="170"/>
      <c r="P1765" s="170"/>
    </row>
    <row r="1766" spans="1:16" x14ac:dyDescent="0.25">
      <c r="A1766" s="168"/>
      <c r="B1766" s="174">
        <v>102419136</v>
      </c>
      <c r="C1766" s="174" t="s">
        <v>4281</v>
      </c>
      <c r="D1766" s="174" t="s">
        <v>4680</v>
      </c>
      <c r="E1766" s="175" t="s">
        <v>3869</v>
      </c>
      <c r="F1766" s="176" t="s">
        <v>379</v>
      </c>
      <c r="G1766" s="170"/>
      <c r="H1766" s="170"/>
      <c r="I1766" s="170"/>
      <c r="J1766" s="170"/>
      <c r="K1766" s="170"/>
      <c r="L1766" s="168"/>
      <c r="M1766" s="171" t="s">
        <v>2386</v>
      </c>
      <c r="N1766" s="170"/>
      <c r="O1766" s="170"/>
      <c r="P1766" s="170"/>
    </row>
    <row r="1767" spans="1:16" x14ac:dyDescent="0.25">
      <c r="A1767" s="168"/>
      <c r="B1767" s="174">
        <v>102419387</v>
      </c>
      <c r="C1767" s="174" t="s">
        <v>4531</v>
      </c>
      <c r="D1767" s="174" t="s">
        <v>4931</v>
      </c>
      <c r="E1767" s="175" t="s">
        <v>4117</v>
      </c>
      <c r="F1767" s="176" t="s">
        <v>379</v>
      </c>
      <c r="G1767" s="170"/>
      <c r="H1767" s="170"/>
      <c r="I1767" s="170"/>
      <c r="J1767" s="170"/>
      <c r="K1767" s="170"/>
      <c r="L1767" s="168"/>
      <c r="M1767" s="171" t="s">
        <v>2377</v>
      </c>
      <c r="N1767" s="170"/>
      <c r="O1767" s="170"/>
      <c r="P1767" s="170"/>
    </row>
    <row r="1768" spans="1:16" x14ac:dyDescent="0.25">
      <c r="A1768" s="168"/>
      <c r="B1768" s="174">
        <v>102419210</v>
      </c>
      <c r="C1768" s="174" t="s">
        <v>4355</v>
      </c>
      <c r="D1768" s="174" t="s">
        <v>4754</v>
      </c>
      <c r="E1768" s="175" t="s">
        <v>3941</v>
      </c>
      <c r="F1768" s="176" t="s">
        <v>379</v>
      </c>
      <c r="G1768" s="170"/>
      <c r="H1768" s="170"/>
      <c r="I1768" s="170"/>
      <c r="J1768" s="170"/>
      <c r="K1768" s="170"/>
      <c r="L1768" s="168"/>
      <c r="M1768" s="171" t="s">
        <v>2389</v>
      </c>
      <c r="N1768" s="170"/>
      <c r="O1768" s="170"/>
      <c r="P1768" s="170"/>
    </row>
    <row r="1769" spans="1:16" x14ac:dyDescent="0.25">
      <c r="A1769" s="168"/>
      <c r="B1769" s="174">
        <v>102419458</v>
      </c>
      <c r="C1769" s="174" t="s">
        <v>4602</v>
      </c>
      <c r="D1769" s="174" t="s">
        <v>5002</v>
      </c>
      <c r="E1769" s="175" t="s">
        <v>4187</v>
      </c>
      <c r="F1769" s="176" t="s">
        <v>379</v>
      </c>
      <c r="G1769" s="170"/>
      <c r="H1769" s="170"/>
      <c r="I1769" s="170"/>
      <c r="J1769" s="170"/>
      <c r="K1769" s="170"/>
      <c r="L1769" s="168"/>
      <c r="M1769" s="171" t="s">
        <v>2383</v>
      </c>
      <c r="N1769" s="170"/>
      <c r="O1769" s="170"/>
      <c r="P1769" s="170"/>
    </row>
    <row r="1770" spans="1:16" x14ac:dyDescent="0.25">
      <c r="A1770" s="168"/>
      <c r="B1770" s="174">
        <v>102419211</v>
      </c>
      <c r="C1770" s="174" t="s">
        <v>4356</v>
      </c>
      <c r="D1770" s="174" t="s">
        <v>4755</v>
      </c>
      <c r="E1770" s="175" t="s">
        <v>3942</v>
      </c>
      <c r="F1770" s="176" t="s">
        <v>381</v>
      </c>
      <c r="G1770" s="170"/>
      <c r="H1770" s="170"/>
      <c r="I1770" s="170"/>
      <c r="J1770" s="170"/>
      <c r="K1770" s="170"/>
      <c r="L1770" s="168"/>
      <c r="M1770" s="171" t="s">
        <v>2389</v>
      </c>
      <c r="N1770" s="170"/>
      <c r="O1770" s="170"/>
      <c r="P1770" s="170"/>
    </row>
    <row r="1771" spans="1:16" x14ac:dyDescent="0.25">
      <c r="A1771" s="168"/>
      <c r="B1771" s="174">
        <v>102419279</v>
      </c>
      <c r="C1771" s="174" t="s">
        <v>4423</v>
      </c>
      <c r="D1771" s="174" t="s">
        <v>4823</v>
      </c>
      <c r="E1771" s="175" t="s">
        <v>4009</v>
      </c>
      <c r="F1771" s="176" t="s">
        <v>379</v>
      </c>
      <c r="G1771" s="170"/>
      <c r="H1771" s="170"/>
      <c r="I1771" s="170"/>
      <c r="J1771" s="170"/>
      <c r="K1771" s="170"/>
      <c r="L1771" s="168"/>
      <c r="M1771" s="171" t="s">
        <v>2399</v>
      </c>
      <c r="N1771" s="170"/>
      <c r="O1771" s="170"/>
      <c r="P1771" s="170"/>
    </row>
    <row r="1772" spans="1:16" x14ac:dyDescent="0.25">
      <c r="A1772" s="168"/>
      <c r="B1772" s="174">
        <v>102419459</v>
      </c>
      <c r="C1772" s="174" t="s">
        <v>4603</v>
      </c>
      <c r="D1772" s="174" t="s">
        <v>5003</v>
      </c>
      <c r="E1772" s="175" t="s">
        <v>4188</v>
      </c>
      <c r="F1772" s="176" t="s">
        <v>379</v>
      </c>
      <c r="G1772" s="170"/>
      <c r="H1772" s="170"/>
      <c r="I1772" s="170"/>
      <c r="J1772" s="170"/>
      <c r="K1772" s="170"/>
      <c r="L1772" s="168"/>
      <c r="M1772" s="171" t="s">
        <v>2383</v>
      </c>
      <c r="N1772" s="170"/>
      <c r="O1772" s="170"/>
      <c r="P1772" s="170"/>
    </row>
    <row r="1773" spans="1:16" x14ac:dyDescent="0.25">
      <c r="A1773" s="168"/>
      <c r="B1773" s="174">
        <v>102419351</v>
      </c>
      <c r="C1773" s="174" t="s">
        <v>4495</v>
      </c>
      <c r="D1773" s="174" t="s">
        <v>4895</v>
      </c>
      <c r="E1773" s="175" t="s">
        <v>4081</v>
      </c>
      <c r="F1773" s="176" t="s">
        <v>379</v>
      </c>
      <c r="G1773" s="170"/>
      <c r="H1773" s="170"/>
      <c r="I1773" s="170"/>
      <c r="J1773" s="170"/>
      <c r="K1773" s="170"/>
      <c r="L1773" s="168"/>
      <c r="M1773" s="171" t="s">
        <v>2379</v>
      </c>
      <c r="N1773" s="170"/>
      <c r="O1773" s="170"/>
      <c r="P1773" s="170"/>
    </row>
    <row r="1774" spans="1:16" x14ac:dyDescent="0.25">
      <c r="A1774" s="168"/>
      <c r="B1774" s="174">
        <v>102419490</v>
      </c>
      <c r="C1774" s="174" t="s">
        <v>4634</v>
      </c>
      <c r="D1774" s="174" t="s">
        <v>5034</v>
      </c>
      <c r="E1774" s="175" t="s">
        <v>4217</v>
      </c>
      <c r="F1774" s="176" t="s">
        <v>379</v>
      </c>
      <c r="G1774" s="170"/>
      <c r="H1774" s="170"/>
      <c r="I1774" s="170"/>
      <c r="J1774" s="170"/>
      <c r="K1774" s="170"/>
      <c r="L1774" s="168"/>
      <c r="M1774" s="171" t="s">
        <v>2402</v>
      </c>
      <c r="N1774" s="170"/>
      <c r="O1774" s="170"/>
      <c r="P1774" s="170"/>
    </row>
    <row r="1775" spans="1:16" x14ac:dyDescent="0.25">
      <c r="A1775" s="168"/>
      <c r="B1775" s="174">
        <v>102419491</v>
      </c>
      <c r="C1775" s="174" t="s">
        <v>4635</v>
      </c>
      <c r="D1775" s="174" t="s">
        <v>5035</v>
      </c>
      <c r="E1775" s="175" t="s">
        <v>4218</v>
      </c>
      <c r="F1775" s="176" t="s">
        <v>379</v>
      </c>
      <c r="G1775" s="170"/>
      <c r="H1775" s="170"/>
      <c r="I1775" s="170"/>
      <c r="J1775" s="170"/>
      <c r="K1775" s="170"/>
      <c r="L1775" s="168"/>
      <c r="M1775" s="171" t="s">
        <v>2402</v>
      </c>
      <c r="N1775" s="170"/>
      <c r="O1775" s="170"/>
      <c r="P1775" s="170"/>
    </row>
    <row r="1776" spans="1:16" x14ac:dyDescent="0.25">
      <c r="A1776" s="168"/>
      <c r="B1776" s="174">
        <v>102419352</v>
      </c>
      <c r="C1776" s="174" t="s">
        <v>4496</v>
      </c>
      <c r="D1776" s="174" t="s">
        <v>4896</v>
      </c>
      <c r="E1776" s="175" t="s">
        <v>4082</v>
      </c>
      <c r="F1776" s="176" t="s">
        <v>379</v>
      </c>
      <c r="G1776" s="170"/>
      <c r="H1776" s="170"/>
      <c r="I1776" s="170"/>
      <c r="J1776" s="170"/>
      <c r="K1776" s="170"/>
      <c r="L1776" s="168"/>
      <c r="M1776" s="171" t="s">
        <v>2379</v>
      </c>
      <c r="N1776" s="170"/>
      <c r="O1776" s="170"/>
      <c r="P1776" s="170"/>
    </row>
    <row r="1777" spans="1:16" x14ac:dyDescent="0.25">
      <c r="A1777" s="168"/>
      <c r="B1777" s="174">
        <v>102419244</v>
      </c>
      <c r="C1777" s="174" t="s">
        <v>4388</v>
      </c>
      <c r="D1777" s="174" t="s">
        <v>4788</v>
      </c>
      <c r="E1777" s="175" t="s">
        <v>3974</v>
      </c>
      <c r="F1777" s="176" t="s">
        <v>381</v>
      </c>
      <c r="G1777" s="170"/>
      <c r="H1777" s="170"/>
      <c r="I1777" s="170"/>
      <c r="J1777" s="170"/>
      <c r="K1777" s="170"/>
      <c r="L1777" s="168"/>
      <c r="M1777" s="171" t="s">
        <v>2371</v>
      </c>
      <c r="N1777" s="170"/>
      <c r="O1777" s="170"/>
      <c r="P1777" s="170"/>
    </row>
    <row r="1778" spans="1:16" x14ac:dyDescent="0.25">
      <c r="A1778" s="168"/>
      <c r="B1778" s="174">
        <v>102419316</v>
      </c>
      <c r="C1778" s="174" t="s">
        <v>4460</v>
      </c>
      <c r="D1778" s="174" t="s">
        <v>4860</v>
      </c>
      <c r="E1778" s="175" t="s">
        <v>4046</v>
      </c>
      <c r="F1778" s="176" t="s">
        <v>381</v>
      </c>
      <c r="G1778" s="170"/>
      <c r="H1778" s="170"/>
      <c r="I1778" s="170"/>
      <c r="J1778" s="170"/>
      <c r="K1778" s="170"/>
      <c r="L1778" s="168"/>
      <c r="M1778" s="171" t="s">
        <v>2373</v>
      </c>
      <c r="N1778" s="170"/>
      <c r="O1778" s="170"/>
      <c r="P1778" s="170"/>
    </row>
    <row r="1779" spans="1:16" x14ac:dyDescent="0.25">
      <c r="A1779" s="168"/>
      <c r="B1779" s="174">
        <v>102419212</v>
      </c>
      <c r="C1779" s="174" t="s">
        <v>4667</v>
      </c>
      <c r="D1779" s="174" t="s">
        <v>4756</v>
      </c>
      <c r="E1779" s="175" t="s">
        <v>3943</v>
      </c>
      <c r="F1779" s="176" t="s">
        <v>379</v>
      </c>
      <c r="G1779" s="170"/>
      <c r="H1779" s="170"/>
      <c r="I1779" s="170"/>
      <c r="J1779" s="170"/>
      <c r="K1779" s="170"/>
      <c r="L1779" s="168"/>
      <c r="M1779" s="171" t="s">
        <v>2389</v>
      </c>
      <c r="N1779" s="170"/>
      <c r="O1779" s="170"/>
      <c r="P1779" s="170"/>
    </row>
    <row r="1780" spans="1:16" x14ac:dyDescent="0.25">
      <c r="A1780" s="168"/>
      <c r="B1780" s="174">
        <v>102419353</v>
      </c>
      <c r="C1780" s="174" t="s">
        <v>4497</v>
      </c>
      <c r="D1780" s="174" t="s">
        <v>4897</v>
      </c>
      <c r="E1780" s="175" t="s">
        <v>4083</v>
      </c>
      <c r="F1780" s="176" t="s">
        <v>381</v>
      </c>
      <c r="G1780" s="170"/>
      <c r="H1780" s="170"/>
      <c r="I1780" s="170"/>
      <c r="J1780" s="170"/>
      <c r="K1780" s="170"/>
      <c r="L1780" s="168"/>
      <c r="M1780" s="171" t="s">
        <v>2379</v>
      </c>
      <c r="N1780" s="170"/>
      <c r="O1780" s="170"/>
      <c r="P1780" s="170"/>
    </row>
    <row r="1781" spans="1:16" x14ac:dyDescent="0.25">
      <c r="A1781" s="168"/>
      <c r="B1781" s="174">
        <v>102419317</v>
      </c>
      <c r="C1781" s="174" t="s">
        <v>4461</v>
      </c>
      <c r="D1781" s="174" t="s">
        <v>4861</v>
      </c>
      <c r="E1781" s="175" t="s">
        <v>4047</v>
      </c>
      <c r="F1781" s="176" t="s">
        <v>381</v>
      </c>
      <c r="G1781" s="170"/>
      <c r="H1781" s="170"/>
      <c r="I1781" s="170"/>
      <c r="J1781" s="170"/>
      <c r="K1781" s="170"/>
      <c r="L1781" s="168"/>
      <c r="M1781" s="171" t="s">
        <v>2373</v>
      </c>
      <c r="N1781" s="170"/>
      <c r="O1781" s="170"/>
      <c r="P1781" s="170"/>
    </row>
    <row r="1782" spans="1:16" x14ac:dyDescent="0.25">
      <c r="A1782" s="168"/>
      <c r="B1782" s="174">
        <v>102419173</v>
      </c>
      <c r="C1782" s="174" t="s">
        <v>4318</v>
      </c>
      <c r="D1782" s="174" t="s">
        <v>4717</v>
      </c>
      <c r="E1782" s="175" t="s">
        <v>3905</v>
      </c>
      <c r="F1782" s="176" t="s">
        <v>381</v>
      </c>
      <c r="G1782" s="170"/>
      <c r="H1782" s="170"/>
      <c r="I1782" s="170"/>
      <c r="J1782" s="170"/>
      <c r="K1782" s="170"/>
      <c r="L1782" s="168"/>
      <c r="M1782" s="171" t="s">
        <v>2397</v>
      </c>
      <c r="N1782" s="170"/>
      <c r="O1782" s="170"/>
      <c r="P1782" s="170"/>
    </row>
    <row r="1783" spans="1:16" x14ac:dyDescent="0.25">
      <c r="A1783" s="168"/>
      <c r="B1783" s="174">
        <v>102419137</v>
      </c>
      <c r="C1783" s="174" t="s">
        <v>4282</v>
      </c>
      <c r="D1783" s="174" t="s">
        <v>4681</v>
      </c>
      <c r="E1783" s="175" t="s">
        <v>3870</v>
      </c>
      <c r="F1783" s="176" t="s">
        <v>379</v>
      </c>
      <c r="G1783" s="170"/>
      <c r="H1783" s="170"/>
      <c r="I1783" s="170"/>
      <c r="J1783" s="170"/>
      <c r="K1783" s="170"/>
      <c r="L1783" s="168"/>
      <c r="M1783" s="171" t="s">
        <v>2386</v>
      </c>
      <c r="N1783" s="170"/>
      <c r="O1783" s="170"/>
      <c r="P1783" s="170"/>
    </row>
    <row r="1784" spans="1:16" x14ac:dyDescent="0.25">
      <c r="A1784" s="168"/>
      <c r="B1784" s="174">
        <v>102419422</v>
      </c>
      <c r="C1784" s="174" t="s">
        <v>4566</v>
      </c>
      <c r="D1784" s="174" t="s">
        <v>4966</v>
      </c>
      <c r="E1784" s="175" t="s">
        <v>4152</v>
      </c>
      <c r="F1784" s="176" t="s">
        <v>379</v>
      </c>
      <c r="G1784" s="170"/>
      <c r="H1784" s="170"/>
      <c r="I1784" s="170"/>
      <c r="J1784" s="170"/>
      <c r="K1784" s="170"/>
      <c r="L1784" s="168"/>
      <c r="M1784" s="171" t="s">
        <v>2375</v>
      </c>
      <c r="N1784" s="170"/>
      <c r="O1784" s="170"/>
      <c r="P1784" s="170"/>
    </row>
    <row r="1785" spans="1:16" x14ac:dyDescent="0.25">
      <c r="A1785" s="168"/>
      <c r="B1785" s="174">
        <v>102419388</v>
      </c>
      <c r="C1785" s="174" t="s">
        <v>4532</v>
      </c>
      <c r="D1785" s="174" t="s">
        <v>4932</v>
      </c>
      <c r="E1785" s="175" t="s">
        <v>4118</v>
      </c>
      <c r="F1785" s="176" t="s">
        <v>379</v>
      </c>
      <c r="G1785" s="170"/>
      <c r="H1785" s="170"/>
      <c r="I1785" s="170"/>
      <c r="J1785" s="170"/>
      <c r="K1785" s="170"/>
      <c r="L1785" s="168"/>
      <c r="M1785" s="171" t="s">
        <v>2377</v>
      </c>
      <c r="N1785" s="170"/>
      <c r="O1785" s="170"/>
      <c r="P1785" s="170"/>
    </row>
    <row r="1786" spans="1:16" x14ac:dyDescent="0.25">
      <c r="A1786" s="168"/>
      <c r="B1786" s="174">
        <v>102419423</v>
      </c>
      <c r="C1786" s="174" t="s">
        <v>4567</v>
      </c>
      <c r="D1786" s="174" t="s">
        <v>4967</v>
      </c>
      <c r="E1786" s="175" t="s">
        <v>4153</v>
      </c>
      <c r="F1786" s="176" t="s">
        <v>379</v>
      </c>
      <c r="G1786" s="170"/>
      <c r="H1786" s="170"/>
      <c r="I1786" s="170"/>
      <c r="J1786" s="170"/>
      <c r="K1786" s="170"/>
      <c r="L1786" s="168"/>
      <c r="M1786" s="171" t="s">
        <v>2375</v>
      </c>
      <c r="N1786" s="170"/>
      <c r="O1786" s="170"/>
      <c r="P1786" s="170"/>
    </row>
    <row r="1787" spans="1:16" x14ac:dyDescent="0.25">
      <c r="A1787" s="168"/>
      <c r="B1787" s="174">
        <v>102419354</v>
      </c>
      <c r="C1787" s="174" t="s">
        <v>4498</v>
      </c>
      <c r="D1787" s="174" t="s">
        <v>4898</v>
      </c>
      <c r="E1787" s="175" t="s">
        <v>4084</v>
      </c>
      <c r="F1787" s="176" t="s">
        <v>381</v>
      </c>
      <c r="G1787" s="170"/>
      <c r="H1787" s="170"/>
      <c r="I1787" s="170"/>
      <c r="J1787" s="170"/>
      <c r="K1787" s="170"/>
      <c r="L1787" s="168"/>
      <c r="M1787" s="171" t="s">
        <v>2379</v>
      </c>
      <c r="N1787" s="170"/>
      <c r="O1787" s="170"/>
      <c r="P1787" s="170"/>
    </row>
    <row r="1788" spans="1:16" x14ac:dyDescent="0.25">
      <c r="A1788" s="168"/>
      <c r="B1788" s="174">
        <v>102419174</v>
      </c>
      <c r="C1788" s="174" t="s">
        <v>4319</v>
      </c>
      <c r="D1788" s="174" t="s">
        <v>4718</v>
      </c>
      <c r="E1788" s="175" t="s">
        <v>3906</v>
      </c>
      <c r="F1788" s="176" t="s">
        <v>381</v>
      </c>
      <c r="G1788" s="170"/>
      <c r="H1788" s="170"/>
      <c r="I1788" s="170"/>
      <c r="J1788" s="170"/>
      <c r="K1788" s="170"/>
      <c r="L1788" s="168"/>
      <c r="M1788" s="171" t="s">
        <v>2397</v>
      </c>
      <c r="N1788" s="170"/>
      <c r="O1788" s="170"/>
      <c r="P1788" s="170"/>
    </row>
    <row r="1789" spans="1:16" x14ac:dyDescent="0.25">
      <c r="A1789" s="168"/>
      <c r="B1789" s="174">
        <v>102419175</v>
      </c>
      <c r="C1789" s="174" t="s">
        <v>4320</v>
      </c>
      <c r="D1789" s="174" t="s">
        <v>4719</v>
      </c>
      <c r="E1789" s="175" t="s">
        <v>3907</v>
      </c>
      <c r="F1789" s="176" t="s">
        <v>381</v>
      </c>
      <c r="G1789" s="170"/>
      <c r="H1789" s="170"/>
      <c r="I1789" s="170"/>
      <c r="J1789" s="170"/>
      <c r="K1789" s="170"/>
      <c r="L1789" s="168"/>
      <c r="M1789" s="171" t="s">
        <v>2397</v>
      </c>
      <c r="N1789" s="170"/>
      <c r="O1789" s="170"/>
      <c r="P1789" s="170"/>
    </row>
    <row r="1790" spans="1:16" x14ac:dyDescent="0.25">
      <c r="A1790" s="168"/>
      <c r="B1790" s="174">
        <v>102419318</v>
      </c>
      <c r="C1790" s="174" t="s">
        <v>4462</v>
      </c>
      <c r="D1790" s="174" t="s">
        <v>4862</v>
      </c>
      <c r="E1790" s="175" t="s">
        <v>3908</v>
      </c>
      <c r="F1790" s="176" t="s">
        <v>381</v>
      </c>
      <c r="G1790" s="170"/>
      <c r="H1790" s="170"/>
      <c r="I1790" s="170"/>
      <c r="J1790" s="170"/>
      <c r="K1790" s="170"/>
      <c r="L1790" s="168"/>
      <c r="M1790" s="171" t="s">
        <v>2373</v>
      </c>
      <c r="N1790" s="170"/>
      <c r="O1790" s="170"/>
      <c r="P1790" s="170"/>
    </row>
    <row r="1791" spans="1:16" x14ac:dyDescent="0.25">
      <c r="A1791" s="168"/>
      <c r="B1791" s="174">
        <v>102419245</v>
      </c>
      <c r="C1791" s="174" t="s">
        <v>4389</v>
      </c>
      <c r="D1791" s="174" t="s">
        <v>4789</v>
      </c>
      <c r="E1791" s="175" t="s">
        <v>3975</v>
      </c>
      <c r="F1791" s="176" t="s">
        <v>381</v>
      </c>
      <c r="G1791" s="170"/>
      <c r="H1791" s="170"/>
      <c r="I1791" s="170"/>
      <c r="J1791" s="170"/>
      <c r="K1791" s="170"/>
      <c r="L1791" s="168"/>
      <c r="M1791" s="171" t="s">
        <v>2371</v>
      </c>
      <c r="N1791" s="170"/>
      <c r="O1791" s="170"/>
      <c r="P1791" s="170"/>
    </row>
    <row r="1792" spans="1:16" x14ac:dyDescent="0.25">
      <c r="A1792" s="168"/>
      <c r="B1792" s="174">
        <v>102419355</v>
      </c>
      <c r="C1792" s="174" t="s">
        <v>4499</v>
      </c>
      <c r="D1792" s="174" t="s">
        <v>4899</v>
      </c>
      <c r="E1792" s="175" t="s">
        <v>4085</v>
      </c>
      <c r="F1792" s="176" t="s">
        <v>379</v>
      </c>
      <c r="G1792" s="170"/>
      <c r="H1792" s="170"/>
      <c r="I1792" s="170"/>
      <c r="J1792" s="170"/>
      <c r="K1792" s="170"/>
      <c r="L1792" s="168"/>
      <c r="M1792" s="171" t="s">
        <v>2379</v>
      </c>
      <c r="N1792" s="170"/>
      <c r="O1792" s="170"/>
      <c r="P1792" s="170"/>
    </row>
    <row r="1793" spans="1:16" x14ac:dyDescent="0.25">
      <c r="A1793" s="168"/>
      <c r="B1793" s="174">
        <v>102419492</v>
      </c>
      <c r="C1793" s="174" t="s">
        <v>4636</v>
      </c>
      <c r="D1793" s="174" t="s">
        <v>5036</v>
      </c>
      <c r="E1793" s="175" t="s">
        <v>4219</v>
      </c>
      <c r="F1793" s="176" t="s">
        <v>379</v>
      </c>
      <c r="G1793" s="170"/>
      <c r="H1793" s="170"/>
      <c r="I1793" s="170"/>
      <c r="J1793" s="170"/>
      <c r="K1793" s="170"/>
      <c r="L1793" s="168"/>
      <c r="M1793" s="171" t="s">
        <v>2402</v>
      </c>
      <c r="N1793" s="170"/>
      <c r="O1793" s="170"/>
      <c r="P1793" s="170"/>
    </row>
    <row r="1794" spans="1:16" x14ac:dyDescent="0.25">
      <c r="A1794" s="168"/>
      <c r="B1794" s="174">
        <v>102419493</v>
      </c>
      <c r="C1794" s="174" t="s">
        <v>4637</v>
      </c>
      <c r="D1794" s="174" t="s">
        <v>5037</v>
      </c>
      <c r="E1794" s="175" t="s">
        <v>4220</v>
      </c>
      <c r="F1794" s="176" t="s">
        <v>379</v>
      </c>
      <c r="G1794" s="170"/>
      <c r="H1794" s="170"/>
      <c r="I1794" s="170"/>
      <c r="J1794" s="170"/>
      <c r="K1794" s="170"/>
      <c r="L1794" s="168"/>
      <c r="M1794" s="171" t="s">
        <v>2402</v>
      </c>
      <c r="N1794" s="170"/>
      <c r="O1794" s="170"/>
      <c r="P1794" s="170"/>
    </row>
    <row r="1795" spans="1:16" x14ac:dyDescent="0.25">
      <c r="A1795" s="168"/>
      <c r="B1795" s="174">
        <v>102419213</v>
      </c>
      <c r="C1795" s="174" t="s">
        <v>4357</v>
      </c>
      <c r="D1795" s="174" t="s">
        <v>4757</v>
      </c>
      <c r="E1795" s="175" t="s">
        <v>3944</v>
      </c>
      <c r="F1795" s="176" t="s">
        <v>379</v>
      </c>
      <c r="G1795" s="170"/>
      <c r="H1795" s="170"/>
      <c r="I1795" s="170"/>
      <c r="J1795" s="170"/>
      <c r="K1795" s="170"/>
      <c r="L1795" s="168"/>
      <c r="M1795" s="171" t="s">
        <v>2389</v>
      </c>
      <c r="N1795" s="170"/>
      <c r="O1795" s="170"/>
      <c r="P1795" s="170"/>
    </row>
    <row r="1796" spans="1:16" x14ac:dyDescent="0.25">
      <c r="A1796" s="168"/>
      <c r="B1796" s="174">
        <v>102419280</v>
      </c>
      <c r="C1796" s="174" t="s">
        <v>4424</v>
      </c>
      <c r="D1796" s="174" t="s">
        <v>4824</v>
      </c>
      <c r="E1796" s="175" t="s">
        <v>4010</v>
      </c>
      <c r="F1796" s="176" t="s">
        <v>379</v>
      </c>
      <c r="G1796" s="170"/>
      <c r="H1796" s="170"/>
      <c r="I1796" s="170"/>
      <c r="J1796" s="170"/>
      <c r="K1796" s="170"/>
      <c r="L1796" s="168"/>
      <c r="M1796" s="171" t="s">
        <v>2399</v>
      </c>
      <c r="N1796" s="170"/>
      <c r="O1796" s="170"/>
      <c r="P1796" s="170"/>
    </row>
    <row r="1797" spans="1:16" x14ac:dyDescent="0.25">
      <c r="A1797" s="168"/>
      <c r="B1797" s="174">
        <v>102419424</v>
      </c>
      <c r="C1797" s="174" t="s">
        <v>4568</v>
      </c>
      <c r="D1797" s="174" t="s">
        <v>4968</v>
      </c>
      <c r="E1797" s="175" t="s">
        <v>4221</v>
      </c>
      <c r="F1797" s="176" t="s">
        <v>379</v>
      </c>
      <c r="G1797" s="170"/>
      <c r="H1797" s="170"/>
      <c r="I1797" s="170"/>
      <c r="J1797" s="170"/>
      <c r="K1797" s="170"/>
      <c r="L1797" s="168"/>
      <c r="M1797" s="171" t="s">
        <v>2375</v>
      </c>
      <c r="N1797" s="170"/>
      <c r="O1797" s="170"/>
      <c r="P1797" s="170"/>
    </row>
    <row r="1798" spans="1:16" x14ac:dyDescent="0.25">
      <c r="A1798" s="168"/>
      <c r="B1798" s="174">
        <v>102419389</v>
      </c>
      <c r="C1798" s="174" t="s">
        <v>4533</v>
      </c>
      <c r="D1798" s="174" t="s">
        <v>4933</v>
      </c>
      <c r="E1798" s="175" t="s">
        <v>4119</v>
      </c>
      <c r="F1798" s="176" t="s">
        <v>379</v>
      </c>
      <c r="G1798" s="170"/>
      <c r="H1798" s="170"/>
      <c r="I1798" s="170"/>
      <c r="J1798" s="170"/>
      <c r="K1798" s="170"/>
      <c r="L1798" s="168"/>
      <c r="M1798" s="171" t="s">
        <v>2377</v>
      </c>
      <c r="N1798" s="170"/>
      <c r="O1798" s="170"/>
      <c r="P1798" s="170"/>
    </row>
    <row r="1799" spans="1:16" x14ac:dyDescent="0.25">
      <c r="A1799" s="168"/>
      <c r="B1799" s="174">
        <v>102419138</v>
      </c>
      <c r="C1799" s="174" t="s">
        <v>4283</v>
      </c>
      <c r="D1799" s="174" t="s">
        <v>4682</v>
      </c>
      <c r="E1799" s="175" t="s">
        <v>3871</v>
      </c>
      <c r="F1799" s="176" t="s">
        <v>381</v>
      </c>
      <c r="G1799" s="170"/>
      <c r="H1799" s="170"/>
      <c r="I1799" s="170"/>
      <c r="J1799" s="170"/>
      <c r="K1799" s="170"/>
      <c r="L1799" s="168"/>
      <c r="M1799" s="171" t="s">
        <v>2386</v>
      </c>
      <c r="N1799" s="170"/>
      <c r="O1799" s="170"/>
      <c r="P1799" s="170"/>
    </row>
    <row r="1800" spans="1:16" x14ac:dyDescent="0.25">
      <c r="A1800" s="168"/>
      <c r="B1800" s="174">
        <v>102419319</v>
      </c>
      <c r="C1800" s="174" t="s">
        <v>4463</v>
      </c>
      <c r="D1800" s="174" t="s">
        <v>4863</v>
      </c>
      <c r="E1800" s="175" t="s">
        <v>4048</v>
      </c>
      <c r="F1800" s="176" t="s">
        <v>381</v>
      </c>
      <c r="G1800" s="170"/>
      <c r="H1800" s="170"/>
      <c r="I1800" s="170"/>
      <c r="J1800" s="170"/>
      <c r="K1800" s="170"/>
      <c r="L1800" s="168"/>
      <c r="M1800" s="171" t="s">
        <v>2373</v>
      </c>
      <c r="N1800" s="170"/>
      <c r="O1800" s="170"/>
      <c r="P1800" s="170"/>
    </row>
    <row r="1801" spans="1:16" x14ac:dyDescent="0.25">
      <c r="A1801" s="168"/>
      <c r="B1801" s="174">
        <v>102419320</v>
      </c>
      <c r="C1801" s="174" t="s">
        <v>4464</v>
      </c>
      <c r="D1801" s="174" t="s">
        <v>4864</v>
      </c>
      <c r="E1801" s="175" t="s">
        <v>4049</v>
      </c>
      <c r="F1801" s="176" t="s">
        <v>381</v>
      </c>
      <c r="G1801" s="170"/>
      <c r="H1801" s="170"/>
      <c r="I1801" s="170"/>
      <c r="J1801" s="170"/>
      <c r="K1801" s="170"/>
      <c r="L1801" s="168"/>
      <c r="M1801" s="171" t="s">
        <v>2373</v>
      </c>
      <c r="N1801" s="170"/>
      <c r="O1801" s="170"/>
      <c r="P1801" s="170"/>
    </row>
    <row r="1802" spans="1:16" x14ac:dyDescent="0.25">
      <c r="A1802" s="168"/>
      <c r="B1802" s="174">
        <v>102419321</v>
      </c>
      <c r="C1802" s="174" t="s">
        <v>4465</v>
      </c>
      <c r="D1802" s="174" t="s">
        <v>4865</v>
      </c>
      <c r="E1802" s="175" t="s">
        <v>4050</v>
      </c>
      <c r="F1802" s="176" t="s">
        <v>379</v>
      </c>
      <c r="G1802" s="170"/>
      <c r="H1802" s="170"/>
      <c r="I1802" s="170"/>
      <c r="J1802" s="170"/>
      <c r="K1802" s="170"/>
      <c r="L1802" s="168"/>
      <c r="M1802" s="171" t="s">
        <v>2373</v>
      </c>
      <c r="N1802" s="170"/>
      <c r="O1802" s="170"/>
      <c r="P1802" s="170"/>
    </row>
    <row r="1803" spans="1:16" x14ac:dyDescent="0.25">
      <c r="A1803" s="168"/>
      <c r="B1803" s="174">
        <v>102419322</v>
      </c>
      <c r="C1803" s="174" t="s">
        <v>4466</v>
      </c>
      <c r="D1803" s="174" t="s">
        <v>4866</v>
      </c>
      <c r="E1803" s="175" t="s">
        <v>4051</v>
      </c>
      <c r="F1803" s="176" t="s">
        <v>381</v>
      </c>
      <c r="G1803" s="170"/>
      <c r="H1803" s="170"/>
      <c r="I1803" s="170"/>
      <c r="J1803" s="170"/>
      <c r="K1803" s="170"/>
      <c r="L1803" s="168"/>
      <c r="M1803" s="171" t="s">
        <v>2373</v>
      </c>
      <c r="N1803" s="170"/>
      <c r="O1803" s="170"/>
      <c r="P1803" s="170"/>
    </row>
    <row r="1804" spans="1:16" x14ac:dyDescent="0.25">
      <c r="A1804" s="168"/>
      <c r="B1804" s="174">
        <v>102419460</v>
      </c>
      <c r="C1804" s="174" t="s">
        <v>4604</v>
      </c>
      <c r="D1804" s="174" t="s">
        <v>5004</v>
      </c>
      <c r="E1804" s="175" t="s">
        <v>4222</v>
      </c>
      <c r="F1804" s="176" t="s">
        <v>379</v>
      </c>
      <c r="G1804" s="170"/>
      <c r="H1804" s="170"/>
      <c r="I1804" s="170"/>
      <c r="J1804" s="170"/>
      <c r="K1804" s="170"/>
      <c r="L1804" s="168"/>
      <c r="M1804" s="171" t="s">
        <v>2383</v>
      </c>
      <c r="N1804" s="170"/>
      <c r="O1804" s="170"/>
      <c r="P1804" s="170"/>
    </row>
    <row r="1805" spans="1:16" x14ac:dyDescent="0.25">
      <c r="A1805" s="168"/>
      <c r="B1805" s="174">
        <v>102419390</v>
      </c>
      <c r="C1805" s="174" t="s">
        <v>4534</v>
      </c>
      <c r="D1805" s="174" t="s">
        <v>4934</v>
      </c>
      <c r="E1805" s="175" t="s">
        <v>4120</v>
      </c>
      <c r="F1805" s="176" t="s">
        <v>381</v>
      </c>
      <c r="G1805" s="170"/>
      <c r="H1805" s="170"/>
      <c r="I1805" s="170"/>
      <c r="J1805" s="170"/>
      <c r="K1805" s="170"/>
      <c r="L1805" s="168"/>
      <c r="M1805" s="171" t="s">
        <v>2377</v>
      </c>
      <c r="N1805" s="170"/>
      <c r="O1805" s="170"/>
      <c r="P1805" s="170"/>
    </row>
    <row r="1806" spans="1:16" x14ac:dyDescent="0.25">
      <c r="A1806" s="168"/>
      <c r="B1806" s="174">
        <v>102419281</v>
      </c>
      <c r="C1806" s="174" t="s">
        <v>4425</v>
      </c>
      <c r="D1806" s="174" t="s">
        <v>4825</v>
      </c>
      <c r="E1806" s="175" t="s">
        <v>4011</v>
      </c>
      <c r="F1806" s="176" t="s">
        <v>381</v>
      </c>
      <c r="G1806" s="170"/>
      <c r="H1806" s="170"/>
      <c r="I1806" s="170"/>
      <c r="J1806" s="170"/>
      <c r="K1806" s="170"/>
      <c r="L1806" s="168"/>
      <c r="M1806" s="171" t="s">
        <v>2399</v>
      </c>
      <c r="N1806" s="170"/>
      <c r="O1806" s="170"/>
      <c r="P1806" s="170"/>
    </row>
    <row r="1807" spans="1:16" x14ac:dyDescent="0.25">
      <c r="A1807" s="168"/>
      <c r="B1807" s="174">
        <v>102419139</v>
      </c>
      <c r="C1807" s="174" t="s">
        <v>4284</v>
      </c>
      <c r="D1807" s="174" t="s">
        <v>4683</v>
      </c>
      <c r="E1807" s="175" t="s">
        <v>3872</v>
      </c>
      <c r="F1807" s="176" t="s">
        <v>381</v>
      </c>
      <c r="G1807" s="170"/>
      <c r="H1807" s="170"/>
      <c r="I1807" s="170"/>
      <c r="J1807" s="170"/>
      <c r="K1807" s="170"/>
      <c r="L1807" s="168"/>
      <c r="M1807" s="171" t="s">
        <v>2386</v>
      </c>
      <c r="N1807" s="170"/>
      <c r="O1807" s="170"/>
      <c r="P1807" s="170"/>
    </row>
    <row r="1808" spans="1:16" x14ac:dyDescent="0.25">
      <c r="A1808" s="168"/>
      <c r="B1808" s="174">
        <v>102419356</v>
      </c>
      <c r="C1808" s="174" t="s">
        <v>4500</v>
      </c>
      <c r="D1808" s="174" t="s">
        <v>4900</v>
      </c>
      <c r="E1808" s="175" t="s">
        <v>4086</v>
      </c>
      <c r="F1808" s="176" t="s">
        <v>379</v>
      </c>
      <c r="G1808" s="170"/>
      <c r="H1808" s="170"/>
      <c r="I1808" s="170"/>
      <c r="J1808" s="170"/>
      <c r="K1808" s="170"/>
      <c r="L1808" s="168"/>
      <c r="M1808" s="171" t="s">
        <v>2379</v>
      </c>
      <c r="N1808" s="170"/>
      <c r="O1808" s="170"/>
      <c r="P1808" s="170"/>
    </row>
    <row r="1809" spans="1:16" x14ac:dyDescent="0.25">
      <c r="A1809" s="168"/>
      <c r="B1809" s="174">
        <v>102419425</v>
      </c>
      <c r="C1809" s="174" t="s">
        <v>4569</v>
      </c>
      <c r="D1809" s="174" t="s">
        <v>4969</v>
      </c>
      <c r="E1809" s="175" t="s">
        <v>4189</v>
      </c>
      <c r="F1809" s="176" t="s">
        <v>379</v>
      </c>
      <c r="G1809" s="170"/>
      <c r="H1809" s="170"/>
      <c r="I1809" s="170"/>
      <c r="J1809" s="170"/>
      <c r="K1809" s="170"/>
      <c r="L1809" s="168"/>
      <c r="M1809" s="171" t="s">
        <v>2375</v>
      </c>
      <c r="N1809" s="170"/>
      <c r="O1809" s="170"/>
      <c r="P1809" s="170"/>
    </row>
    <row r="1810" spans="1:16" x14ac:dyDescent="0.25">
      <c r="A1810" s="168"/>
      <c r="B1810" s="174">
        <v>102419282</v>
      </c>
      <c r="C1810" s="174" t="s">
        <v>4426</v>
      </c>
      <c r="D1810" s="174" t="s">
        <v>4826</v>
      </c>
      <c r="E1810" s="175" t="s">
        <v>4012</v>
      </c>
      <c r="F1810" s="176" t="s">
        <v>381</v>
      </c>
      <c r="G1810" s="170"/>
      <c r="H1810" s="170"/>
      <c r="I1810" s="170"/>
      <c r="J1810" s="170"/>
      <c r="K1810" s="170"/>
      <c r="L1810" s="168"/>
      <c r="M1810" s="171" t="s">
        <v>2399</v>
      </c>
      <c r="N1810" s="170"/>
      <c r="O1810" s="170"/>
      <c r="P1810" s="170"/>
    </row>
    <row r="1811" spans="1:16" x14ac:dyDescent="0.25">
      <c r="A1811" s="168"/>
      <c r="B1811" s="174">
        <v>102419494</v>
      </c>
      <c r="C1811" s="174" t="s">
        <v>4638</v>
      </c>
      <c r="D1811" s="174" t="s">
        <v>5038</v>
      </c>
      <c r="E1811" s="175" t="s">
        <v>4154</v>
      </c>
      <c r="F1811" s="176" t="s">
        <v>379</v>
      </c>
      <c r="G1811" s="170"/>
      <c r="H1811" s="170"/>
      <c r="I1811" s="170"/>
      <c r="J1811" s="170"/>
      <c r="K1811" s="170"/>
      <c r="L1811" s="168"/>
      <c r="M1811" s="171" t="s">
        <v>2402</v>
      </c>
      <c r="N1811" s="170"/>
      <c r="O1811" s="170"/>
      <c r="P1811" s="170"/>
    </row>
    <row r="1812" spans="1:16" x14ac:dyDescent="0.25">
      <c r="A1812" s="168"/>
      <c r="B1812" s="174">
        <v>102419495</v>
      </c>
      <c r="C1812" s="174" t="s">
        <v>4639</v>
      </c>
      <c r="D1812" s="174" t="s">
        <v>5039</v>
      </c>
      <c r="E1812" s="175" t="s">
        <v>4155</v>
      </c>
      <c r="F1812" s="176" t="s">
        <v>379</v>
      </c>
      <c r="G1812" s="170"/>
      <c r="H1812" s="170"/>
      <c r="I1812" s="170"/>
      <c r="J1812" s="170"/>
      <c r="K1812" s="170"/>
      <c r="L1812" s="168"/>
      <c r="M1812" s="171" t="s">
        <v>2402</v>
      </c>
      <c r="N1812" s="170"/>
      <c r="O1812" s="170"/>
      <c r="P1812" s="170"/>
    </row>
    <row r="1813" spans="1:16" x14ac:dyDescent="0.25">
      <c r="A1813" s="168"/>
      <c r="B1813" s="174">
        <v>102419214</v>
      </c>
      <c r="C1813" s="174" t="s">
        <v>4358</v>
      </c>
      <c r="D1813" s="174" t="s">
        <v>4758</v>
      </c>
      <c r="E1813" s="175" t="s">
        <v>3945</v>
      </c>
      <c r="F1813" s="176" t="s">
        <v>379</v>
      </c>
      <c r="G1813" s="170"/>
      <c r="H1813" s="170"/>
      <c r="I1813" s="170"/>
      <c r="J1813" s="170"/>
      <c r="K1813" s="170"/>
      <c r="L1813" s="168"/>
      <c r="M1813" s="171" t="s">
        <v>2389</v>
      </c>
      <c r="N1813" s="170"/>
      <c r="O1813" s="170"/>
      <c r="P1813" s="170"/>
    </row>
    <row r="1814" spans="1:16" x14ac:dyDescent="0.25">
      <c r="A1814" s="168"/>
      <c r="B1814" s="174">
        <v>102419461</v>
      </c>
      <c r="C1814" s="174" t="s">
        <v>4605</v>
      </c>
      <c r="D1814" s="174" t="s">
        <v>5005</v>
      </c>
      <c r="E1814" s="175" t="s">
        <v>4223</v>
      </c>
      <c r="F1814" s="176" t="s">
        <v>379</v>
      </c>
      <c r="G1814" s="170"/>
      <c r="H1814" s="170"/>
      <c r="I1814" s="170"/>
      <c r="J1814" s="170"/>
      <c r="K1814" s="170"/>
      <c r="L1814" s="168"/>
      <c r="M1814" s="171" t="s">
        <v>2383</v>
      </c>
      <c r="N1814" s="170"/>
      <c r="O1814" s="170"/>
      <c r="P1814" s="170"/>
    </row>
    <row r="1815" spans="1:16" x14ac:dyDescent="0.25">
      <c r="A1815" s="168"/>
      <c r="B1815" s="174">
        <v>102419215</v>
      </c>
      <c r="C1815" s="174" t="s">
        <v>4359</v>
      </c>
      <c r="D1815" s="174" t="s">
        <v>4759</v>
      </c>
      <c r="E1815" s="175" t="s">
        <v>3946</v>
      </c>
      <c r="F1815" s="176" t="s">
        <v>381</v>
      </c>
      <c r="G1815" s="170"/>
      <c r="H1815" s="170"/>
      <c r="I1815" s="170"/>
      <c r="J1815" s="170"/>
      <c r="K1815" s="170"/>
      <c r="L1815" s="168"/>
      <c r="M1815" s="171" t="s">
        <v>2389</v>
      </c>
      <c r="N1815" s="170"/>
      <c r="O1815" s="170"/>
      <c r="P1815" s="170"/>
    </row>
    <row r="1816" spans="1:16" x14ac:dyDescent="0.25">
      <c r="A1816" s="168"/>
      <c r="B1816" s="174">
        <v>102419426</v>
      </c>
      <c r="C1816" s="174" t="s">
        <v>4570</v>
      </c>
      <c r="D1816" s="174" t="s">
        <v>4970</v>
      </c>
      <c r="E1816" s="175" t="s">
        <v>4190</v>
      </c>
      <c r="F1816" s="176" t="s">
        <v>379</v>
      </c>
      <c r="G1816" s="170"/>
      <c r="H1816" s="170"/>
      <c r="I1816" s="170"/>
      <c r="J1816" s="170"/>
      <c r="K1816" s="170"/>
      <c r="L1816" s="168"/>
      <c r="M1816" s="171" t="s">
        <v>2375</v>
      </c>
      <c r="N1816" s="170"/>
      <c r="O1816" s="170"/>
      <c r="P1816" s="170"/>
    </row>
    <row r="1817" spans="1:16" x14ac:dyDescent="0.25">
      <c r="A1817" s="168"/>
      <c r="B1817" s="174">
        <v>102419391</v>
      </c>
      <c r="C1817" s="174" t="s">
        <v>4535</v>
      </c>
      <c r="D1817" s="174" t="s">
        <v>4935</v>
      </c>
      <c r="E1817" s="175" t="s">
        <v>4121</v>
      </c>
      <c r="F1817" s="176" t="s">
        <v>379</v>
      </c>
      <c r="G1817" s="170"/>
      <c r="H1817" s="170"/>
      <c r="I1817" s="170"/>
      <c r="J1817" s="170"/>
      <c r="K1817" s="170"/>
      <c r="L1817" s="168"/>
      <c r="M1817" s="171" t="s">
        <v>2377</v>
      </c>
      <c r="N1817" s="170"/>
      <c r="O1817" s="170"/>
      <c r="P1817" s="170"/>
    </row>
    <row r="1818" spans="1:16" x14ac:dyDescent="0.25">
      <c r="A1818" s="168"/>
      <c r="B1818" s="174">
        <v>102419357</v>
      </c>
      <c r="C1818" s="174" t="s">
        <v>4501</v>
      </c>
      <c r="D1818" s="174" t="s">
        <v>4901</v>
      </c>
      <c r="E1818" s="175" t="s">
        <v>4087</v>
      </c>
      <c r="F1818" s="176" t="s">
        <v>379</v>
      </c>
      <c r="G1818" s="170"/>
      <c r="H1818" s="170"/>
      <c r="I1818" s="170"/>
      <c r="J1818" s="170"/>
      <c r="K1818" s="170"/>
      <c r="L1818" s="168"/>
      <c r="M1818" s="171" t="s">
        <v>2379</v>
      </c>
      <c r="N1818" s="170"/>
      <c r="O1818" s="170"/>
      <c r="P1818" s="170"/>
    </row>
    <row r="1819" spans="1:16" x14ac:dyDescent="0.25">
      <c r="A1819" s="168"/>
      <c r="B1819" s="174">
        <v>102419283</v>
      </c>
      <c r="C1819" s="174" t="s">
        <v>4427</v>
      </c>
      <c r="D1819" s="174" t="s">
        <v>4827</v>
      </c>
      <c r="E1819" s="175" t="s">
        <v>4013</v>
      </c>
      <c r="F1819" s="176" t="s">
        <v>381</v>
      </c>
      <c r="G1819" s="170"/>
      <c r="H1819" s="170"/>
      <c r="I1819" s="170"/>
      <c r="J1819" s="170"/>
      <c r="K1819" s="170"/>
      <c r="L1819" s="168"/>
      <c r="M1819" s="171" t="s">
        <v>2399</v>
      </c>
      <c r="N1819" s="170"/>
      <c r="O1819" s="170"/>
      <c r="P1819" s="170"/>
    </row>
    <row r="1820" spans="1:16" x14ac:dyDescent="0.25">
      <c r="A1820" s="168"/>
      <c r="B1820" s="174">
        <v>102419284</v>
      </c>
      <c r="C1820" s="174" t="s">
        <v>4428</v>
      </c>
      <c r="D1820" s="174" t="s">
        <v>4828</v>
      </c>
      <c r="E1820" s="175" t="s">
        <v>4014</v>
      </c>
      <c r="F1820" s="176" t="s">
        <v>381</v>
      </c>
      <c r="G1820" s="170"/>
      <c r="H1820" s="170"/>
      <c r="I1820" s="170"/>
      <c r="J1820" s="170"/>
      <c r="K1820" s="170"/>
      <c r="L1820" s="168"/>
      <c r="M1820" s="171" t="s">
        <v>2399</v>
      </c>
      <c r="N1820" s="170"/>
      <c r="O1820" s="170"/>
      <c r="P1820" s="170"/>
    </row>
    <row r="1821" spans="1:16" x14ac:dyDescent="0.25">
      <c r="A1821" s="168"/>
      <c r="B1821" s="174">
        <v>102419140</v>
      </c>
      <c r="C1821" s="174" t="s">
        <v>4285</v>
      </c>
      <c r="D1821" s="174" t="s">
        <v>4684</v>
      </c>
      <c r="E1821" s="175" t="s">
        <v>3873</v>
      </c>
      <c r="F1821" s="176" t="s">
        <v>381</v>
      </c>
      <c r="G1821" s="170"/>
      <c r="H1821" s="170"/>
      <c r="I1821" s="170"/>
      <c r="J1821" s="170"/>
      <c r="K1821" s="170"/>
      <c r="L1821" s="168"/>
      <c r="M1821" s="171" t="s">
        <v>2386</v>
      </c>
      <c r="N1821" s="170"/>
      <c r="O1821" s="170"/>
      <c r="P1821" s="170"/>
    </row>
    <row r="1822" spans="1:16" x14ac:dyDescent="0.25">
      <c r="A1822" s="168"/>
      <c r="B1822" s="174">
        <v>102419285</v>
      </c>
      <c r="C1822" s="174" t="s">
        <v>4429</v>
      </c>
      <c r="D1822" s="174" t="s">
        <v>4829</v>
      </c>
      <c r="E1822" s="175" t="s">
        <v>4015</v>
      </c>
      <c r="F1822" s="176" t="s">
        <v>381</v>
      </c>
      <c r="G1822" s="170"/>
      <c r="H1822" s="170"/>
      <c r="I1822" s="170"/>
      <c r="J1822" s="170"/>
      <c r="K1822" s="170"/>
      <c r="L1822" s="168"/>
      <c r="M1822" s="171" t="s">
        <v>2399</v>
      </c>
      <c r="N1822" s="170"/>
      <c r="O1822" s="170"/>
      <c r="P1822" s="170"/>
    </row>
    <row r="1823" spans="1:16" x14ac:dyDescent="0.25">
      <c r="A1823" s="168"/>
      <c r="B1823" s="174">
        <v>102419392</v>
      </c>
      <c r="C1823" s="174" t="s">
        <v>4536</v>
      </c>
      <c r="D1823" s="174" t="s">
        <v>4936</v>
      </c>
      <c r="E1823" s="175" t="s">
        <v>4122</v>
      </c>
      <c r="F1823" s="176" t="s">
        <v>381</v>
      </c>
      <c r="G1823" s="170"/>
      <c r="H1823" s="170"/>
      <c r="I1823" s="170"/>
      <c r="J1823" s="170"/>
      <c r="K1823" s="170"/>
      <c r="L1823" s="168"/>
      <c r="M1823" s="171" t="s">
        <v>2377</v>
      </c>
      <c r="N1823" s="170"/>
      <c r="O1823" s="170"/>
      <c r="P1823" s="170"/>
    </row>
    <row r="1824" spans="1:16" x14ac:dyDescent="0.25">
      <c r="A1824" s="168"/>
      <c r="B1824" s="174">
        <v>102419286</v>
      </c>
      <c r="C1824" s="174" t="s">
        <v>4430</v>
      </c>
      <c r="D1824" s="174" t="s">
        <v>4830</v>
      </c>
      <c r="E1824" s="175" t="s">
        <v>4016</v>
      </c>
      <c r="F1824" s="176" t="s">
        <v>381</v>
      </c>
      <c r="G1824" s="170"/>
      <c r="H1824" s="170"/>
      <c r="I1824" s="170"/>
      <c r="J1824" s="170"/>
      <c r="K1824" s="170"/>
      <c r="L1824" s="168"/>
      <c r="M1824" s="171" t="s">
        <v>2399</v>
      </c>
      <c r="N1824" s="170"/>
      <c r="O1824" s="170"/>
      <c r="P1824" s="170"/>
    </row>
    <row r="1825" spans="1:16" x14ac:dyDescent="0.25">
      <c r="A1825" s="168"/>
      <c r="B1825" s="174">
        <v>102419427</v>
      </c>
      <c r="C1825" s="174" t="s">
        <v>4571</v>
      </c>
      <c r="D1825" s="174" t="s">
        <v>4971</v>
      </c>
      <c r="E1825" s="175" t="s">
        <v>4191</v>
      </c>
      <c r="F1825" s="176" t="s">
        <v>379</v>
      </c>
      <c r="G1825" s="170"/>
      <c r="H1825" s="170"/>
      <c r="I1825" s="170"/>
      <c r="J1825" s="170"/>
      <c r="K1825" s="170"/>
      <c r="L1825" s="168"/>
      <c r="M1825" s="171" t="s">
        <v>2375</v>
      </c>
      <c r="N1825" s="170"/>
      <c r="O1825" s="170"/>
      <c r="P1825" s="170"/>
    </row>
    <row r="1826" spans="1:16" x14ac:dyDescent="0.25">
      <c r="A1826" s="168"/>
      <c r="B1826" s="174">
        <v>102419358</v>
      </c>
      <c r="C1826" s="174" t="s">
        <v>4502</v>
      </c>
      <c r="D1826" s="174" t="s">
        <v>4902</v>
      </c>
      <c r="E1826" s="175" t="s">
        <v>4088</v>
      </c>
      <c r="F1826" s="176" t="s">
        <v>379</v>
      </c>
      <c r="G1826" s="170"/>
      <c r="H1826" s="170"/>
      <c r="I1826" s="170"/>
      <c r="J1826" s="170"/>
      <c r="K1826" s="170"/>
      <c r="L1826" s="168"/>
      <c r="M1826" s="171" t="s">
        <v>2379</v>
      </c>
      <c r="N1826" s="170"/>
      <c r="O1826" s="170"/>
      <c r="P1826" s="170"/>
    </row>
    <row r="1827" spans="1:16" x14ac:dyDescent="0.25">
      <c r="A1827" s="168"/>
      <c r="B1827" s="174">
        <v>102419496</v>
      </c>
      <c r="C1827" s="174" t="s">
        <v>4640</v>
      </c>
      <c r="D1827" s="174" t="s">
        <v>5040</v>
      </c>
      <c r="E1827" s="175" t="s">
        <v>4156</v>
      </c>
      <c r="F1827" s="176" t="s">
        <v>379</v>
      </c>
      <c r="G1827" s="170"/>
      <c r="H1827" s="170"/>
      <c r="I1827" s="170"/>
      <c r="J1827" s="170"/>
      <c r="K1827" s="170"/>
      <c r="L1827" s="168"/>
      <c r="M1827" s="171" t="s">
        <v>2402</v>
      </c>
      <c r="N1827" s="170"/>
      <c r="O1827" s="170"/>
      <c r="P1827" s="170"/>
    </row>
    <row r="1828" spans="1:16" x14ac:dyDescent="0.25">
      <c r="A1828" s="168"/>
      <c r="B1828" s="174">
        <v>102419462</v>
      </c>
      <c r="C1828" s="174" t="s">
        <v>4606</v>
      </c>
      <c r="D1828" s="174" t="s">
        <v>5006</v>
      </c>
      <c r="E1828" s="175" t="s">
        <v>4262</v>
      </c>
      <c r="F1828" s="176" t="s">
        <v>381</v>
      </c>
      <c r="G1828" s="170"/>
      <c r="H1828" s="170"/>
      <c r="I1828" s="170"/>
      <c r="J1828" s="170"/>
      <c r="K1828" s="170"/>
      <c r="L1828" s="168"/>
      <c r="M1828" s="171" t="s">
        <v>2383</v>
      </c>
      <c r="N1828" s="170"/>
      <c r="O1828" s="170"/>
      <c r="P1828" s="170"/>
    </row>
    <row r="1829" spans="1:16" x14ac:dyDescent="0.25">
      <c r="A1829" s="168"/>
      <c r="B1829" s="174">
        <v>102419359</v>
      </c>
      <c r="C1829" s="174" t="s">
        <v>4503</v>
      </c>
      <c r="D1829" s="174" t="s">
        <v>4903</v>
      </c>
      <c r="E1829" s="175" t="s">
        <v>4089</v>
      </c>
      <c r="F1829" s="176" t="s">
        <v>379</v>
      </c>
      <c r="G1829" s="170"/>
      <c r="H1829" s="170"/>
      <c r="I1829" s="170"/>
      <c r="J1829" s="170"/>
      <c r="K1829" s="170"/>
      <c r="L1829" s="168"/>
      <c r="M1829" s="171" t="s">
        <v>2379</v>
      </c>
      <c r="N1829" s="170"/>
      <c r="O1829" s="170"/>
      <c r="P1829" s="170"/>
    </row>
    <row r="1830" spans="1:16" x14ac:dyDescent="0.25">
      <c r="A1830" s="168"/>
      <c r="B1830" s="174">
        <v>102419463</v>
      </c>
      <c r="C1830" s="174" t="s">
        <v>4607</v>
      </c>
      <c r="D1830" s="174" t="s">
        <v>5007</v>
      </c>
      <c r="E1830" s="175" t="s">
        <v>4224</v>
      </c>
      <c r="F1830" s="176" t="s">
        <v>381</v>
      </c>
      <c r="G1830" s="170"/>
      <c r="H1830" s="170"/>
      <c r="I1830" s="170"/>
      <c r="J1830" s="170"/>
      <c r="K1830" s="170"/>
      <c r="L1830" s="168"/>
      <c r="M1830" s="171" t="s">
        <v>2383</v>
      </c>
      <c r="N1830" s="170"/>
      <c r="O1830" s="170"/>
      <c r="P1830" s="170"/>
    </row>
    <row r="1831" spans="1:16" x14ac:dyDescent="0.25">
      <c r="A1831" s="168"/>
      <c r="B1831" s="174">
        <v>102419360</v>
      </c>
      <c r="C1831" s="174" t="s">
        <v>4504</v>
      </c>
      <c r="D1831" s="174" t="s">
        <v>4904</v>
      </c>
      <c r="E1831" s="175" t="s">
        <v>4090</v>
      </c>
      <c r="F1831" s="176" t="s">
        <v>379</v>
      </c>
      <c r="G1831" s="170"/>
      <c r="H1831" s="170"/>
      <c r="I1831" s="170"/>
      <c r="J1831" s="170"/>
      <c r="K1831" s="170"/>
      <c r="L1831" s="168"/>
      <c r="M1831" s="171" t="s">
        <v>2379</v>
      </c>
      <c r="N1831" s="170"/>
      <c r="O1831" s="170"/>
      <c r="P1831" s="170"/>
    </row>
    <row r="1832" spans="1:16" x14ac:dyDescent="0.25">
      <c r="A1832" s="168"/>
      <c r="B1832" s="174">
        <v>102419428</v>
      </c>
      <c r="C1832" s="174" t="s">
        <v>4572</v>
      </c>
      <c r="D1832" s="174" t="s">
        <v>4972</v>
      </c>
      <c r="E1832" s="175" t="s">
        <v>4192</v>
      </c>
      <c r="F1832" s="176" t="s">
        <v>379</v>
      </c>
      <c r="G1832" s="170"/>
      <c r="H1832" s="170"/>
      <c r="I1832" s="170"/>
      <c r="J1832" s="170"/>
      <c r="K1832" s="170"/>
      <c r="L1832" s="168"/>
      <c r="M1832" s="171" t="s">
        <v>2375</v>
      </c>
      <c r="N1832" s="170"/>
      <c r="O1832" s="170"/>
      <c r="P1832" s="170"/>
    </row>
    <row r="1833" spans="1:16" x14ac:dyDescent="0.25">
      <c r="A1833" s="168"/>
      <c r="B1833" s="174">
        <v>102419176</v>
      </c>
      <c r="C1833" s="174" t="s">
        <v>4321</v>
      </c>
      <c r="D1833" s="174" t="s">
        <v>4720</v>
      </c>
      <c r="E1833" s="175" t="s">
        <v>3909</v>
      </c>
      <c r="F1833" s="176" t="s">
        <v>379</v>
      </c>
      <c r="G1833" s="170"/>
      <c r="H1833" s="170"/>
      <c r="I1833" s="170"/>
      <c r="J1833" s="170"/>
      <c r="K1833" s="170"/>
      <c r="L1833" s="168"/>
      <c r="M1833" s="171" t="s">
        <v>2397</v>
      </c>
      <c r="N1833" s="170"/>
      <c r="O1833" s="170"/>
      <c r="P1833" s="170"/>
    </row>
    <row r="1834" spans="1:16" x14ac:dyDescent="0.25">
      <c r="A1834" s="168"/>
      <c r="B1834" s="174">
        <v>102419464</v>
      </c>
      <c r="C1834" s="174" t="s">
        <v>4608</v>
      </c>
      <c r="D1834" s="174" t="s">
        <v>5008</v>
      </c>
      <c r="E1834" s="175" t="s">
        <v>4193</v>
      </c>
      <c r="F1834" s="176" t="s">
        <v>379</v>
      </c>
      <c r="G1834" s="170"/>
      <c r="H1834" s="170"/>
      <c r="I1834" s="170"/>
      <c r="J1834" s="170"/>
      <c r="K1834" s="170"/>
      <c r="L1834" s="168"/>
      <c r="M1834" s="171" t="s">
        <v>2383</v>
      </c>
      <c r="N1834" s="170"/>
      <c r="O1834" s="170"/>
      <c r="P1834" s="170"/>
    </row>
    <row r="1835" spans="1:16" x14ac:dyDescent="0.25">
      <c r="A1835" s="168"/>
      <c r="B1835" s="174">
        <v>102419429</v>
      </c>
      <c r="C1835" s="174" t="s">
        <v>4573</v>
      </c>
      <c r="D1835" s="174" t="s">
        <v>4973</v>
      </c>
      <c r="E1835" s="175" t="s">
        <v>4261</v>
      </c>
      <c r="F1835" s="176" t="s">
        <v>379</v>
      </c>
      <c r="G1835" s="170"/>
      <c r="H1835" s="170"/>
      <c r="I1835" s="170"/>
      <c r="J1835" s="170"/>
      <c r="K1835" s="170"/>
      <c r="L1835" s="168"/>
      <c r="M1835" s="171" t="s">
        <v>2375</v>
      </c>
      <c r="N1835" s="170"/>
      <c r="O1835" s="170"/>
      <c r="P1835" s="170"/>
    </row>
    <row r="1836" spans="1:16" x14ac:dyDescent="0.25">
      <c r="A1836" s="168"/>
      <c r="B1836" s="174">
        <v>102419216</v>
      </c>
      <c r="C1836" s="174" t="s">
        <v>4360</v>
      </c>
      <c r="D1836" s="174" t="s">
        <v>4760</v>
      </c>
      <c r="E1836" s="175" t="s">
        <v>3947</v>
      </c>
      <c r="F1836" s="176" t="s">
        <v>379</v>
      </c>
      <c r="G1836" s="170"/>
      <c r="H1836" s="170"/>
      <c r="I1836" s="170"/>
      <c r="J1836" s="170"/>
      <c r="K1836" s="170"/>
      <c r="L1836" s="168"/>
      <c r="M1836" s="171" t="s">
        <v>2389</v>
      </c>
      <c r="N1836" s="170"/>
      <c r="O1836" s="170"/>
      <c r="P1836" s="170"/>
    </row>
    <row r="1837" spans="1:16" x14ac:dyDescent="0.25">
      <c r="A1837" s="168"/>
      <c r="B1837" s="174">
        <v>102419497</v>
      </c>
      <c r="C1837" s="174" t="s">
        <v>4641</v>
      </c>
      <c r="D1837" s="174" t="s">
        <v>5041</v>
      </c>
      <c r="E1837" s="175" t="s">
        <v>4157</v>
      </c>
      <c r="F1837" s="176" t="s">
        <v>379</v>
      </c>
      <c r="G1837" s="170"/>
      <c r="H1837" s="170"/>
      <c r="I1837" s="170"/>
      <c r="J1837" s="170"/>
      <c r="K1837" s="170"/>
      <c r="L1837" s="168"/>
      <c r="M1837" s="171" t="s">
        <v>2402</v>
      </c>
      <c r="N1837" s="170"/>
      <c r="O1837" s="170"/>
      <c r="P1837" s="170"/>
    </row>
    <row r="1838" spans="1:16" x14ac:dyDescent="0.25">
      <c r="A1838" s="168"/>
      <c r="B1838" s="174">
        <v>102419465</v>
      </c>
      <c r="C1838" s="174" t="s">
        <v>4609</v>
      </c>
      <c r="D1838" s="174" t="s">
        <v>5009</v>
      </c>
      <c r="E1838" s="175" t="s">
        <v>4194</v>
      </c>
      <c r="F1838" s="176" t="s">
        <v>379</v>
      </c>
      <c r="G1838" s="170"/>
      <c r="H1838" s="170"/>
      <c r="I1838" s="170"/>
      <c r="J1838" s="170"/>
      <c r="K1838" s="170"/>
      <c r="L1838" s="168"/>
      <c r="M1838" s="171" t="s">
        <v>2383</v>
      </c>
      <c r="N1838" s="170"/>
      <c r="O1838" s="170"/>
      <c r="P1838" s="170"/>
    </row>
    <row r="1839" spans="1:16" x14ac:dyDescent="0.25">
      <c r="A1839" s="168"/>
      <c r="B1839" s="174">
        <v>102419361</v>
      </c>
      <c r="C1839" s="174" t="s">
        <v>4505</v>
      </c>
      <c r="D1839" s="174" t="s">
        <v>4905</v>
      </c>
      <c r="E1839" s="175" t="s">
        <v>4091</v>
      </c>
      <c r="F1839" s="176" t="s">
        <v>379</v>
      </c>
      <c r="G1839" s="170"/>
      <c r="H1839" s="170"/>
      <c r="I1839" s="170"/>
      <c r="J1839" s="170"/>
      <c r="K1839" s="170"/>
      <c r="L1839" s="168"/>
      <c r="M1839" s="171" t="s">
        <v>2379</v>
      </c>
      <c r="N1839" s="170"/>
      <c r="O1839" s="170"/>
      <c r="P1839" s="170"/>
    </row>
    <row r="1840" spans="1:16" x14ac:dyDescent="0.25">
      <c r="A1840" s="168"/>
      <c r="B1840" s="174">
        <v>102419217</v>
      </c>
      <c r="C1840" s="174" t="s">
        <v>4361</v>
      </c>
      <c r="D1840" s="174" t="s">
        <v>4761</v>
      </c>
      <c r="E1840" s="175" t="s">
        <v>3948</v>
      </c>
      <c r="F1840" s="176" t="s">
        <v>381</v>
      </c>
      <c r="G1840" s="170"/>
      <c r="H1840" s="170"/>
      <c r="I1840" s="170"/>
      <c r="J1840" s="170"/>
      <c r="K1840" s="170"/>
      <c r="L1840" s="168"/>
      <c r="M1840" s="171" t="s">
        <v>2389</v>
      </c>
      <c r="N1840" s="170"/>
      <c r="O1840" s="170"/>
      <c r="P1840" s="170"/>
    </row>
    <row r="1841" spans="1:16" x14ac:dyDescent="0.25">
      <c r="A1841" s="168"/>
      <c r="B1841" s="174">
        <v>102419323</v>
      </c>
      <c r="C1841" s="174" t="s">
        <v>4467</v>
      </c>
      <c r="D1841" s="174" t="s">
        <v>4867</v>
      </c>
      <c r="E1841" s="175" t="s">
        <v>4052</v>
      </c>
      <c r="F1841" s="176" t="s">
        <v>381</v>
      </c>
      <c r="G1841" s="170"/>
      <c r="H1841" s="170"/>
      <c r="I1841" s="170"/>
      <c r="J1841" s="170"/>
      <c r="K1841" s="170"/>
      <c r="L1841" s="168"/>
      <c r="M1841" s="171" t="s">
        <v>2373</v>
      </c>
      <c r="N1841" s="170"/>
      <c r="O1841" s="170"/>
      <c r="P1841" s="170"/>
    </row>
    <row r="1842" spans="1:16" x14ac:dyDescent="0.25">
      <c r="A1842" s="168"/>
      <c r="B1842" s="174">
        <v>102419466</v>
      </c>
      <c r="C1842" s="174" t="s">
        <v>4610</v>
      </c>
      <c r="D1842" s="174" t="s">
        <v>5010</v>
      </c>
      <c r="E1842" s="175" t="s">
        <v>4195</v>
      </c>
      <c r="F1842" s="176" t="s">
        <v>379</v>
      </c>
      <c r="G1842" s="170"/>
      <c r="H1842" s="170"/>
      <c r="I1842" s="170"/>
      <c r="J1842" s="170"/>
      <c r="K1842" s="170"/>
      <c r="L1842" s="168"/>
      <c r="M1842" s="171" t="s">
        <v>2383</v>
      </c>
      <c r="N1842" s="170"/>
      <c r="O1842" s="170"/>
      <c r="P1842" s="170"/>
    </row>
    <row r="1843" spans="1:16" x14ac:dyDescent="0.25">
      <c r="A1843" s="168"/>
      <c r="B1843" s="174">
        <v>102419324</v>
      </c>
      <c r="C1843" s="174" t="s">
        <v>4468</v>
      </c>
      <c r="D1843" s="174" t="s">
        <v>4868</v>
      </c>
      <c r="E1843" s="175" t="s">
        <v>4053</v>
      </c>
      <c r="F1843" s="176" t="s">
        <v>379</v>
      </c>
      <c r="G1843" s="170"/>
      <c r="H1843" s="170"/>
      <c r="I1843" s="170"/>
      <c r="J1843" s="170"/>
      <c r="K1843" s="170"/>
      <c r="L1843" s="168"/>
      <c r="M1843" s="171" t="s">
        <v>2373</v>
      </c>
      <c r="N1843" s="170"/>
      <c r="O1843" s="170"/>
      <c r="P1843" s="170"/>
    </row>
    <row r="1844" spans="1:16" x14ac:dyDescent="0.25">
      <c r="A1844" s="168"/>
      <c r="B1844" s="174">
        <v>102419430</v>
      </c>
      <c r="C1844" s="174" t="s">
        <v>4574</v>
      </c>
      <c r="D1844" s="174" t="s">
        <v>4974</v>
      </c>
      <c r="E1844" s="175" t="s">
        <v>4225</v>
      </c>
      <c r="F1844" s="176" t="s">
        <v>379</v>
      </c>
      <c r="G1844" s="170"/>
      <c r="H1844" s="170"/>
      <c r="I1844" s="170"/>
      <c r="J1844" s="170"/>
      <c r="K1844" s="170"/>
      <c r="L1844" s="168"/>
      <c r="M1844" s="171" t="s">
        <v>2375</v>
      </c>
      <c r="N1844" s="170"/>
      <c r="O1844" s="170"/>
      <c r="P1844" s="170"/>
    </row>
    <row r="1845" spans="1:16" x14ac:dyDescent="0.25">
      <c r="A1845" s="168"/>
      <c r="B1845" s="174">
        <v>102419177</v>
      </c>
      <c r="C1845" s="174" t="s">
        <v>4322</v>
      </c>
      <c r="D1845" s="174" t="s">
        <v>4721</v>
      </c>
      <c r="E1845" s="175" t="s">
        <v>3910</v>
      </c>
      <c r="F1845" s="176" t="s">
        <v>379</v>
      </c>
      <c r="G1845" s="170"/>
      <c r="H1845" s="170"/>
      <c r="I1845" s="170"/>
      <c r="J1845" s="170"/>
      <c r="K1845" s="170"/>
      <c r="L1845" s="168"/>
      <c r="M1845" s="171" t="s">
        <v>2397</v>
      </c>
      <c r="N1845" s="170"/>
      <c r="O1845" s="170"/>
      <c r="P1845" s="170"/>
    </row>
    <row r="1846" spans="1:16" x14ac:dyDescent="0.25">
      <c r="A1846" s="168"/>
      <c r="B1846" s="174">
        <v>102419431</v>
      </c>
      <c r="C1846" s="174" t="s">
        <v>4575</v>
      </c>
      <c r="D1846" s="174" t="s">
        <v>4975</v>
      </c>
      <c r="E1846" s="175" t="s">
        <v>4226</v>
      </c>
      <c r="F1846" s="176" t="s">
        <v>379</v>
      </c>
      <c r="G1846" s="170"/>
      <c r="H1846" s="170"/>
      <c r="I1846" s="170"/>
      <c r="J1846" s="170"/>
      <c r="K1846" s="170"/>
      <c r="L1846" s="168"/>
      <c r="M1846" s="171" t="s">
        <v>2375</v>
      </c>
      <c r="N1846" s="170"/>
      <c r="O1846" s="170"/>
      <c r="P1846" s="170"/>
    </row>
    <row r="1847" spans="1:16" x14ac:dyDescent="0.25">
      <c r="A1847" s="168"/>
      <c r="B1847" s="174">
        <v>102419287</v>
      </c>
      <c r="C1847" s="174" t="s">
        <v>4431</v>
      </c>
      <c r="D1847" s="174" t="s">
        <v>4831</v>
      </c>
      <c r="E1847" s="175" t="s">
        <v>4017</v>
      </c>
      <c r="F1847" s="176" t="s">
        <v>379</v>
      </c>
      <c r="G1847" s="170"/>
      <c r="H1847" s="170"/>
      <c r="I1847" s="170"/>
      <c r="J1847" s="170"/>
      <c r="K1847" s="170"/>
      <c r="L1847" s="168"/>
      <c r="M1847" s="171" t="s">
        <v>2399</v>
      </c>
      <c r="N1847" s="170"/>
      <c r="O1847" s="170"/>
      <c r="P1847" s="170"/>
    </row>
    <row r="1848" spans="1:16" x14ac:dyDescent="0.25">
      <c r="A1848" s="168"/>
      <c r="B1848" s="174">
        <v>102419325</v>
      </c>
      <c r="C1848" s="174" t="s">
        <v>4469</v>
      </c>
      <c r="D1848" s="174" t="s">
        <v>4869</v>
      </c>
      <c r="E1848" s="175" t="s">
        <v>4054</v>
      </c>
      <c r="F1848" s="176" t="s">
        <v>379</v>
      </c>
      <c r="G1848" s="170"/>
      <c r="H1848" s="170"/>
      <c r="I1848" s="170"/>
      <c r="J1848" s="170"/>
      <c r="K1848" s="170"/>
      <c r="L1848" s="168"/>
      <c r="M1848" s="171" t="s">
        <v>2373</v>
      </c>
      <c r="N1848" s="170"/>
      <c r="O1848" s="170"/>
      <c r="P1848" s="170"/>
    </row>
    <row r="1849" spans="1:16" x14ac:dyDescent="0.25">
      <c r="A1849" s="168"/>
      <c r="B1849" s="174">
        <v>102419432</v>
      </c>
      <c r="C1849" s="174" t="s">
        <v>4576</v>
      </c>
      <c r="D1849" s="174" t="s">
        <v>4976</v>
      </c>
      <c r="E1849" s="175" t="s">
        <v>4227</v>
      </c>
      <c r="F1849" s="176" t="s">
        <v>379</v>
      </c>
      <c r="G1849" s="170"/>
      <c r="H1849" s="170"/>
      <c r="I1849" s="170"/>
      <c r="J1849" s="170"/>
      <c r="K1849" s="170"/>
      <c r="L1849" s="168"/>
      <c r="M1849" s="171" t="s">
        <v>2375</v>
      </c>
      <c r="N1849" s="170"/>
      <c r="O1849" s="170"/>
      <c r="P1849" s="170"/>
    </row>
    <row r="1850" spans="1:16" x14ac:dyDescent="0.25">
      <c r="A1850" s="168"/>
      <c r="B1850" s="174">
        <v>102419288</v>
      </c>
      <c r="C1850" s="174" t="s">
        <v>4432</v>
      </c>
      <c r="D1850" s="174" t="s">
        <v>4832</v>
      </c>
      <c r="E1850" s="175" t="s">
        <v>4018</v>
      </c>
      <c r="F1850" s="176" t="s">
        <v>379</v>
      </c>
      <c r="G1850" s="170"/>
      <c r="H1850" s="170"/>
      <c r="I1850" s="170"/>
      <c r="J1850" s="170"/>
      <c r="K1850" s="170"/>
      <c r="L1850" s="168"/>
      <c r="M1850" s="171" t="s">
        <v>2399</v>
      </c>
      <c r="N1850" s="170"/>
      <c r="O1850" s="170"/>
      <c r="P1850" s="170"/>
    </row>
    <row r="1851" spans="1:16" x14ac:dyDescent="0.25">
      <c r="A1851" s="168"/>
      <c r="B1851" s="174">
        <v>102419246</v>
      </c>
      <c r="C1851" s="174" t="s">
        <v>4390</v>
      </c>
      <c r="D1851" s="174" t="s">
        <v>4790</v>
      </c>
      <c r="E1851" s="175" t="s">
        <v>3976</v>
      </c>
      <c r="F1851" s="176" t="s">
        <v>379</v>
      </c>
      <c r="G1851" s="170"/>
      <c r="H1851" s="170"/>
      <c r="I1851" s="170"/>
      <c r="J1851" s="170"/>
      <c r="K1851" s="170"/>
      <c r="L1851" s="168"/>
      <c r="M1851" s="171" t="s">
        <v>2371</v>
      </c>
      <c r="N1851" s="170"/>
      <c r="O1851" s="170"/>
      <c r="P1851" s="170"/>
    </row>
    <row r="1852" spans="1:16" x14ac:dyDescent="0.25">
      <c r="A1852" s="168"/>
      <c r="B1852" s="174">
        <v>102419178</v>
      </c>
      <c r="C1852" s="174" t="s">
        <v>4323</v>
      </c>
      <c r="D1852" s="174" t="s">
        <v>4722</v>
      </c>
      <c r="E1852" s="175" t="s">
        <v>4055</v>
      </c>
      <c r="F1852" s="176" t="s">
        <v>379</v>
      </c>
      <c r="G1852" s="170"/>
      <c r="H1852" s="170"/>
      <c r="I1852" s="170"/>
      <c r="J1852" s="170"/>
      <c r="K1852" s="170"/>
      <c r="L1852" s="168"/>
      <c r="M1852" s="171" t="s">
        <v>2397</v>
      </c>
      <c r="N1852" s="170"/>
      <c r="O1852" s="170"/>
      <c r="P1852" s="170"/>
    </row>
    <row r="1853" spans="1:16" x14ac:dyDescent="0.25">
      <c r="A1853" s="168"/>
      <c r="B1853" s="174">
        <v>102419393</v>
      </c>
      <c r="C1853" s="174" t="s">
        <v>4537</v>
      </c>
      <c r="D1853" s="174" t="s">
        <v>4937</v>
      </c>
      <c r="E1853" s="175" t="s">
        <v>4123</v>
      </c>
      <c r="F1853" s="176" t="s">
        <v>379</v>
      </c>
      <c r="G1853" s="170"/>
      <c r="H1853" s="170"/>
      <c r="I1853" s="170"/>
      <c r="J1853" s="170"/>
      <c r="K1853" s="170"/>
      <c r="L1853" s="168"/>
      <c r="M1853" s="171" t="s">
        <v>2377</v>
      </c>
      <c r="N1853" s="170"/>
      <c r="O1853" s="170"/>
      <c r="P1853" s="170"/>
    </row>
    <row r="1854" spans="1:16" x14ac:dyDescent="0.25">
      <c r="A1854" s="168"/>
      <c r="B1854" s="174">
        <v>102419289</v>
      </c>
      <c r="C1854" s="174" t="s">
        <v>4433</v>
      </c>
      <c r="D1854" s="174" t="s">
        <v>4833</v>
      </c>
      <c r="E1854" s="175" t="s">
        <v>4019</v>
      </c>
      <c r="F1854" s="176" t="s">
        <v>381</v>
      </c>
      <c r="G1854" s="170"/>
      <c r="H1854" s="170"/>
      <c r="I1854" s="170"/>
      <c r="J1854" s="170"/>
      <c r="K1854" s="170"/>
      <c r="L1854" s="168"/>
      <c r="M1854" s="171" t="s">
        <v>2399</v>
      </c>
      <c r="N1854" s="170"/>
      <c r="O1854" s="170"/>
      <c r="P1854" s="170"/>
    </row>
    <row r="1855" spans="1:16" x14ac:dyDescent="0.25">
      <c r="A1855" s="168"/>
      <c r="B1855" s="174">
        <v>102419394</v>
      </c>
      <c r="C1855" s="174" t="s">
        <v>4538</v>
      </c>
      <c r="D1855" s="174" t="s">
        <v>4938</v>
      </c>
      <c r="E1855" s="175" t="s">
        <v>4124</v>
      </c>
      <c r="F1855" s="176" t="s">
        <v>381</v>
      </c>
      <c r="G1855" s="170"/>
      <c r="H1855" s="170"/>
      <c r="I1855" s="170"/>
      <c r="J1855" s="170"/>
      <c r="K1855" s="170"/>
      <c r="L1855" s="168"/>
      <c r="M1855" s="171" t="s">
        <v>2377</v>
      </c>
      <c r="N1855" s="170"/>
      <c r="O1855" s="170"/>
      <c r="P1855" s="170"/>
    </row>
    <row r="1856" spans="1:16" x14ac:dyDescent="0.25">
      <c r="A1856" s="168"/>
      <c r="B1856" s="174">
        <v>102419362</v>
      </c>
      <c r="C1856" s="174" t="s">
        <v>4506</v>
      </c>
      <c r="D1856" s="174" t="s">
        <v>4906</v>
      </c>
      <c r="E1856" s="175" t="s">
        <v>4092</v>
      </c>
      <c r="F1856" s="176" t="s">
        <v>379</v>
      </c>
      <c r="G1856" s="170"/>
      <c r="H1856" s="170"/>
      <c r="I1856" s="170"/>
      <c r="J1856" s="170"/>
      <c r="K1856" s="170"/>
      <c r="L1856" s="168"/>
      <c r="M1856" s="171" t="s">
        <v>2379</v>
      </c>
      <c r="N1856" s="170"/>
      <c r="O1856" s="170"/>
      <c r="P1856" s="170"/>
    </row>
    <row r="1857" spans="1:16" x14ac:dyDescent="0.25">
      <c r="A1857" s="168"/>
      <c r="B1857" s="174">
        <v>102419326</v>
      </c>
      <c r="C1857" s="174" t="s">
        <v>4470</v>
      </c>
      <c r="D1857" s="174" t="s">
        <v>4870</v>
      </c>
      <c r="E1857" s="175" t="s">
        <v>4056</v>
      </c>
      <c r="F1857" s="176" t="s">
        <v>379</v>
      </c>
      <c r="G1857" s="170"/>
      <c r="H1857" s="170"/>
      <c r="I1857" s="170"/>
      <c r="J1857" s="170"/>
      <c r="K1857" s="170"/>
      <c r="L1857" s="168"/>
      <c r="M1857" s="171" t="s">
        <v>2373</v>
      </c>
      <c r="N1857" s="170"/>
      <c r="O1857" s="170"/>
      <c r="P1857" s="170"/>
    </row>
    <row r="1858" spans="1:16" x14ac:dyDescent="0.25">
      <c r="A1858" s="168"/>
      <c r="B1858" s="174">
        <v>102419141</v>
      </c>
      <c r="C1858" s="174" t="s">
        <v>4286</v>
      </c>
      <c r="D1858" s="174" t="s">
        <v>4685</v>
      </c>
      <c r="E1858" s="175" t="s">
        <v>3874</v>
      </c>
      <c r="F1858" s="176" t="s">
        <v>381</v>
      </c>
      <c r="G1858" s="170"/>
      <c r="H1858" s="170"/>
      <c r="I1858" s="170"/>
      <c r="J1858" s="170"/>
      <c r="K1858" s="170"/>
      <c r="L1858" s="168"/>
      <c r="M1858" s="171" t="s">
        <v>2386</v>
      </c>
      <c r="N1858" s="170"/>
      <c r="O1858" s="170"/>
      <c r="P1858" s="170"/>
    </row>
    <row r="1859" spans="1:16" x14ac:dyDescent="0.25">
      <c r="A1859" s="168"/>
      <c r="B1859" s="174">
        <v>102419179</v>
      </c>
      <c r="C1859" s="174" t="s">
        <v>4324</v>
      </c>
      <c r="D1859" s="174" t="s">
        <v>4723</v>
      </c>
      <c r="E1859" s="175" t="s">
        <v>4057</v>
      </c>
      <c r="F1859" s="176" t="s">
        <v>379</v>
      </c>
      <c r="G1859" s="170"/>
      <c r="H1859" s="170"/>
      <c r="I1859" s="170"/>
      <c r="J1859" s="170"/>
      <c r="K1859" s="170"/>
      <c r="L1859" s="168"/>
      <c r="M1859" s="171" t="s">
        <v>2397</v>
      </c>
      <c r="N1859" s="170"/>
      <c r="O1859" s="170"/>
      <c r="P1859" s="170"/>
    </row>
    <row r="1860" spans="1:16" x14ac:dyDescent="0.25">
      <c r="A1860" s="168"/>
      <c r="B1860" s="174">
        <v>102419467</v>
      </c>
      <c r="C1860" s="174" t="s">
        <v>4611</v>
      </c>
      <c r="D1860" s="174" t="s">
        <v>5011</v>
      </c>
      <c r="E1860" s="175" t="s">
        <v>4228</v>
      </c>
      <c r="F1860" s="176" t="s">
        <v>381</v>
      </c>
      <c r="G1860" s="170"/>
      <c r="H1860" s="170"/>
      <c r="I1860" s="170"/>
      <c r="J1860" s="170"/>
      <c r="K1860" s="170"/>
      <c r="L1860" s="168"/>
      <c r="M1860" s="171" t="s">
        <v>2383</v>
      </c>
      <c r="N1860" s="170"/>
      <c r="O1860" s="170"/>
      <c r="P1860" s="170"/>
    </row>
    <row r="1861" spans="1:16" x14ac:dyDescent="0.25">
      <c r="A1861" s="168"/>
      <c r="B1861" s="174">
        <v>102419498</v>
      </c>
      <c r="C1861" s="174" t="s">
        <v>4642</v>
      </c>
      <c r="D1861" s="174" t="s">
        <v>5042</v>
      </c>
      <c r="E1861" s="175" t="s">
        <v>4270</v>
      </c>
      <c r="F1861" s="176" t="s">
        <v>379</v>
      </c>
      <c r="G1861" s="170"/>
      <c r="H1861" s="170"/>
      <c r="I1861" s="170"/>
      <c r="J1861" s="170"/>
      <c r="K1861" s="170"/>
      <c r="L1861" s="168"/>
      <c r="M1861" s="171" t="s">
        <v>2402</v>
      </c>
      <c r="N1861" s="170"/>
      <c r="O1861" s="170"/>
      <c r="P1861" s="170"/>
    </row>
    <row r="1862" spans="1:16" x14ac:dyDescent="0.25">
      <c r="A1862" s="168"/>
      <c r="B1862" s="174">
        <v>102419433</v>
      </c>
      <c r="C1862" s="174" t="s">
        <v>4577</v>
      </c>
      <c r="D1862" s="174" t="s">
        <v>4977</v>
      </c>
      <c r="E1862" s="175" t="s">
        <v>4196</v>
      </c>
      <c r="F1862" s="176" t="s">
        <v>379</v>
      </c>
      <c r="G1862" s="170"/>
      <c r="H1862" s="170"/>
      <c r="I1862" s="170"/>
      <c r="J1862" s="170"/>
      <c r="K1862" s="170"/>
      <c r="L1862" s="168"/>
      <c r="M1862" s="171" t="s">
        <v>2375</v>
      </c>
      <c r="N1862" s="170"/>
      <c r="O1862" s="170"/>
      <c r="P1862" s="170"/>
    </row>
    <row r="1863" spans="1:16" x14ac:dyDescent="0.25">
      <c r="A1863" s="168"/>
      <c r="B1863" s="174">
        <v>102419499</v>
      </c>
      <c r="C1863" s="174" t="s">
        <v>4643</v>
      </c>
      <c r="D1863" s="174" t="s">
        <v>5043</v>
      </c>
      <c r="E1863" s="175" t="s">
        <v>4158</v>
      </c>
      <c r="F1863" s="176" t="s">
        <v>379</v>
      </c>
      <c r="G1863" s="170"/>
      <c r="H1863" s="170"/>
      <c r="I1863" s="170"/>
      <c r="J1863" s="170"/>
      <c r="K1863" s="170"/>
      <c r="L1863" s="168"/>
      <c r="M1863" s="171" t="s">
        <v>2402</v>
      </c>
      <c r="N1863" s="170"/>
      <c r="O1863" s="170"/>
      <c r="P1863" s="170"/>
    </row>
    <row r="1864" spans="1:16" x14ac:dyDescent="0.25">
      <c r="A1864" s="168"/>
      <c r="B1864" s="174">
        <v>102419327</v>
      </c>
      <c r="C1864" s="174" t="s">
        <v>4471</v>
      </c>
      <c r="D1864" s="174" t="s">
        <v>4871</v>
      </c>
      <c r="E1864" s="175" t="s">
        <v>4058</v>
      </c>
      <c r="F1864" s="176" t="s">
        <v>379</v>
      </c>
      <c r="G1864" s="170"/>
      <c r="H1864" s="170"/>
      <c r="I1864" s="170"/>
      <c r="J1864" s="170"/>
      <c r="K1864" s="170"/>
      <c r="L1864" s="168"/>
      <c r="M1864" s="171" t="s">
        <v>2373</v>
      </c>
      <c r="N1864" s="170"/>
      <c r="O1864" s="170"/>
      <c r="P1864" s="170"/>
    </row>
    <row r="1865" spans="1:16" x14ac:dyDescent="0.25">
      <c r="A1865" s="168"/>
      <c r="B1865" s="174">
        <v>102419247</v>
      </c>
      <c r="C1865" s="174" t="s">
        <v>4391</v>
      </c>
      <c r="D1865" s="174" t="s">
        <v>4791</v>
      </c>
      <c r="E1865" s="175" t="s">
        <v>3977</v>
      </c>
      <c r="F1865" s="176" t="s">
        <v>381</v>
      </c>
      <c r="G1865" s="170"/>
      <c r="H1865" s="170"/>
      <c r="I1865" s="170"/>
      <c r="J1865" s="170"/>
      <c r="K1865" s="170"/>
      <c r="L1865" s="168"/>
      <c r="M1865" s="171" t="s">
        <v>2371</v>
      </c>
      <c r="N1865" s="170"/>
      <c r="O1865" s="170"/>
      <c r="P1865" s="170"/>
    </row>
    <row r="1866" spans="1:16" x14ac:dyDescent="0.25">
      <c r="A1866" s="168"/>
      <c r="B1866" s="174">
        <v>102419142</v>
      </c>
      <c r="C1866" s="174" t="s">
        <v>4287</v>
      </c>
      <c r="D1866" s="174" t="s">
        <v>4686</v>
      </c>
      <c r="E1866" s="175" t="s">
        <v>3875</v>
      </c>
      <c r="F1866" s="176" t="s">
        <v>379</v>
      </c>
      <c r="G1866" s="170"/>
      <c r="H1866" s="170"/>
      <c r="I1866" s="170"/>
      <c r="J1866" s="170"/>
      <c r="K1866" s="170"/>
      <c r="L1866" s="168"/>
      <c r="M1866" s="171" t="s">
        <v>2386</v>
      </c>
      <c r="N1866" s="170"/>
      <c r="O1866" s="170"/>
      <c r="P1866" s="170"/>
    </row>
    <row r="1867" spans="1:16" x14ac:dyDescent="0.25">
      <c r="A1867" s="168"/>
      <c r="B1867" s="174">
        <v>102419468</v>
      </c>
      <c r="C1867" s="174" t="s">
        <v>4612</v>
      </c>
      <c r="D1867" s="174" t="s">
        <v>5012</v>
      </c>
      <c r="E1867" s="175" t="s">
        <v>4197</v>
      </c>
      <c r="F1867" s="176" t="s">
        <v>379</v>
      </c>
      <c r="G1867" s="170"/>
      <c r="H1867" s="170"/>
      <c r="I1867" s="170"/>
      <c r="J1867" s="170"/>
      <c r="K1867" s="170"/>
      <c r="L1867" s="168"/>
      <c r="M1867" s="171" t="s">
        <v>2383</v>
      </c>
      <c r="N1867" s="170"/>
      <c r="O1867" s="170"/>
      <c r="P1867" s="170"/>
    </row>
    <row r="1868" spans="1:16" x14ac:dyDescent="0.25">
      <c r="A1868" s="168"/>
      <c r="B1868" s="174">
        <v>102419363</v>
      </c>
      <c r="C1868" s="174" t="s">
        <v>4507</v>
      </c>
      <c r="D1868" s="174" t="s">
        <v>4907</v>
      </c>
      <c r="E1868" s="175" t="s">
        <v>4093</v>
      </c>
      <c r="F1868" s="176" t="s">
        <v>379</v>
      </c>
      <c r="G1868" s="170"/>
      <c r="H1868" s="170"/>
      <c r="I1868" s="170"/>
      <c r="J1868" s="170"/>
      <c r="K1868" s="170"/>
      <c r="L1868" s="168"/>
      <c r="M1868" s="171" t="s">
        <v>2379</v>
      </c>
      <c r="N1868" s="170"/>
      <c r="O1868" s="170"/>
      <c r="P1868" s="170"/>
    </row>
    <row r="1869" spans="1:16" x14ac:dyDescent="0.25">
      <c r="A1869" s="168"/>
      <c r="B1869" s="174">
        <v>102419218</v>
      </c>
      <c r="C1869" s="174" t="s">
        <v>4362</v>
      </c>
      <c r="D1869" s="174" t="s">
        <v>4762</v>
      </c>
      <c r="E1869" s="175" t="s">
        <v>3949</v>
      </c>
      <c r="F1869" s="176" t="s">
        <v>379</v>
      </c>
      <c r="G1869" s="170"/>
      <c r="H1869" s="170"/>
      <c r="I1869" s="170"/>
      <c r="J1869" s="170"/>
      <c r="K1869" s="170"/>
      <c r="L1869" s="168"/>
      <c r="M1869" s="171" t="s">
        <v>2389</v>
      </c>
      <c r="N1869" s="170"/>
      <c r="O1869" s="170"/>
      <c r="P1869" s="170"/>
    </row>
    <row r="1870" spans="1:16" x14ac:dyDescent="0.25">
      <c r="A1870" s="168"/>
      <c r="B1870" s="174">
        <v>102419219</v>
      </c>
      <c r="C1870" s="174" t="s">
        <v>4363</v>
      </c>
      <c r="D1870" s="174" t="s">
        <v>4763</v>
      </c>
      <c r="E1870" s="175" t="s">
        <v>3950</v>
      </c>
      <c r="F1870" s="176" t="s">
        <v>381</v>
      </c>
      <c r="G1870" s="170"/>
      <c r="H1870" s="170"/>
      <c r="I1870" s="170"/>
      <c r="J1870" s="170"/>
      <c r="K1870" s="170"/>
      <c r="L1870" s="168"/>
      <c r="M1870" s="171" t="s">
        <v>2389</v>
      </c>
      <c r="N1870" s="170"/>
      <c r="O1870" s="170"/>
      <c r="P1870" s="170"/>
    </row>
    <row r="1871" spans="1:16" x14ac:dyDescent="0.25">
      <c r="A1871" s="168"/>
      <c r="B1871" s="174">
        <v>102419434</v>
      </c>
      <c r="C1871" s="174" t="s">
        <v>4578</v>
      </c>
      <c r="D1871" s="174" t="s">
        <v>4978</v>
      </c>
      <c r="E1871" s="175" t="s">
        <v>4229</v>
      </c>
      <c r="F1871" s="176" t="s">
        <v>379</v>
      </c>
      <c r="G1871" s="170"/>
      <c r="H1871" s="170"/>
      <c r="I1871" s="170"/>
      <c r="J1871" s="170"/>
      <c r="K1871" s="170"/>
      <c r="L1871" s="168"/>
      <c r="M1871" s="171" t="s">
        <v>2375</v>
      </c>
      <c r="N1871" s="170"/>
      <c r="O1871" s="170"/>
      <c r="P1871" s="170"/>
    </row>
    <row r="1872" spans="1:16" x14ac:dyDescent="0.25">
      <c r="A1872" s="168"/>
      <c r="B1872" s="174">
        <v>102419435</v>
      </c>
      <c r="C1872" s="174" t="s">
        <v>4579</v>
      </c>
      <c r="D1872" s="174" t="s">
        <v>4979</v>
      </c>
      <c r="E1872" s="175" t="s">
        <v>4230</v>
      </c>
      <c r="F1872" s="176" t="s">
        <v>379</v>
      </c>
      <c r="G1872" s="170"/>
      <c r="H1872" s="170"/>
      <c r="I1872" s="170"/>
      <c r="J1872" s="170"/>
      <c r="K1872" s="170"/>
      <c r="L1872" s="168"/>
      <c r="M1872" s="171" t="s">
        <v>2375</v>
      </c>
      <c r="N1872" s="170"/>
      <c r="O1872" s="170"/>
      <c r="P1872" s="170"/>
    </row>
    <row r="1873" spans="1:16" x14ac:dyDescent="0.25">
      <c r="A1873" s="168"/>
      <c r="B1873" s="174">
        <v>102419328</v>
      </c>
      <c r="C1873" s="174" t="s">
        <v>4472</v>
      </c>
      <c r="D1873" s="174" t="s">
        <v>4872</v>
      </c>
      <c r="E1873" s="175" t="s">
        <v>4059</v>
      </c>
      <c r="F1873" s="176" t="s">
        <v>381</v>
      </c>
      <c r="G1873" s="170"/>
      <c r="H1873" s="170"/>
      <c r="I1873" s="170"/>
      <c r="J1873" s="170"/>
      <c r="K1873" s="170"/>
      <c r="L1873" s="168"/>
      <c r="M1873" s="171" t="s">
        <v>2373</v>
      </c>
      <c r="N1873" s="170"/>
      <c r="O1873" s="170"/>
      <c r="P1873" s="170"/>
    </row>
    <row r="1874" spans="1:16" x14ac:dyDescent="0.25">
      <c r="A1874" s="168"/>
      <c r="B1874" s="174">
        <v>102419395</v>
      </c>
      <c r="C1874" s="174" t="s">
        <v>4539</v>
      </c>
      <c r="D1874" s="174" t="s">
        <v>4939</v>
      </c>
      <c r="E1874" s="175" t="s">
        <v>4125</v>
      </c>
      <c r="F1874" s="176" t="s">
        <v>379</v>
      </c>
      <c r="G1874" s="170"/>
      <c r="H1874" s="170"/>
      <c r="I1874" s="170"/>
      <c r="J1874" s="170"/>
      <c r="K1874" s="170"/>
      <c r="L1874" s="168"/>
      <c r="M1874" s="171" t="s">
        <v>2377</v>
      </c>
      <c r="N1874" s="170"/>
      <c r="O1874" s="170"/>
      <c r="P1874" s="170"/>
    </row>
    <row r="1875" spans="1:16" x14ac:dyDescent="0.25">
      <c r="A1875" s="168"/>
      <c r="B1875" s="174">
        <v>102419396</v>
      </c>
      <c r="C1875" s="174" t="s">
        <v>4540</v>
      </c>
      <c r="D1875" s="174" t="s">
        <v>4940</v>
      </c>
      <c r="E1875" s="175" t="s">
        <v>4126</v>
      </c>
      <c r="F1875" s="176" t="s">
        <v>381</v>
      </c>
      <c r="G1875" s="170"/>
      <c r="H1875" s="170"/>
      <c r="I1875" s="170"/>
      <c r="J1875" s="170"/>
      <c r="K1875" s="170"/>
      <c r="L1875" s="168"/>
      <c r="M1875" s="171" t="s">
        <v>2377</v>
      </c>
      <c r="N1875" s="170"/>
      <c r="O1875" s="170"/>
      <c r="P1875" s="170"/>
    </row>
    <row r="1876" spans="1:16" x14ac:dyDescent="0.25">
      <c r="A1876" s="168"/>
      <c r="B1876" s="174">
        <v>102419248</v>
      </c>
      <c r="C1876" s="174" t="s">
        <v>4392</v>
      </c>
      <c r="D1876" s="174" t="s">
        <v>4792</v>
      </c>
      <c r="E1876" s="175" t="s">
        <v>3978</v>
      </c>
      <c r="F1876" s="176" t="s">
        <v>379</v>
      </c>
      <c r="G1876" s="170"/>
      <c r="H1876" s="170"/>
      <c r="I1876" s="170"/>
      <c r="J1876" s="170"/>
      <c r="K1876" s="170"/>
      <c r="L1876" s="168"/>
      <c r="M1876" s="171" t="s">
        <v>2371</v>
      </c>
      <c r="N1876" s="170"/>
      <c r="O1876" s="170"/>
      <c r="P1876" s="170"/>
    </row>
    <row r="1877" spans="1:16" x14ac:dyDescent="0.25">
      <c r="A1877" s="168"/>
      <c r="B1877" s="174">
        <v>102419143</v>
      </c>
      <c r="C1877" s="174" t="s">
        <v>4288</v>
      </c>
      <c r="D1877" s="174" t="s">
        <v>4687</v>
      </c>
      <c r="E1877" s="175" t="s">
        <v>3876</v>
      </c>
      <c r="F1877" s="176" t="s">
        <v>381</v>
      </c>
      <c r="G1877" s="170"/>
      <c r="H1877" s="170"/>
      <c r="I1877" s="170"/>
      <c r="J1877" s="170"/>
      <c r="K1877" s="170"/>
      <c r="L1877" s="168"/>
      <c r="M1877" s="171" t="s">
        <v>2386</v>
      </c>
      <c r="N1877" s="170"/>
      <c r="O1877" s="170"/>
      <c r="P1877" s="170"/>
    </row>
    <row r="1878" spans="1:16" x14ac:dyDescent="0.25">
      <c r="A1878" s="168"/>
      <c r="B1878" s="174">
        <v>102419469</v>
      </c>
      <c r="C1878" s="174" t="s">
        <v>4613</v>
      </c>
      <c r="D1878" s="174" t="s">
        <v>5013</v>
      </c>
      <c r="E1878" s="175" t="s">
        <v>4198</v>
      </c>
      <c r="F1878" s="176" t="s">
        <v>379</v>
      </c>
      <c r="G1878" s="170"/>
      <c r="H1878" s="170"/>
      <c r="I1878" s="170"/>
      <c r="J1878" s="170"/>
      <c r="K1878" s="170"/>
      <c r="L1878" s="168"/>
      <c r="M1878" s="171" t="s">
        <v>2383</v>
      </c>
      <c r="N1878" s="170"/>
      <c r="O1878" s="170"/>
      <c r="P1878" s="170"/>
    </row>
    <row r="1879" spans="1:16" x14ac:dyDescent="0.25">
      <c r="A1879" s="168"/>
      <c r="B1879" s="174">
        <v>102419329</v>
      </c>
      <c r="C1879" s="174" t="s">
        <v>4473</v>
      </c>
      <c r="D1879" s="174" t="s">
        <v>4873</v>
      </c>
      <c r="E1879" s="175" t="s">
        <v>4060</v>
      </c>
      <c r="F1879" s="176" t="s">
        <v>379</v>
      </c>
      <c r="G1879" s="170"/>
      <c r="H1879" s="170"/>
      <c r="I1879" s="170"/>
      <c r="J1879" s="170"/>
      <c r="K1879" s="170"/>
      <c r="L1879" s="168"/>
      <c r="M1879" s="171" t="s">
        <v>2373</v>
      </c>
      <c r="N1879" s="170"/>
      <c r="O1879" s="170"/>
      <c r="P1879" s="170"/>
    </row>
    <row r="1880" spans="1:16" x14ac:dyDescent="0.25">
      <c r="A1880" s="168"/>
      <c r="B1880" s="174">
        <v>102419180</v>
      </c>
      <c r="C1880" s="174" t="s">
        <v>4325</v>
      </c>
      <c r="D1880" s="174" t="s">
        <v>4724</v>
      </c>
      <c r="E1880" s="175" t="s">
        <v>3911</v>
      </c>
      <c r="F1880" s="176" t="s">
        <v>379</v>
      </c>
      <c r="G1880" s="170"/>
      <c r="H1880" s="170"/>
      <c r="I1880" s="170"/>
      <c r="J1880" s="170"/>
      <c r="K1880" s="170"/>
      <c r="L1880" s="168"/>
      <c r="M1880" s="171" t="s">
        <v>2397</v>
      </c>
      <c r="N1880" s="170"/>
      <c r="O1880" s="170"/>
      <c r="P1880" s="170"/>
    </row>
    <row r="1881" spans="1:16" x14ac:dyDescent="0.25">
      <c r="A1881" s="168"/>
      <c r="B1881" s="174">
        <v>102419470</v>
      </c>
      <c r="C1881" s="174" t="s">
        <v>4614</v>
      </c>
      <c r="D1881" s="174" t="s">
        <v>5014</v>
      </c>
      <c r="E1881" s="175" t="s">
        <v>4199</v>
      </c>
      <c r="F1881" s="176" t="s">
        <v>379</v>
      </c>
      <c r="G1881" s="170"/>
      <c r="H1881" s="170"/>
      <c r="I1881" s="170"/>
      <c r="J1881" s="170"/>
      <c r="K1881" s="170"/>
      <c r="L1881" s="168"/>
      <c r="M1881" s="171" t="s">
        <v>2383</v>
      </c>
      <c r="N1881" s="170"/>
      <c r="O1881" s="170"/>
      <c r="P1881" s="170"/>
    </row>
    <row r="1882" spans="1:16" x14ac:dyDescent="0.25">
      <c r="A1882" s="168"/>
      <c r="B1882" s="174">
        <v>102419330</v>
      </c>
      <c r="C1882" s="174" t="s">
        <v>4474</v>
      </c>
      <c r="D1882" s="174" t="s">
        <v>4874</v>
      </c>
      <c r="E1882" s="175" t="s">
        <v>3912</v>
      </c>
      <c r="F1882" s="176" t="s">
        <v>381</v>
      </c>
      <c r="G1882" s="170"/>
      <c r="H1882" s="170"/>
      <c r="I1882" s="170"/>
      <c r="J1882" s="170"/>
      <c r="K1882" s="170"/>
      <c r="L1882" s="168"/>
      <c r="M1882" s="171" t="s">
        <v>2373</v>
      </c>
      <c r="N1882" s="170"/>
      <c r="O1882" s="170"/>
      <c r="P1882" s="170"/>
    </row>
    <row r="1883" spans="1:16" x14ac:dyDescent="0.25">
      <c r="A1883" s="168"/>
      <c r="B1883" s="174">
        <v>102419290</v>
      </c>
      <c r="C1883" s="174" t="s">
        <v>4434</v>
      </c>
      <c r="D1883" s="174" t="s">
        <v>4834</v>
      </c>
      <c r="E1883" s="175" t="s">
        <v>4020</v>
      </c>
      <c r="F1883" s="176" t="s">
        <v>379</v>
      </c>
      <c r="G1883" s="170"/>
      <c r="H1883" s="170"/>
      <c r="I1883" s="170"/>
      <c r="J1883" s="170"/>
      <c r="K1883" s="170"/>
      <c r="L1883" s="168"/>
      <c r="M1883" s="171" t="s">
        <v>2399</v>
      </c>
      <c r="N1883" s="170"/>
      <c r="O1883" s="170"/>
      <c r="P1883" s="170"/>
    </row>
    <row r="1884" spans="1:16" x14ac:dyDescent="0.25">
      <c r="A1884" s="168"/>
      <c r="B1884" s="174">
        <v>102419364</v>
      </c>
      <c r="C1884" s="174" t="s">
        <v>4508</v>
      </c>
      <c r="D1884" s="174" t="s">
        <v>4908</v>
      </c>
      <c r="E1884" s="175" t="s">
        <v>4094</v>
      </c>
      <c r="F1884" s="176" t="s">
        <v>379</v>
      </c>
      <c r="G1884" s="170"/>
      <c r="H1884" s="170"/>
      <c r="I1884" s="170"/>
      <c r="J1884" s="170"/>
      <c r="K1884" s="170"/>
      <c r="L1884" s="168"/>
      <c r="M1884" s="171" t="s">
        <v>2379</v>
      </c>
      <c r="N1884" s="170"/>
      <c r="O1884" s="170"/>
      <c r="P1884" s="170"/>
    </row>
    <row r="1885" spans="1:16" x14ac:dyDescent="0.25">
      <c r="A1885" s="168"/>
      <c r="B1885" s="174">
        <v>102419181</v>
      </c>
      <c r="C1885" s="174" t="s">
        <v>4326</v>
      </c>
      <c r="D1885" s="174" t="s">
        <v>4725</v>
      </c>
      <c r="E1885" s="175" t="s">
        <v>3913</v>
      </c>
      <c r="F1885" s="176" t="s">
        <v>381</v>
      </c>
      <c r="G1885" s="170"/>
      <c r="H1885" s="170"/>
      <c r="I1885" s="170"/>
      <c r="J1885" s="170"/>
      <c r="K1885" s="170"/>
      <c r="L1885" s="168"/>
      <c r="M1885" s="171" t="s">
        <v>2397</v>
      </c>
      <c r="N1885" s="170"/>
      <c r="O1885" s="170"/>
      <c r="P1885" s="170"/>
    </row>
    <row r="1886" spans="1:16" x14ac:dyDescent="0.25">
      <c r="A1886" s="168"/>
      <c r="B1886" s="174">
        <v>102419220</v>
      </c>
      <c r="C1886" s="174" t="s">
        <v>4364</v>
      </c>
      <c r="D1886" s="174" t="s">
        <v>4764</v>
      </c>
      <c r="E1886" s="175" t="s">
        <v>3951</v>
      </c>
      <c r="F1886" s="176" t="s">
        <v>381</v>
      </c>
      <c r="G1886" s="170"/>
      <c r="H1886" s="170"/>
      <c r="I1886" s="170"/>
      <c r="J1886" s="170"/>
      <c r="K1886" s="170"/>
      <c r="L1886" s="168"/>
      <c r="M1886" s="171" t="s">
        <v>2389</v>
      </c>
      <c r="N1886" s="170"/>
      <c r="O1886" s="170"/>
      <c r="P1886" s="170"/>
    </row>
    <row r="1887" spans="1:16" x14ac:dyDescent="0.25">
      <c r="A1887" s="168"/>
      <c r="B1887" s="174">
        <v>102419221</v>
      </c>
      <c r="C1887" s="174" t="s">
        <v>4365</v>
      </c>
      <c r="D1887" s="174" t="s">
        <v>4765</v>
      </c>
      <c r="E1887" s="175" t="s">
        <v>3952</v>
      </c>
      <c r="F1887" s="176" t="s">
        <v>381</v>
      </c>
      <c r="G1887" s="170"/>
      <c r="H1887" s="170"/>
      <c r="I1887" s="170"/>
      <c r="J1887" s="170"/>
      <c r="K1887" s="170"/>
      <c r="L1887" s="168"/>
      <c r="M1887" s="171" t="s">
        <v>2389</v>
      </c>
      <c r="N1887" s="170"/>
      <c r="O1887" s="170"/>
      <c r="P1887" s="170"/>
    </row>
    <row r="1888" spans="1:16" x14ac:dyDescent="0.25">
      <c r="A1888" s="168"/>
      <c r="B1888" s="174">
        <v>102419397</v>
      </c>
      <c r="C1888" s="174" t="s">
        <v>4541</v>
      </c>
      <c r="D1888" s="174" t="s">
        <v>4941</v>
      </c>
      <c r="E1888" s="175" t="s">
        <v>4127</v>
      </c>
      <c r="F1888" s="176" t="s">
        <v>381</v>
      </c>
      <c r="G1888" s="170"/>
      <c r="H1888" s="170"/>
      <c r="I1888" s="170"/>
      <c r="J1888" s="170"/>
      <c r="K1888" s="170"/>
      <c r="L1888" s="168"/>
      <c r="M1888" s="171" t="s">
        <v>2377</v>
      </c>
      <c r="N1888" s="170"/>
      <c r="O1888" s="170"/>
      <c r="P1888" s="170"/>
    </row>
    <row r="1889" spans="1:16" x14ac:dyDescent="0.25">
      <c r="A1889" s="168"/>
      <c r="B1889" s="174">
        <v>102419331</v>
      </c>
      <c r="C1889" s="174" t="s">
        <v>4475</v>
      </c>
      <c r="D1889" s="174" t="s">
        <v>4875</v>
      </c>
      <c r="E1889" s="175" t="s">
        <v>4061</v>
      </c>
      <c r="F1889" s="176" t="s">
        <v>381</v>
      </c>
      <c r="G1889" s="170"/>
      <c r="H1889" s="170"/>
      <c r="I1889" s="170"/>
      <c r="J1889" s="170"/>
      <c r="K1889" s="170"/>
      <c r="L1889" s="168"/>
      <c r="M1889" s="171" t="s">
        <v>2373</v>
      </c>
      <c r="N1889" s="170"/>
      <c r="O1889" s="170"/>
      <c r="P1889" s="170"/>
    </row>
    <row r="1890" spans="1:16" x14ac:dyDescent="0.25">
      <c r="A1890" s="168"/>
      <c r="B1890" s="174">
        <v>102419398</v>
      </c>
      <c r="C1890" s="174" t="s">
        <v>4542</v>
      </c>
      <c r="D1890" s="174" t="s">
        <v>4942</v>
      </c>
      <c r="E1890" s="175" t="s">
        <v>4128</v>
      </c>
      <c r="F1890" s="176" t="s">
        <v>379</v>
      </c>
      <c r="G1890" s="170"/>
      <c r="H1890" s="170"/>
      <c r="I1890" s="170"/>
      <c r="J1890" s="170"/>
      <c r="K1890" s="170"/>
      <c r="L1890" s="168"/>
      <c r="M1890" s="171" t="s">
        <v>2377</v>
      </c>
      <c r="N1890" s="170"/>
      <c r="O1890" s="170"/>
      <c r="P1890" s="170"/>
    </row>
    <row r="1891" spans="1:16" x14ac:dyDescent="0.25">
      <c r="A1891" s="168"/>
      <c r="B1891" s="174">
        <v>102419222</v>
      </c>
      <c r="C1891" s="174" t="s">
        <v>4366</v>
      </c>
      <c r="D1891" s="174" t="s">
        <v>4766</v>
      </c>
      <c r="E1891" s="175" t="s">
        <v>3953</v>
      </c>
      <c r="F1891" s="176" t="s">
        <v>379</v>
      </c>
      <c r="G1891" s="170"/>
      <c r="H1891" s="170"/>
      <c r="I1891" s="170"/>
      <c r="J1891" s="170"/>
      <c r="K1891" s="170"/>
      <c r="L1891" s="168"/>
      <c r="M1891" s="171" t="s">
        <v>2389</v>
      </c>
      <c r="N1891" s="170"/>
      <c r="O1891" s="170"/>
      <c r="P1891" s="170"/>
    </row>
    <row r="1892" spans="1:16" x14ac:dyDescent="0.25">
      <c r="A1892" s="168"/>
      <c r="B1892" s="174">
        <v>102419365</v>
      </c>
      <c r="C1892" s="174" t="s">
        <v>4509</v>
      </c>
      <c r="D1892" s="174" t="s">
        <v>4909</v>
      </c>
      <c r="E1892" s="175" t="s">
        <v>4095</v>
      </c>
      <c r="F1892" s="176" t="s">
        <v>381</v>
      </c>
      <c r="G1892" s="170"/>
      <c r="H1892" s="170"/>
      <c r="I1892" s="170"/>
      <c r="J1892" s="170"/>
      <c r="K1892" s="170"/>
      <c r="L1892" s="168"/>
      <c r="M1892" s="171" t="s">
        <v>2379</v>
      </c>
      <c r="N1892" s="170"/>
      <c r="O1892" s="170"/>
      <c r="P1892" s="170"/>
    </row>
    <row r="1893" spans="1:16" x14ac:dyDescent="0.25">
      <c r="A1893" s="168"/>
      <c r="B1893" s="174">
        <v>102419144</v>
      </c>
      <c r="C1893" s="174" t="s">
        <v>4289</v>
      </c>
      <c r="D1893" s="174" t="s">
        <v>4688</v>
      </c>
      <c r="E1893" s="175" t="s">
        <v>3877</v>
      </c>
      <c r="F1893" s="176" t="s">
        <v>379</v>
      </c>
      <c r="G1893" s="170"/>
      <c r="H1893" s="170"/>
      <c r="I1893" s="170"/>
      <c r="J1893" s="170"/>
      <c r="K1893" s="170"/>
      <c r="L1893" s="168"/>
      <c r="M1893" s="171" t="s">
        <v>2386</v>
      </c>
      <c r="N1893" s="170"/>
      <c r="O1893" s="170"/>
      <c r="P1893" s="170"/>
    </row>
    <row r="1894" spans="1:16" x14ac:dyDescent="0.25">
      <c r="A1894" s="168"/>
      <c r="B1894" s="174">
        <v>102419366</v>
      </c>
      <c r="C1894" s="174" t="s">
        <v>4510</v>
      </c>
      <c r="D1894" s="174" t="s">
        <v>4910</v>
      </c>
      <c r="E1894" s="175" t="s">
        <v>4096</v>
      </c>
      <c r="F1894" s="176" t="s">
        <v>379</v>
      </c>
      <c r="G1894" s="170"/>
      <c r="H1894" s="170"/>
      <c r="I1894" s="170"/>
      <c r="J1894" s="170"/>
      <c r="K1894" s="170"/>
      <c r="L1894" s="168"/>
      <c r="M1894" s="171" t="s">
        <v>2379</v>
      </c>
      <c r="N1894" s="170"/>
      <c r="O1894" s="170"/>
      <c r="P1894" s="170"/>
    </row>
    <row r="1895" spans="1:16" x14ac:dyDescent="0.25">
      <c r="A1895" s="168"/>
      <c r="B1895" s="174">
        <v>102419291</v>
      </c>
      <c r="C1895" s="174" t="s">
        <v>4435</v>
      </c>
      <c r="D1895" s="174" t="s">
        <v>4835</v>
      </c>
      <c r="E1895" s="175" t="s">
        <v>4021</v>
      </c>
      <c r="F1895" s="176" t="s">
        <v>381</v>
      </c>
      <c r="G1895" s="170"/>
      <c r="H1895" s="170"/>
      <c r="I1895" s="170"/>
      <c r="J1895" s="170"/>
      <c r="K1895" s="170"/>
      <c r="L1895" s="168"/>
      <c r="M1895" s="171" t="s">
        <v>2399</v>
      </c>
      <c r="N1895" s="170"/>
      <c r="O1895" s="170"/>
      <c r="P1895" s="170"/>
    </row>
    <row r="1896" spans="1:16" x14ac:dyDescent="0.25">
      <c r="A1896" s="168"/>
      <c r="B1896" s="174">
        <v>102419145</v>
      </c>
      <c r="C1896" s="174" t="s">
        <v>4290</v>
      </c>
      <c r="D1896" s="174" t="s">
        <v>4689</v>
      </c>
      <c r="E1896" s="175" t="s">
        <v>3878</v>
      </c>
      <c r="F1896" s="176" t="s">
        <v>381</v>
      </c>
      <c r="G1896" s="170"/>
      <c r="H1896" s="170"/>
      <c r="I1896" s="170"/>
      <c r="J1896" s="170"/>
      <c r="K1896" s="170"/>
      <c r="L1896" s="168"/>
      <c r="M1896" s="171" t="s">
        <v>2386</v>
      </c>
      <c r="N1896" s="170"/>
      <c r="O1896" s="170"/>
      <c r="P1896" s="170"/>
    </row>
    <row r="1897" spans="1:16" x14ac:dyDescent="0.25">
      <c r="A1897" s="168"/>
      <c r="B1897" s="174">
        <v>102419182</v>
      </c>
      <c r="C1897" s="174" t="s">
        <v>4327</v>
      </c>
      <c r="D1897" s="174" t="s">
        <v>4726</v>
      </c>
      <c r="E1897" s="175" t="s">
        <v>3914</v>
      </c>
      <c r="F1897" s="176" t="s">
        <v>381</v>
      </c>
      <c r="G1897" s="170"/>
      <c r="H1897" s="170"/>
      <c r="I1897" s="170"/>
      <c r="J1897" s="170"/>
      <c r="K1897" s="170"/>
      <c r="L1897" s="168"/>
      <c r="M1897" s="171" t="s">
        <v>2397</v>
      </c>
      <c r="N1897" s="170"/>
      <c r="O1897" s="170"/>
      <c r="P1897" s="170"/>
    </row>
    <row r="1898" spans="1:16" x14ac:dyDescent="0.25">
      <c r="A1898" s="168"/>
      <c r="B1898" s="174">
        <v>102419146</v>
      </c>
      <c r="C1898" s="174" t="s">
        <v>4291</v>
      </c>
      <c r="D1898" s="174" t="s">
        <v>4690</v>
      </c>
      <c r="E1898" s="175" t="s">
        <v>3879</v>
      </c>
      <c r="F1898" s="176" t="s">
        <v>381</v>
      </c>
      <c r="G1898" s="170"/>
      <c r="H1898" s="170"/>
      <c r="I1898" s="170"/>
      <c r="J1898" s="170"/>
      <c r="K1898" s="170"/>
      <c r="L1898" s="168"/>
      <c r="M1898" s="171" t="s">
        <v>2386</v>
      </c>
      <c r="N1898" s="170"/>
      <c r="O1898" s="170"/>
      <c r="P1898" s="170"/>
    </row>
    <row r="1899" spans="1:16" x14ac:dyDescent="0.25">
      <c r="A1899" s="168"/>
      <c r="B1899" s="174">
        <v>102419183</v>
      </c>
      <c r="C1899" s="174" t="s">
        <v>4328</v>
      </c>
      <c r="D1899" s="174" t="s">
        <v>4727</v>
      </c>
      <c r="E1899" s="175" t="s">
        <v>3915</v>
      </c>
      <c r="F1899" s="176" t="s">
        <v>381</v>
      </c>
      <c r="G1899" s="170"/>
      <c r="H1899" s="170"/>
      <c r="I1899" s="170"/>
      <c r="J1899" s="170"/>
      <c r="K1899" s="170"/>
      <c r="L1899" s="168"/>
      <c r="M1899" s="171" t="s">
        <v>2397</v>
      </c>
      <c r="N1899" s="170"/>
      <c r="O1899" s="170"/>
      <c r="P1899" s="170"/>
    </row>
    <row r="1900" spans="1:16" x14ac:dyDescent="0.25">
      <c r="A1900" s="168"/>
      <c r="B1900" s="174">
        <v>102419367</v>
      </c>
      <c r="C1900" s="174" t="s">
        <v>4511</v>
      </c>
      <c r="D1900" s="174" t="s">
        <v>4911</v>
      </c>
      <c r="E1900" s="175" t="s">
        <v>4097</v>
      </c>
      <c r="F1900" s="176" t="s">
        <v>381</v>
      </c>
      <c r="G1900" s="170"/>
      <c r="H1900" s="170"/>
      <c r="I1900" s="170"/>
      <c r="J1900" s="170"/>
      <c r="K1900" s="170"/>
      <c r="L1900" s="168"/>
      <c r="M1900" s="171" t="s">
        <v>2379</v>
      </c>
      <c r="N1900" s="170"/>
      <c r="O1900" s="170"/>
      <c r="P1900" s="170"/>
    </row>
    <row r="1901" spans="1:16" x14ac:dyDescent="0.25">
      <c r="A1901" s="168"/>
      <c r="B1901" s="174">
        <v>102419368</v>
      </c>
      <c r="C1901" s="174" t="s">
        <v>4512</v>
      </c>
      <c r="D1901" s="174" t="s">
        <v>4912</v>
      </c>
      <c r="E1901" s="175" t="s">
        <v>4098</v>
      </c>
      <c r="F1901" s="176" t="s">
        <v>379</v>
      </c>
      <c r="G1901" s="170"/>
      <c r="H1901" s="170"/>
      <c r="I1901" s="170"/>
      <c r="J1901" s="170"/>
      <c r="K1901" s="170"/>
      <c r="L1901" s="168"/>
      <c r="M1901" s="171" t="s">
        <v>2379</v>
      </c>
      <c r="N1901" s="170"/>
      <c r="O1901" s="170"/>
      <c r="P1901" s="170"/>
    </row>
    <row r="1902" spans="1:16" x14ac:dyDescent="0.25">
      <c r="A1902" s="168"/>
      <c r="B1902" s="174">
        <v>102419249</v>
      </c>
      <c r="C1902" s="174" t="s">
        <v>4393</v>
      </c>
      <c r="D1902" s="174" t="s">
        <v>4793</v>
      </c>
      <c r="E1902" s="175" t="s">
        <v>3979</v>
      </c>
      <c r="F1902" s="176" t="s">
        <v>381</v>
      </c>
      <c r="G1902" s="170"/>
      <c r="H1902" s="170"/>
      <c r="I1902" s="170"/>
      <c r="J1902" s="170"/>
      <c r="K1902" s="170"/>
      <c r="L1902" s="168"/>
      <c r="M1902" s="171" t="s">
        <v>2371</v>
      </c>
      <c r="N1902" s="170"/>
      <c r="O1902" s="170"/>
      <c r="P1902" s="170"/>
    </row>
    <row r="1903" spans="1:16" x14ac:dyDescent="0.25">
      <c r="A1903" s="168"/>
      <c r="B1903" s="174">
        <v>102419184</v>
      </c>
      <c r="C1903" s="174" t="s">
        <v>4329</v>
      </c>
      <c r="D1903" s="174" t="s">
        <v>4728</v>
      </c>
      <c r="E1903" s="175" t="s">
        <v>3916</v>
      </c>
      <c r="F1903" s="176" t="s">
        <v>381</v>
      </c>
      <c r="G1903" s="170"/>
      <c r="H1903" s="170"/>
      <c r="I1903" s="170"/>
      <c r="J1903" s="170"/>
      <c r="K1903" s="170"/>
      <c r="L1903" s="168"/>
      <c r="M1903" s="171" t="s">
        <v>2397</v>
      </c>
      <c r="N1903" s="170"/>
      <c r="O1903" s="170"/>
      <c r="P1903" s="170"/>
    </row>
    <row r="1904" spans="1:16" x14ac:dyDescent="0.25">
      <c r="A1904" s="168"/>
      <c r="B1904" s="174">
        <v>102419185</v>
      </c>
      <c r="C1904" s="174" t="s">
        <v>4330</v>
      </c>
      <c r="D1904" s="174" t="s">
        <v>4729</v>
      </c>
      <c r="E1904" s="175" t="s">
        <v>3917</v>
      </c>
      <c r="F1904" s="176" t="s">
        <v>381</v>
      </c>
      <c r="G1904" s="170"/>
      <c r="H1904" s="170"/>
      <c r="I1904" s="170"/>
      <c r="J1904" s="170"/>
      <c r="K1904" s="170"/>
      <c r="L1904" s="168"/>
      <c r="M1904" s="171" t="s">
        <v>2397</v>
      </c>
      <c r="N1904" s="170"/>
      <c r="O1904" s="170"/>
      <c r="P1904" s="170"/>
    </row>
    <row r="1905" spans="1:16" x14ac:dyDescent="0.25">
      <c r="A1905" s="168"/>
      <c r="B1905" s="174">
        <v>102419147</v>
      </c>
      <c r="C1905" s="174" t="s">
        <v>4292</v>
      </c>
      <c r="D1905" s="174" t="s">
        <v>4691</v>
      </c>
      <c r="E1905" s="175" t="s">
        <v>3880</v>
      </c>
      <c r="F1905" s="176" t="s">
        <v>379</v>
      </c>
      <c r="G1905" s="170"/>
      <c r="H1905" s="170"/>
      <c r="I1905" s="170"/>
      <c r="J1905" s="170"/>
      <c r="K1905" s="170"/>
      <c r="L1905" s="168"/>
      <c r="M1905" s="171" t="s">
        <v>2386</v>
      </c>
      <c r="N1905" s="170"/>
      <c r="O1905" s="170"/>
      <c r="P1905" s="170"/>
    </row>
    <row r="1906" spans="1:16" x14ac:dyDescent="0.25">
      <c r="A1906" s="168"/>
      <c r="B1906" s="174">
        <v>102419148</v>
      </c>
      <c r="C1906" s="174" t="s">
        <v>4293</v>
      </c>
      <c r="D1906" s="174" t="s">
        <v>4692</v>
      </c>
      <c r="E1906" s="175" t="s">
        <v>3881</v>
      </c>
      <c r="F1906" s="176" t="s">
        <v>381</v>
      </c>
      <c r="G1906" s="170"/>
      <c r="H1906" s="170"/>
      <c r="I1906" s="170"/>
      <c r="J1906" s="170"/>
      <c r="K1906" s="170"/>
      <c r="L1906" s="168"/>
      <c r="M1906" s="171" t="s">
        <v>2386</v>
      </c>
      <c r="N1906" s="170"/>
      <c r="O1906" s="170"/>
      <c r="P1906" s="170"/>
    </row>
    <row r="1907" spans="1:16" x14ac:dyDescent="0.25">
      <c r="A1907" s="168"/>
      <c r="B1907" s="174">
        <v>102419292</v>
      </c>
      <c r="C1907" s="174" t="s">
        <v>4436</v>
      </c>
      <c r="D1907" s="174" t="s">
        <v>4836</v>
      </c>
      <c r="E1907" s="175" t="s">
        <v>4022</v>
      </c>
      <c r="F1907" s="176" t="s">
        <v>381</v>
      </c>
      <c r="G1907" s="170"/>
      <c r="H1907" s="170"/>
      <c r="I1907" s="170"/>
      <c r="J1907" s="170"/>
      <c r="K1907" s="170"/>
      <c r="L1907" s="168"/>
      <c r="M1907" s="171" t="s">
        <v>2399</v>
      </c>
      <c r="N1907" s="170"/>
      <c r="O1907" s="170"/>
      <c r="P1907" s="170"/>
    </row>
    <row r="1908" spans="1:16" x14ac:dyDescent="0.25">
      <c r="A1908" s="168"/>
      <c r="B1908" s="174">
        <v>102419471</v>
      </c>
      <c r="C1908" s="174" t="s">
        <v>4615</v>
      </c>
      <c r="D1908" s="174" t="s">
        <v>5015</v>
      </c>
      <c r="E1908" s="175" t="s">
        <v>4200</v>
      </c>
      <c r="F1908" s="176" t="s">
        <v>379</v>
      </c>
      <c r="G1908" s="170"/>
      <c r="H1908" s="170"/>
      <c r="I1908" s="170"/>
      <c r="J1908" s="170"/>
      <c r="K1908" s="170"/>
      <c r="L1908" s="168"/>
      <c r="M1908" s="171" t="s">
        <v>2383</v>
      </c>
      <c r="N1908" s="170"/>
      <c r="O1908" s="170"/>
      <c r="P1908" s="170"/>
    </row>
    <row r="1909" spans="1:16" x14ac:dyDescent="0.25">
      <c r="A1909" s="168"/>
      <c r="B1909" s="174">
        <v>102419186</v>
      </c>
      <c r="C1909" s="174" t="s">
        <v>4331</v>
      </c>
      <c r="D1909" s="174" t="s">
        <v>4730</v>
      </c>
      <c r="E1909" s="175" t="s">
        <v>3918</v>
      </c>
      <c r="F1909" s="176" t="s">
        <v>381</v>
      </c>
      <c r="G1909" s="170"/>
      <c r="H1909" s="170"/>
      <c r="I1909" s="170"/>
      <c r="J1909" s="170"/>
      <c r="K1909" s="170"/>
      <c r="L1909" s="168"/>
      <c r="M1909" s="171" t="s">
        <v>2397</v>
      </c>
      <c r="N1909" s="170"/>
      <c r="O1909" s="170"/>
      <c r="P1909" s="170"/>
    </row>
    <row r="1910" spans="1:16" x14ac:dyDescent="0.25">
      <c r="A1910" s="168"/>
      <c r="B1910" s="174">
        <v>102419250</v>
      </c>
      <c r="C1910" s="174" t="s">
        <v>4394</v>
      </c>
      <c r="D1910" s="174" t="s">
        <v>4794</v>
      </c>
      <c r="E1910" s="175" t="s">
        <v>3980</v>
      </c>
      <c r="F1910" s="176" t="s">
        <v>381</v>
      </c>
      <c r="G1910" s="170"/>
      <c r="H1910" s="170"/>
      <c r="I1910" s="170"/>
      <c r="J1910" s="170"/>
      <c r="K1910" s="170"/>
      <c r="L1910" s="168"/>
      <c r="M1910" s="171" t="s">
        <v>2371</v>
      </c>
      <c r="N1910" s="170"/>
      <c r="O1910" s="170"/>
      <c r="P1910" s="170"/>
    </row>
    <row r="1911" spans="1:16" x14ac:dyDescent="0.25">
      <c r="A1911" s="168"/>
      <c r="B1911" s="174">
        <v>102419332</v>
      </c>
      <c r="C1911" s="174" t="s">
        <v>4476</v>
      </c>
      <c r="D1911" s="174" t="s">
        <v>4876</v>
      </c>
      <c r="E1911" s="175" t="s">
        <v>4062</v>
      </c>
      <c r="F1911" s="176" t="s">
        <v>381</v>
      </c>
      <c r="G1911" s="170"/>
      <c r="H1911" s="170"/>
      <c r="I1911" s="170"/>
      <c r="J1911" s="170"/>
      <c r="K1911" s="170"/>
      <c r="L1911" s="168"/>
      <c r="M1911" s="171" t="s">
        <v>2373</v>
      </c>
      <c r="N1911" s="170"/>
      <c r="O1911" s="170"/>
      <c r="P1911" s="170"/>
    </row>
    <row r="1912" spans="1:16" x14ac:dyDescent="0.25">
      <c r="A1912" s="168"/>
      <c r="B1912" s="174">
        <v>102419293</v>
      </c>
      <c r="C1912" s="174" t="s">
        <v>4437</v>
      </c>
      <c r="D1912" s="174" t="s">
        <v>4837</v>
      </c>
      <c r="E1912" s="175" t="s">
        <v>4023</v>
      </c>
      <c r="F1912" s="176" t="s">
        <v>381</v>
      </c>
      <c r="G1912" s="170"/>
      <c r="H1912" s="170"/>
      <c r="I1912" s="170"/>
      <c r="J1912" s="170"/>
      <c r="K1912" s="170"/>
      <c r="L1912" s="168"/>
      <c r="M1912" s="171" t="s">
        <v>2399</v>
      </c>
      <c r="N1912" s="170"/>
      <c r="O1912" s="170"/>
      <c r="P1912" s="170"/>
    </row>
    <row r="1913" spans="1:16" x14ac:dyDescent="0.25">
      <c r="A1913" s="168"/>
      <c r="B1913" s="174">
        <v>102419436</v>
      </c>
      <c r="C1913" s="174" t="s">
        <v>4580</v>
      </c>
      <c r="D1913" s="174" t="s">
        <v>4980</v>
      </c>
      <c r="E1913" s="175" t="s">
        <v>4231</v>
      </c>
      <c r="F1913" s="176" t="s">
        <v>379</v>
      </c>
      <c r="G1913" s="170"/>
      <c r="H1913" s="170"/>
      <c r="I1913" s="170"/>
      <c r="J1913" s="170"/>
      <c r="K1913" s="170"/>
      <c r="L1913" s="168"/>
      <c r="M1913" s="171" t="s">
        <v>2375</v>
      </c>
      <c r="N1913" s="170"/>
      <c r="O1913" s="170"/>
      <c r="P1913" s="170"/>
    </row>
    <row r="1914" spans="1:16" x14ac:dyDescent="0.25">
      <c r="A1914" s="168"/>
      <c r="B1914" s="174">
        <v>102419333</v>
      </c>
      <c r="C1914" s="174" t="s">
        <v>4477</v>
      </c>
      <c r="D1914" s="174" t="s">
        <v>4877</v>
      </c>
      <c r="E1914" s="175" t="s">
        <v>4063</v>
      </c>
      <c r="F1914" s="176" t="s">
        <v>381</v>
      </c>
      <c r="G1914" s="170"/>
      <c r="H1914" s="170"/>
      <c r="I1914" s="170"/>
      <c r="J1914" s="170"/>
      <c r="K1914" s="170"/>
      <c r="L1914" s="168"/>
      <c r="M1914" s="171" t="s">
        <v>2373</v>
      </c>
      <c r="N1914" s="170"/>
      <c r="O1914" s="170"/>
      <c r="P1914" s="170"/>
    </row>
    <row r="1915" spans="1:16" x14ac:dyDescent="0.25">
      <c r="A1915" s="168"/>
      <c r="B1915" s="174">
        <v>102419223</v>
      </c>
      <c r="C1915" s="174" t="s">
        <v>4367</v>
      </c>
      <c r="D1915" s="174" t="s">
        <v>4767</v>
      </c>
      <c r="E1915" s="175" t="s">
        <v>3954</v>
      </c>
      <c r="F1915" s="176" t="s">
        <v>381</v>
      </c>
      <c r="G1915" s="170"/>
      <c r="H1915" s="170"/>
      <c r="I1915" s="170"/>
      <c r="J1915" s="170"/>
      <c r="K1915" s="170"/>
      <c r="L1915" s="168"/>
      <c r="M1915" s="171" t="s">
        <v>2389</v>
      </c>
      <c r="N1915" s="170"/>
      <c r="O1915" s="170"/>
      <c r="P1915" s="170"/>
    </row>
    <row r="1916" spans="1:16" x14ac:dyDescent="0.25">
      <c r="A1916" s="168"/>
      <c r="B1916" s="174">
        <v>102419187</v>
      </c>
      <c r="C1916" s="174" t="s">
        <v>4332</v>
      </c>
      <c r="D1916" s="174" t="s">
        <v>4731</v>
      </c>
      <c r="E1916" s="175" t="s">
        <v>4263</v>
      </c>
      <c r="F1916" s="176" t="s">
        <v>381</v>
      </c>
      <c r="G1916" s="170"/>
      <c r="H1916" s="170"/>
      <c r="I1916" s="170"/>
      <c r="J1916" s="170"/>
      <c r="K1916" s="170"/>
      <c r="L1916" s="168"/>
      <c r="M1916" s="171" t="s">
        <v>2397</v>
      </c>
      <c r="N1916" s="170"/>
      <c r="O1916" s="170"/>
      <c r="P1916" s="170"/>
    </row>
    <row r="1917" spans="1:16" x14ac:dyDescent="0.25">
      <c r="A1917" s="168"/>
      <c r="B1917" s="174">
        <v>102419251</v>
      </c>
      <c r="C1917" s="174" t="s">
        <v>4395</v>
      </c>
      <c r="D1917" s="174" t="s">
        <v>4795</v>
      </c>
      <c r="E1917" s="175" t="s">
        <v>3981</v>
      </c>
      <c r="F1917" s="176" t="s">
        <v>381</v>
      </c>
      <c r="G1917" s="170"/>
      <c r="H1917" s="170"/>
      <c r="I1917" s="170"/>
      <c r="J1917" s="170"/>
      <c r="K1917" s="170"/>
      <c r="L1917" s="168"/>
      <c r="M1917" s="171" t="s">
        <v>2371</v>
      </c>
      <c r="N1917" s="170"/>
      <c r="O1917" s="170"/>
      <c r="P1917" s="170"/>
    </row>
    <row r="1918" spans="1:16" x14ac:dyDescent="0.25">
      <c r="A1918" s="168"/>
      <c r="B1918" s="174">
        <v>102419224</v>
      </c>
      <c r="C1918" s="174" t="s">
        <v>4368</v>
      </c>
      <c r="D1918" s="174" t="s">
        <v>4768</v>
      </c>
      <c r="E1918" s="175" t="s">
        <v>3955</v>
      </c>
      <c r="F1918" s="176" t="s">
        <v>381</v>
      </c>
      <c r="G1918" s="170"/>
      <c r="H1918" s="170"/>
      <c r="I1918" s="170"/>
      <c r="J1918" s="170"/>
      <c r="K1918" s="170"/>
      <c r="L1918" s="168"/>
      <c r="M1918" s="171" t="s">
        <v>2389</v>
      </c>
      <c r="N1918" s="170"/>
      <c r="O1918" s="170"/>
      <c r="P1918" s="170"/>
    </row>
    <row r="1919" spans="1:16" x14ac:dyDescent="0.25">
      <c r="A1919" s="168"/>
      <c r="B1919" s="174">
        <v>102419149</v>
      </c>
      <c r="C1919" s="174" t="s">
        <v>4294</v>
      </c>
      <c r="D1919" s="174" t="s">
        <v>4693</v>
      </c>
      <c r="E1919" s="175" t="s">
        <v>3882</v>
      </c>
      <c r="F1919" s="176" t="s">
        <v>381</v>
      </c>
      <c r="G1919" s="170"/>
      <c r="H1919" s="170"/>
      <c r="I1919" s="170"/>
      <c r="J1919" s="170"/>
      <c r="K1919" s="170"/>
      <c r="L1919" s="168"/>
      <c r="M1919" s="171" t="s">
        <v>2386</v>
      </c>
      <c r="N1919" s="170"/>
      <c r="O1919" s="170"/>
      <c r="P1919" s="170"/>
    </row>
    <row r="1920" spans="1:16" x14ac:dyDescent="0.25">
      <c r="A1920" s="168"/>
      <c r="B1920" s="174">
        <v>102419150</v>
      </c>
      <c r="C1920" s="174" t="s">
        <v>4295</v>
      </c>
      <c r="D1920" s="174" t="s">
        <v>4694</v>
      </c>
      <c r="E1920" s="175" t="s">
        <v>3883</v>
      </c>
      <c r="F1920" s="176" t="s">
        <v>379</v>
      </c>
      <c r="G1920" s="170"/>
      <c r="H1920" s="170"/>
      <c r="I1920" s="170"/>
      <c r="J1920" s="170"/>
      <c r="K1920" s="170"/>
      <c r="L1920" s="168"/>
      <c r="M1920" s="171" t="s">
        <v>2386</v>
      </c>
      <c r="N1920" s="170"/>
      <c r="O1920" s="170"/>
      <c r="P1920" s="170"/>
    </row>
    <row r="1921" spans="1:16" x14ac:dyDescent="0.25">
      <c r="A1921" s="168"/>
      <c r="B1921" s="174">
        <v>102419294</v>
      </c>
      <c r="C1921" s="174" t="s">
        <v>4438</v>
      </c>
      <c r="D1921" s="174" t="s">
        <v>4838</v>
      </c>
      <c r="E1921" s="175" t="s">
        <v>4024</v>
      </c>
      <c r="F1921" s="176" t="s">
        <v>381</v>
      </c>
      <c r="G1921" s="170"/>
      <c r="H1921" s="170"/>
      <c r="I1921" s="170"/>
      <c r="J1921" s="170"/>
      <c r="K1921" s="170"/>
      <c r="L1921" s="168"/>
      <c r="M1921" s="171" t="s">
        <v>2399</v>
      </c>
      <c r="N1921" s="170"/>
      <c r="O1921" s="170"/>
      <c r="P1921" s="170"/>
    </row>
    <row r="1922" spans="1:16" x14ac:dyDescent="0.25">
      <c r="A1922" s="168"/>
      <c r="B1922" s="174">
        <v>102419252</v>
      </c>
      <c r="C1922" s="174" t="s">
        <v>4396</v>
      </c>
      <c r="D1922" s="174" t="s">
        <v>4796</v>
      </c>
      <c r="E1922" s="175" t="s">
        <v>3982</v>
      </c>
      <c r="F1922" s="176" t="s">
        <v>381</v>
      </c>
      <c r="G1922" s="170"/>
      <c r="H1922" s="170"/>
      <c r="I1922" s="170"/>
      <c r="J1922" s="170"/>
      <c r="K1922" s="170"/>
      <c r="L1922" s="168"/>
      <c r="M1922" s="171" t="s">
        <v>2371</v>
      </c>
      <c r="N1922" s="170"/>
      <c r="O1922" s="170"/>
      <c r="P1922" s="170"/>
    </row>
    <row r="1923" spans="1:16" x14ac:dyDescent="0.25">
      <c r="A1923" s="168"/>
      <c r="B1923" s="174">
        <v>102419253</v>
      </c>
      <c r="C1923" s="174" t="s">
        <v>4397</v>
      </c>
      <c r="D1923" s="174" t="s">
        <v>4797</v>
      </c>
      <c r="E1923" s="175" t="s">
        <v>3983</v>
      </c>
      <c r="F1923" s="176" t="s">
        <v>379</v>
      </c>
      <c r="G1923" s="170"/>
      <c r="H1923" s="170"/>
      <c r="I1923" s="170"/>
      <c r="J1923" s="170"/>
      <c r="K1923" s="170"/>
      <c r="L1923" s="168"/>
      <c r="M1923" s="171" t="s">
        <v>2371</v>
      </c>
      <c r="N1923" s="170"/>
      <c r="O1923" s="170"/>
      <c r="P1923" s="170"/>
    </row>
    <row r="1924" spans="1:16" x14ac:dyDescent="0.25">
      <c r="A1924" s="168"/>
      <c r="B1924" s="174">
        <v>102419188</v>
      </c>
      <c r="C1924" s="174" t="s">
        <v>4333</v>
      </c>
      <c r="D1924" s="174" t="s">
        <v>4732</v>
      </c>
      <c r="E1924" s="175" t="s">
        <v>3919</v>
      </c>
      <c r="F1924" s="176" t="s">
        <v>381</v>
      </c>
      <c r="G1924" s="170"/>
      <c r="H1924" s="170"/>
      <c r="I1924" s="170"/>
      <c r="J1924" s="170"/>
      <c r="K1924" s="170"/>
      <c r="L1924" s="168"/>
      <c r="M1924" s="171" t="s">
        <v>2397</v>
      </c>
      <c r="N1924" s="170"/>
      <c r="O1924" s="170"/>
      <c r="P1924" s="170"/>
    </row>
    <row r="1925" spans="1:16" x14ac:dyDescent="0.25">
      <c r="A1925" s="168"/>
      <c r="B1925" s="174">
        <v>102419295</v>
      </c>
      <c r="C1925" s="174" t="s">
        <v>4439</v>
      </c>
      <c r="D1925" s="174" t="s">
        <v>4839</v>
      </c>
      <c r="E1925" s="175" t="s">
        <v>4025</v>
      </c>
      <c r="F1925" s="176" t="s">
        <v>379</v>
      </c>
      <c r="G1925" s="170"/>
      <c r="H1925" s="170"/>
      <c r="I1925" s="170"/>
      <c r="J1925" s="170"/>
      <c r="K1925" s="170"/>
      <c r="L1925" s="168"/>
      <c r="M1925" s="171" t="s">
        <v>2399</v>
      </c>
      <c r="N1925" s="170"/>
      <c r="O1925" s="170"/>
      <c r="P1925" s="170"/>
    </row>
    <row r="1926" spans="1:16" x14ac:dyDescent="0.25">
      <c r="A1926" s="168"/>
      <c r="B1926" s="174">
        <v>102419189</v>
      </c>
      <c r="C1926" s="174" t="s">
        <v>4334</v>
      </c>
      <c r="D1926" s="174" t="s">
        <v>4733</v>
      </c>
      <c r="E1926" s="175" t="s">
        <v>3920</v>
      </c>
      <c r="F1926" s="176" t="s">
        <v>381</v>
      </c>
      <c r="G1926" s="170"/>
      <c r="H1926" s="170"/>
      <c r="I1926" s="170"/>
      <c r="J1926" s="170"/>
      <c r="K1926" s="170"/>
      <c r="L1926" s="168"/>
      <c r="M1926" s="171" t="s">
        <v>2397</v>
      </c>
      <c r="N1926" s="170"/>
      <c r="O1926" s="170"/>
      <c r="P1926" s="170"/>
    </row>
    <row r="1927" spans="1:16" x14ac:dyDescent="0.25">
      <c r="A1927" s="168"/>
      <c r="B1927" s="174">
        <v>102419500</v>
      </c>
      <c r="C1927" s="174">
        <v>0</v>
      </c>
      <c r="D1927" s="174" t="s">
        <v>5044</v>
      </c>
      <c r="E1927" s="175" t="s">
        <v>4159</v>
      </c>
      <c r="F1927" s="176" t="s">
        <v>379</v>
      </c>
      <c r="G1927" s="170"/>
      <c r="H1927" s="170"/>
      <c r="I1927" s="170"/>
      <c r="J1927" s="170"/>
      <c r="K1927" s="170"/>
      <c r="L1927" s="168"/>
      <c r="M1927" s="171" t="s">
        <v>2402</v>
      </c>
      <c r="N1927" s="170"/>
      <c r="O1927" s="170"/>
      <c r="P1927" s="170"/>
    </row>
    <row r="1928" spans="1:16" x14ac:dyDescent="0.25">
      <c r="A1928" s="168"/>
      <c r="B1928" s="174">
        <v>102419472</v>
      </c>
      <c r="C1928" s="174" t="s">
        <v>4616</v>
      </c>
      <c r="D1928" s="174" t="s">
        <v>5016</v>
      </c>
      <c r="E1928" s="175" t="s">
        <v>4201</v>
      </c>
      <c r="F1928" s="176" t="s">
        <v>379</v>
      </c>
      <c r="G1928" s="170"/>
      <c r="H1928" s="170"/>
      <c r="I1928" s="170"/>
      <c r="J1928" s="170"/>
      <c r="K1928" s="170"/>
      <c r="L1928" s="168"/>
      <c r="M1928" s="171" t="s">
        <v>2383</v>
      </c>
      <c r="N1928" s="170"/>
      <c r="O1928" s="170"/>
      <c r="P1928" s="170"/>
    </row>
    <row r="1929" spans="1:16" x14ac:dyDescent="0.25">
      <c r="A1929" s="168"/>
      <c r="B1929" s="174">
        <v>102419437</v>
      </c>
      <c r="C1929" s="174" t="s">
        <v>4581</v>
      </c>
      <c r="D1929" s="174" t="s">
        <v>4981</v>
      </c>
      <c r="E1929" s="175" t="s">
        <v>4232</v>
      </c>
      <c r="F1929" s="176" t="s">
        <v>379</v>
      </c>
      <c r="G1929" s="170"/>
      <c r="H1929" s="170"/>
      <c r="I1929" s="170"/>
      <c r="J1929" s="170"/>
      <c r="K1929" s="170"/>
      <c r="L1929" s="168"/>
      <c r="M1929" s="171" t="s">
        <v>2375</v>
      </c>
      <c r="N1929" s="170"/>
      <c r="O1929" s="170"/>
      <c r="P1929" s="170"/>
    </row>
    <row r="1930" spans="1:16" x14ac:dyDescent="0.25">
      <c r="A1930" s="168"/>
      <c r="B1930" s="174">
        <v>102419225</v>
      </c>
      <c r="C1930" s="174" t="s">
        <v>4369</v>
      </c>
      <c r="D1930" s="174" t="s">
        <v>4769</v>
      </c>
      <c r="E1930" s="175" t="s">
        <v>3956</v>
      </c>
      <c r="F1930" s="176" t="s">
        <v>381</v>
      </c>
      <c r="G1930" s="170"/>
      <c r="H1930" s="170"/>
      <c r="I1930" s="170"/>
      <c r="J1930" s="170"/>
      <c r="K1930" s="170"/>
      <c r="L1930" s="168"/>
      <c r="M1930" s="171" t="s">
        <v>2389</v>
      </c>
      <c r="N1930" s="170"/>
      <c r="O1930" s="170"/>
      <c r="P1930" s="170"/>
    </row>
    <row r="1931" spans="1:16" x14ac:dyDescent="0.25">
      <c r="A1931" s="168"/>
      <c r="B1931" s="174">
        <v>102419226</v>
      </c>
      <c r="C1931" s="174" t="s">
        <v>4370</v>
      </c>
      <c r="D1931" s="174" t="s">
        <v>4770</v>
      </c>
      <c r="E1931" s="175" t="s">
        <v>3957</v>
      </c>
      <c r="F1931" s="176" t="s">
        <v>381</v>
      </c>
      <c r="G1931" s="170"/>
      <c r="H1931" s="170"/>
      <c r="I1931" s="170"/>
      <c r="J1931" s="170"/>
      <c r="K1931" s="170"/>
      <c r="L1931" s="168"/>
      <c r="M1931" s="171" t="s">
        <v>2389</v>
      </c>
      <c r="N1931" s="170"/>
      <c r="O1931" s="170"/>
      <c r="P1931" s="170"/>
    </row>
    <row r="1932" spans="1:16" x14ac:dyDescent="0.25">
      <c r="A1932" s="168"/>
      <c r="B1932" s="174">
        <v>102419254</v>
      </c>
      <c r="C1932" s="174" t="s">
        <v>4398</v>
      </c>
      <c r="D1932" s="174" t="s">
        <v>4798</v>
      </c>
      <c r="E1932" s="175" t="s">
        <v>3984</v>
      </c>
      <c r="F1932" s="176" t="s">
        <v>381</v>
      </c>
      <c r="G1932" s="170"/>
      <c r="H1932" s="170"/>
      <c r="I1932" s="170"/>
      <c r="J1932" s="170"/>
      <c r="K1932" s="170"/>
      <c r="L1932" s="168"/>
      <c r="M1932" s="171" t="s">
        <v>2371</v>
      </c>
      <c r="N1932" s="170"/>
      <c r="O1932" s="170"/>
      <c r="P1932" s="170"/>
    </row>
    <row r="1933" spans="1:16" x14ac:dyDescent="0.25">
      <c r="A1933" s="168"/>
      <c r="B1933" s="174">
        <v>102419399</v>
      </c>
      <c r="C1933" s="174" t="s">
        <v>4543</v>
      </c>
      <c r="D1933" s="174" t="s">
        <v>4943</v>
      </c>
      <c r="E1933" s="175" t="s">
        <v>4129</v>
      </c>
      <c r="F1933" s="176" t="s">
        <v>381</v>
      </c>
      <c r="G1933" s="170"/>
      <c r="H1933" s="170"/>
      <c r="I1933" s="170"/>
      <c r="J1933" s="170"/>
      <c r="K1933" s="170"/>
      <c r="L1933" s="168"/>
      <c r="M1933" s="171" t="s">
        <v>2377</v>
      </c>
      <c r="N1933" s="170"/>
      <c r="O1933" s="170"/>
      <c r="P1933" s="170"/>
    </row>
    <row r="1934" spans="1:16" x14ac:dyDescent="0.25">
      <c r="A1934" s="168"/>
      <c r="B1934" s="174">
        <v>102419369</v>
      </c>
      <c r="C1934" s="174" t="s">
        <v>4513</v>
      </c>
      <c r="D1934" s="174" t="s">
        <v>4913</v>
      </c>
      <c r="E1934" s="175" t="s">
        <v>4099</v>
      </c>
      <c r="F1934" s="176" t="s">
        <v>381</v>
      </c>
      <c r="G1934" s="170"/>
      <c r="H1934" s="170"/>
      <c r="I1934" s="170"/>
      <c r="J1934" s="170"/>
      <c r="K1934" s="170"/>
      <c r="L1934" s="168"/>
      <c r="M1934" s="171" t="s">
        <v>2379</v>
      </c>
      <c r="N1934" s="170"/>
      <c r="O1934" s="170"/>
      <c r="P1934" s="170"/>
    </row>
    <row r="1935" spans="1:16" x14ac:dyDescent="0.25">
      <c r="A1935" s="168"/>
      <c r="B1935" s="174">
        <v>102419255</v>
      </c>
      <c r="C1935" s="174" t="s">
        <v>4399</v>
      </c>
      <c r="D1935" s="174" t="s">
        <v>4799</v>
      </c>
      <c r="E1935" s="175" t="s">
        <v>3985</v>
      </c>
      <c r="F1935" s="176" t="s">
        <v>381</v>
      </c>
      <c r="G1935" s="170"/>
      <c r="H1935" s="170"/>
      <c r="I1935" s="170"/>
      <c r="J1935" s="170"/>
      <c r="K1935" s="170"/>
      <c r="L1935" s="168"/>
      <c r="M1935" s="171" t="s">
        <v>2371</v>
      </c>
      <c r="N1935" s="170"/>
      <c r="O1935" s="170"/>
      <c r="P1935" s="170"/>
    </row>
    <row r="1936" spans="1:16" x14ac:dyDescent="0.25">
      <c r="A1936" s="168"/>
      <c r="B1936" s="174">
        <v>102419256</v>
      </c>
      <c r="C1936" s="174" t="s">
        <v>4400</v>
      </c>
      <c r="D1936" s="174" t="s">
        <v>4800</v>
      </c>
      <c r="E1936" s="175" t="s">
        <v>3986</v>
      </c>
      <c r="F1936" s="176" t="s">
        <v>381</v>
      </c>
      <c r="G1936" s="170"/>
      <c r="H1936" s="170"/>
      <c r="I1936" s="170"/>
      <c r="J1936" s="170"/>
      <c r="K1936" s="170"/>
      <c r="L1936" s="168"/>
      <c r="M1936" s="171" t="s">
        <v>2371</v>
      </c>
      <c r="N1936" s="170"/>
      <c r="O1936" s="170"/>
      <c r="P1936" s="170"/>
    </row>
    <row r="1937" spans="1:16" x14ac:dyDescent="0.25">
      <c r="A1937" s="168"/>
      <c r="B1937" s="174">
        <v>102419334</v>
      </c>
      <c r="C1937" s="174" t="s">
        <v>4478</v>
      </c>
      <c r="D1937" s="174" t="s">
        <v>4878</v>
      </c>
      <c r="E1937" s="175" t="s">
        <v>4064</v>
      </c>
      <c r="F1937" s="176" t="s">
        <v>381</v>
      </c>
      <c r="G1937" s="170"/>
      <c r="H1937" s="170"/>
      <c r="I1937" s="170"/>
      <c r="J1937" s="170"/>
      <c r="K1937" s="170"/>
      <c r="L1937" s="168"/>
      <c r="M1937" s="171" t="s">
        <v>2373</v>
      </c>
      <c r="N1937" s="170"/>
      <c r="O1937" s="170"/>
      <c r="P1937" s="170"/>
    </row>
    <row r="1938" spans="1:16" x14ac:dyDescent="0.25">
      <c r="A1938" s="168"/>
      <c r="B1938" s="174">
        <v>102419151</v>
      </c>
      <c r="C1938" s="174" t="s">
        <v>4296</v>
      </c>
      <c r="D1938" s="174" t="s">
        <v>4695</v>
      </c>
      <c r="E1938" s="175" t="s">
        <v>3884</v>
      </c>
      <c r="F1938" s="176" t="s">
        <v>381</v>
      </c>
      <c r="G1938" s="170"/>
      <c r="H1938" s="170"/>
      <c r="I1938" s="170"/>
      <c r="J1938" s="170"/>
      <c r="K1938" s="170"/>
      <c r="L1938" s="168"/>
      <c r="M1938" s="171" t="s">
        <v>2386</v>
      </c>
      <c r="N1938" s="170"/>
      <c r="O1938" s="170"/>
      <c r="P1938" s="170"/>
    </row>
    <row r="1939" spans="1:16" x14ac:dyDescent="0.25">
      <c r="A1939" s="168"/>
      <c r="B1939" s="174">
        <v>102419152</v>
      </c>
      <c r="C1939" s="174" t="s">
        <v>4297</v>
      </c>
      <c r="D1939" s="174" t="s">
        <v>4696</v>
      </c>
      <c r="E1939" s="175" t="s">
        <v>3885</v>
      </c>
      <c r="F1939" s="176" t="s">
        <v>381</v>
      </c>
      <c r="G1939" s="170"/>
      <c r="H1939" s="170"/>
      <c r="I1939" s="170"/>
      <c r="J1939" s="170"/>
      <c r="K1939" s="170"/>
      <c r="L1939" s="168"/>
      <c r="M1939" s="171" t="s">
        <v>2386</v>
      </c>
      <c r="N1939" s="170"/>
      <c r="O1939" s="170"/>
      <c r="P1939" s="170"/>
    </row>
    <row r="1940" spans="1:16" x14ac:dyDescent="0.25">
      <c r="A1940" s="168"/>
      <c r="B1940" s="174">
        <v>102419153</v>
      </c>
      <c r="C1940" s="174" t="s">
        <v>4298</v>
      </c>
      <c r="D1940" s="174" t="s">
        <v>4697</v>
      </c>
      <c r="E1940" s="175" t="s">
        <v>3886</v>
      </c>
      <c r="F1940" s="176" t="s">
        <v>381</v>
      </c>
      <c r="G1940" s="170"/>
      <c r="H1940" s="170"/>
      <c r="I1940" s="170"/>
      <c r="J1940" s="170"/>
      <c r="K1940" s="170"/>
      <c r="L1940" s="168"/>
      <c r="M1940" s="171" t="s">
        <v>2386</v>
      </c>
      <c r="N1940" s="170"/>
      <c r="O1940" s="170"/>
      <c r="P1940" s="170"/>
    </row>
    <row r="1941" spans="1:16" x14ac:dyDescent="0.25">
      <c r="A1941" s="168"/>
      <c r="B1941" s="174">
        <v>102419227</v>
      </c>
      <c r="C1941" s="174" t="s">
        <v>4371</v>
      </c>
      <c r="D1941" s="174" t="s">
        <v>4771</v>
      </c>
      <c r="E1941" s="175" t="s">
        <v>4264</v>
      </c>
      <c r="F1941" s="176" t="s">
        <v>379</v>
      </c>
      <c r="G1941" s="170"/>
      <c r="H1941" s="170"/>
      <c r="I1941" s="170"/>
      <c r="J1941" s="170"/>
      <c r="K1941" s="170"/>
      <c r="L1941" s="168"/>
      <c r="M1941" s="171" t="s">
        <v>2389</v>
      </c>
      <c r="N1941" s="170"/>
      <c r="O1941" s="170"/>
      <c r="P1941" s="170" t="s">
        <v>5068</v>
      </c>
    </row>
    <row r="1942" spans="1:16" x14ac:dyDescent="0.25">
      <c r="A1942" s="168"/>
      <c r="B1942" s="174">
        <v>102419438</v>
      </c>
      <c r="C1942" s="174" t="s">
        <v>4582</v>
      </c>
      <c r="D1942" s="174" t="s">
        <v>4982</v>
      </c>
      <c r="E1942" s="175" t="s">
        <v>4233</v>
      </c>
      <c r="F1942" s="176" t="s">
        <v>379</v>
      </c>
      <c r="G1942" s="170"/>
      <c r="H1942" s="170"/>
      <c r="I1942" s="170"/>
      <c r="J1942" s="170"/>
      <c r="K1942" s="170"/>
      <c r="L1942" s="168"/>
      <c r="M1942" s="171" t="s">
        <v>2375</v>
      </c>
      <c r="N1942" s="170"/>
      <c r="O1942" s="170"/>
      <c r="P1942" s="170"/>
    </row>
    <row r="1943" spans="1:16" x14ac:dyDescent="0.25">
      <c r="A1943" s="168"/>
      <c r="B1943" s="174">
        <v>102419296</v>
      </c>
      <c r="C1943" s="174" t="s">
        <v>4440</v>
      </c>
      <c r="D1943" s="174" t="s">
        <v>4840</v>
      </c>
      <c r="E1943" s="175" t="s">
        <v>4026</v>
      </c>
      <c r="F1943" s="176" t="s">
        <v>379</v>
      </c>
      <c r="G1943" s="170"/>
      <c r="H1943" s="170"/>
      <c r="I1943" s="170"/>
      <c r="J1943" s="170"/>
      <c r="K1943" s="170"/>
      <c r="L1943" s="168"/>
      <c r="M1943" s="171" t="s">
        <v>2399</v>
      </c>
      <c r="N1943" s="170"/>
      <c r="O1943" s="170"/>
      <c r="P1943" s="170"/>
    </row>
    <row r="1944" spans="1:16" x14ac:dyDescent="0.25">
      <c r="A1944" s="168"/>
      <c r="B1944" s="174">
        <v>102419473</v>
      </c>
      <c r="C1944" s="174" t="s">
        <v>4617</v>
      </c>
      <c r="D1944" s="174" t="s">
        <v>5017</v>
      </c>
      <c r="E1944" s="175" t="s">
        <v>4202</v>
      </c>
      <c r="F1944" s="176" t="s">
        <v>379</v>
      </c>
      <c r="G1944" s="170"/>
      <c r="H1944" s="170"/>
      <c r="I1944" s="170"/>
      <c r="J1944" s="170"/>
      <c r="K1944" s="170"/>
      <c r="L1944" s="168"/>
      <c r="M1944" s="171" t="s">
        <v>2383</v>
      </c>
      <c r="N1944" s="170"/>
      <c r="O1944" s="170"/>
      <c r="P1944" s="170"/>
    </row>
    <row r="1945" spans="1:16" x14ac:dyDescent="0.25">
      <c r="A1945" s="168"/>
      <c r="B1945" s="174">
        <v>102419439</v>
      </c>
      <c r="C1945" s="174" t="s">
        <v>4583</v>
      </c>
      <c r="D1945" s="174" t="s">
        <v>4983</v>
      </c>
      <c r="E1945" s="175" t="s">
        <v>4234</v>
      </c>
      <c r="F1945" s="176" t="s">
        <v>379</v>
      </c>
      <c r="G1945" s="170"/>
      <c r="H1945" s="170"/>
      <c r="I1945" s="170"/>
      <c r="J1945" s="170"/>
      <c r="K1945" s="170"/>
      <c r="L1945" s="168"/>
      <c r="M1945" s="171" t="s">
        <v>2375</v>
      </c>
      <c r="N1945" s="170"/>
      <c r="O1945" s="170"/>
      <c r="P1945" s="170"/>
    </row>
    <row r="1946" spans="1:16" x14ac:dyDescent="0.25">
      <c r="A1946" s="168"/>
      <c r="B1946" s="174">
        <v>102419257</v>
      </c>
      <c r="C1946" s="174" t="s">
        <v>4401</v>
      </c>
      <c r="D1946" s="174" t="s">
        <v>4801</v>
      </c>
      <c r="E1946" s="175" t="s">
        <v>3987</v>
      </c>
      <c r="F1946" s="176" t="s">
        <v>379</v>
      </c>
      <c r="G1946" s="170"/>
      <c r="H1946" s="170"/>
      <c r="I1946" s="170"/>
      <c r="J1946" s="170"/>
      <c r="K1946" s="170"/>
      <c r="L1946" s="168"/>
      <c r="M1946" s="171" t="s">
        <v>2371</v>
      </c>
      <c r="N1946" s="170"/>
      <c r="O1946" s="170"/>
      <c r="P1946" s="170"/>
    </row>
    <row r="1947" spans="1:16" x14ac:dyDescent="0.25">
      <c r="A1947" s="168"/>
      <c r="B1947" s="174">
        <v>102419400</v>
      </c>
      <c r="C1947" s="174" t="s">
        <v>4544</v>
      </c>
      <c r="D1947" s="174" t="s">
        <v>4944</v>
      </c>
      <c r="E1947" s="175" t="s">
        <v>4130</v>
      </c>
      <c r="F1947" s="176" t="s">
        <v>379</v>
      </c>
      <c r="G1947" s="170"/>
      <c r="H1947" s="170"/>
      <c r="I1947" s="170"/>
      <c r="J1947" s="170"/>
      <c r="K1947" s="170"/>
      <c r="L1947" s="168"/>
      <c r="M1947" s="171" t="s">
        <v>2377</v>
      </c>
      <c r="N1947" s="170"/>
      <c r="O1947" s="170"/>
      <c r="P1947" s="170"/>
    </row>
    <row r="1948" spans="1:16" x14ac:dyDescent="0.25">
      <c r="A1948" s="168"/>
      <c r="B1948" s="174">
        <v>102419474</v>
      </c>
      <c r="C1948" s="174" t="s">
        <v>4618</v>
      </c>
      <c r="D1948" s="174" t="s">
        <v>5018</v>
      </c>
      <c r="E1948" s="175" t="s">
        <v>4203</v>
      </c>
      <c r="F1948" s="176" t="s">
        <v>379</v>
      </c>
      <c r="G1948" s="170"/>
      <c r="H1948" s="170"/>
      <c r="I1948" s="170"/>
      <c r="J1948" s="170"/>
      <c r="K1948" s="170"/>
      <c r="L1948" s="168"/>
      <c r="M1948" s="171" t="s">
        <v>2383</v>
      </c>
      <c r="N1948" s="170"/>
      <c r="O1948" s="170"/>
      <c r="P1948" s="170"/>
    </row>
    <row r="1949" spans="1:16" x14ac:dyDescent="0.25">
      <c r="A1949" s="168"/>
      <c r="B1949" s="174">
        <v>102419258</v>
      </c>
      <c r="C1949" s="174" t="s">
        <v>4402</v>
      </c>
      <c r="D1949" s="174" t="s">
        <v>4802</v>
      </c>
      <c r="E1949" s="175" t="s">
        <v>3988</v>
      </c>
      <c r="F1949" s="176" t="s">
        <v>379</v>
      </c>
      <c r="G1949" s="170"/>
      <c r="H1949" s="170"/>
      <c r="I1949" s="170"/>
      <c r="J1949" s="170"/>
      <c r="K1949" s="170"/>
      <c r="L1949" s="168"/>
      <c r="M1949" s="171" t="s">
        <v>2371</v>
      </c>
      <c r="N1949" s="170"/>
      <c r="O1949" s="170"/>
      <c r="P1949" s="170"/>
    </row>
    <row r="1950" spans="1:16" x14ac:dyDescent="0.25">
      <c r="A1950" s="168"/>
      <c r="B1950" s="174">
        <v>102419228</v>
      </c>
      <c r="C1950" s="174" t="s">
        <v>4372</v>
      </c>
      <c r="D1950" s="174" t="s">
        <v>4772</v>
      </c>
      <c r="E1950" s="175" t="s">
        <v>3958</v>
      </c>
      <c r="F1950" s="176" t="s">
        <v>379</v>
      </c>
      <c r="G1950" s="170"/>
      <c r="H1950" s="170"/>
      <c r="I1950" s="170"/>
      <c r="J1950" s="170"/>
      <c r="K1950" s="170"/>
      <c r="L1950" s="168"/>
      <c r="M1950" s="171" t="s">
        <v>2389</v>
      </c>
      <c r="N1950" s="170"/>
      <c r="O1950" s="170"/>
      <c r="P1950" s="170"/>
    </row>
    <row r="1951" spans="1:16" x14ac:dyDescent="0.25">
      <c r="A1951" s="168"/>
      <c r="B1951" s="174">
        <v>102419501</v>
      </c>
      <c r="C1951" s="174" t="s">
        <v>4644</v>
      </c>
      <c r="D1951" s="174" t="s">
        <v>5045</v>
      </c>
      <c r="E1951" s="175" t="s">
        <v>4160</v>
      </c>
      <c r="F1951" s="176" t="s">
        <v>379</v>
      </c>
      <c r="G1951" s="170"/>
      <c r="H1951" s="170"/>
      <c r="I1951" s="170"/>
      <c r="J1951" s="170"/>
      <c r="K1951" s="170"/>
      <c r="L1951" s="168"/>
      <c r="M1951" s="171" t="s">
        <v>2402</v>
      </c>
      <c r="N1951" s="170"/>
      <c r="O1951" s="170"/>
      <c r="P1951" s="170"/>
    </row>
    <row r="1952" spans="1:16" x14ac:dyDescent="0.25">
      <c r="A1952" s="168"/>
      <c r="B1952" s="174">
        <v>102419475</v>
      </c>
      <c r="C1952" s="174" t="s">
        <v>4619</v>
      </c>
      <c r="D1952" s="174" t="s">
        <v>5019</v>
      </c>
      <c r="E1952" s="175" t="s">
        <v>4204</v>
      </c>
      <c r="F1952" s="176" t="s">
        <v>379</v>
      </c>
      <c r="G1952" s="170"/>
      <c r="H1952" s="170"/>
      <c r="I1952" s="170"/>
      <c r="J1952" s="170"/>
      <c r="K1952" s="170"/>
      <c r="L1952" s="168"/>
      <c r="M1952" s="171" t="s">
        <v>2383</v>
      </c>
      <c r="N1952" s="170"/>
      <c r="O1952" s="170"/>
      <c r="P1952" s="170"/>
    </row>
    <row r="1953" spans="1:16" x14ac:dyDescent="0.25">
      <c r="A1953" s="168"/>
      <c r="B1953" s="174">
        <v>102419335</v>
      </c>
      <c r="C1953" s="174" t="s">
        <v>4479</v>
      </c>
      <c r="D1953" s="174" t="s">
        <v>4879</v>
      </c>
      <c r="E1953" s="175" t="s">
        <v>4065</v>
      </c>
      <c r="F1953" s="176" t="s">
        <v>379</v>
      </c>
      <c r="G1953" s="170"/>
      <c r="H1953" s="170"/>
      <c r="I1953" s="170"/>
      <c r="J1953" s="170"/>
      <c r="K1953" s="170"/>
      <c r="L1953" s="168"/>
      <c r="M1953" s="171" t="s">
        <v>2373</v>
      </c>
      <c r="N1953" s="170"/>
      <c r="O1953" s="170"/>
      <c r="P1953" s="170"/>
    </row>
    <row r="1954" spans="1:16" x14ac:dyDescent="0.25">
      <c r="A1954" s="168"/>
      <c r="B1954" s="174">
        <v>102419440</v>
      </c>
      <c r="C1954" s="174" t="s">
        <v>4584</v>
      </c>
      <c r="D1954" s="174" t="s">
        <v>4984</v>
      </c>
      <c r="E1954" s="175" t="s">
        <v>4235</v>
      </c>
      <c r="F1954" s="176" t="s">
        <v>379</v>
      </c>
      <c r="G1954" s="170"/>
      <c r="H1954" s="170"/>
      <c r="I1954" s="170"/>
      <c r="J1954" s="170"/>
      <c r="K1954" s="170"/>
      <c r="L1954" s="168"/>
      <c r="M1954" s="171" t="s">
        <v>2375</v>
      </c>
      <c r="N1954" s="170"/>
      <c r="O1954" s="170"/>
      <c r="P1954" s="170"/>
    </row>
    <row r="1955" spans="1:16" x14ac:dyDescent="0.25">
      <c r="A1955" s="168"/>
      <c r="B1955" s="174">
        <v>102419502</v>
      </c>
      <c r="C1955" s="174" t="s">
        <v>4645</v>
      </c>
      <c r="D1955" s="174" t="s">
        <v>5046</v>
      </c>
      <c r="E1955" s="175" t="s">
        <v>4161</v>
      </c>
      <c r="F1955" s="176" t="s">
        <v>379</v>
      </c>
      <c r="G1955" s="170"/>
      <c r="H1955" s="170"/>
      <c r="I1955" s="170"/>
      <c r="J1955" s="170"/>
      <c r="K1955" s="170"/>
      <c r="L1955" s="168"/>
      <c r="M1955" s="171" t="s">
        <v>2402</v>
      </c>
      <c r="N1955" s="170"/>
      <c r="O1955" s="170"/>
      <c r="P1955" s="170"/>
    </row>
    <row r="1956" spans="1:16" x14ac:dyDescent="0.25">
      <c r="A1956" s="168"/>
      <c r="B1956" s="174">
        <v>102419297</v>
      </c>
      <c r="C1956" s="174" t="s">
        <v>4441</v>
      </c>
      <c r="D1956" s="174" t="s">
        <v>4841</v>
      </c>
      <c r="E1956" s="175" t="s">
        <v>4027</v>
      </c>
      <c r="F1956" s="176" t="s">
        <v>379</v>
      </c>
      <c r="G1956" s="170"/>
      <c r="H1956" s="170"/>
      <c r="I1956" s="170"/>
      <c r="J1956" s="170"/>
      <c r="K1956" s="170"/>
      <c r="L1956" s="168"/>
      <c r="M1956" s="171" t="s">
        <v>2399</v>
      </c>
      <c r="N1956" s="170"/>
      <c r="O1956" s="170"/>
      <c r="P1956" s="170"/>
    </row>
    <row r="1957" spans="1:16" x14ac:dyDescent="0.25">
      <c r="A1957" s="168"/>
      <c r="B1957" s="174">
        <v>102419503</v>
      </c>
      <c r="C1957" s="174" t="s">
        <v>4646</v>
      </c>
      <c r="D1957" s="174" t="s">
        <v>5047</v>
      </c>
      <c r="E1957" s="175" t="s">
        <v>4162</v>
      </c>
      <c r="F1957" s="176" t="s">
        <v>379</v>
      </c>
      <c r="G1957" s="170"/>
      <c r="H1957" s="170"/>
      <c r="I1957" s="170"/>
      <c r="J1957" s="170"/>
      <c r="K1957" s="170"/>
      <c r="L1957" s="168"/>
      <c r="M1957" s="171" t="s">
        <v>2402</v>
      </c>
      <c r="N1957" s="170"/>
      <c r="O1957" s="170"/>
      <c r="P1957" s="170"/>
    </row>
    <row r="1958" spans="1:16" x14ac:dyDescent="0.25">
      <c r="A1958" s="168"/>
      <c r="B1958" s="174">
        <v>102419259</v>
      </c>
      <c r="C1958" s="174" t="s">
        <v>4403</v>
      </c>
      <c r="D1958" s="174" t="s">
        <v>4803</v>
      </c>
      <c r="E1958" s="175" t="s">
        <v>3989</v>
      </c>
      <c r="F1958" s="176" t="s">
        <v>379</v>
      </c>
      <c r="G1958" s="170"/>
      <c r="H1958" s="170"/>
      <c r="I1958" s="170"/>
      <c r="J1958" s="170"/>
      <c r="K1958" s="170"/>
      <c r="L1958" s="168"/>
      <c r="M1958" s="171" t="s">
        <v>2371</v>
      </c>
      <c r="N1958" s="170"/>
      <c r="O1958" s="170"/>
      <c r="P1958" s="170"/>
    </row>
    <row r="1959" spans="1:16" x14ac:dyDescent="0.25">
      <c r="A1959" s="168"/>
      <c r="B1959" s="174">
        <v>102419441</v>
      </c>
      <c r="C1959" s="174" t="s">
        <v>4585</v>
      </c>
      <c r="D1959" s="174" t="s">
        <v>4985</v>
      </c>
      <c r="E1959" s="175" t="s">
        <v>4236</v>
      </c>
      <c r="F1959" s="176" t="s">
        <v>379</v>
      </c>
      <c r="G1959" s="170"/>
      <c r="H1959" s="170"/>
      <c r="I1959" s="170"/>
      <c r="J1959" s="170"/>
      <c r="K1959" s="170"/>
      <c r="L1959" s="168"/>
      <c r="M1959" s="171" t="s">
        <v>2375</v>
      </c>
      <c r="N1959" s="170"/>
      <c r="O1959" s="170"/>
      <c r="P1959" s="170"/>
    </row>
    <row r="1960" spans="1:16" x14ac:dyDescent="0.25">
      <c r="A1960" s="168"/>
      <c r="B1960" s="174">
        <v>102419401</v>
      </c>
      <c r="C1960" s="174" t="s">
        <v>4545</v>
      </c>
      <c r="D1960" s="174" t="s">
        <v>4945</v>
      </c>
      <c r="E1960" s="175" t="s">
        <v>4131</v>
      </c>
      <c r="F1960" s="176" t="s">
        <v>379</v>
      </c>
      <c r="G1960" s="170"/>
      <c r="H1960" s="170"/>
      <c r="I1960" s="170"/>
      <c r="J1960" s="170"/>
      <c r="K1960" s="170"/>
      <c r="L1960" s="168"/>
      <c r="M1960" s="171" t="s">
        <v>2377</v>
      </c>
      <c r="N1960" s="170"/>
      <c r="O1960" s="170"/>
      <c r="P1960" s="170"/>
    </row>
    <row r="1961" spans="1:16" x14ac:dyDescent="0.25">
      <c r="A1961" s="168"/>
      <c r="B1961" s="174">
        <v>102419402</v>
      </c>
      <c r="C1961" s="174" t="s">
        <v>4546</v>
      </c>
      <c r="D1961" s="174" t="s">
        <v>4946</v>
      </c>
      <c r="E1961" s="175" t="s">
        <v>4132</v>
      </c>
      <c r="F1961" s="176" t="s">
        <v>379</v>
      </c>
      <c r="G1961" s="170"/>
      <c r="H1961" s="170"/>
      <c r="I1961" s="170"/>
      <c r="J1961" s="170"/>
      <c r="K1961" s="170"/>
      <c r="L1961" s="168"/>
      <c r="M1961" s="171" t="s">
        <v>2377</v>
      </c>
      <c r="N1961" s="170"/>
      <c r="O1961" s="170"/>
      <c r="P1961" s="170"/>
    </row>
    <row r="1962" spans="1:16" x14ac:dyDescent="0.25">
      <c r="A1962" s="168"/>
      <c r="B1962" s="174">
        <v>102419442</v>
      </c>
      <c r="C1962" s="174" t="s">
        <v>4586</v>
      </c>
      <c r="D1962" s="174" t="s">
        <v>4986</v>
      </c>
      <c r="E1962" s="175" t="s">
        <v>4237</v>
      </c>
      <c r="F1962" s="176" t="s">
        <v>379</v>
      </c>
      <c r="G1962" s="170"/>
      <c r="H1962" s="170"/>
      <c r="I1962" s="170"/>
      <c r="J1962" s="170"/>
      <c r="K1962" s="170"/>
      <c r="L1962" s="168"/>
      <c r="M1962" s="171" t="s">
        <v>2375</v>
      </c>
      <c r="N1962" s="170"/>
      <c r="O1962" s="170"/>
      <c r="P1962" s="170"/>
    </row>
    <row r="1963" spans="1:16" x14ac:dyDescent="0.25">
      <c r="A1963" s="168"/>
      <c r="B1963" s="174">
        <v>102419298</v>
      </c>
      <c r="C1963" s="174" t="s">
        <v>4442</v>
      </c>
      <c r="D1963" s="174" t="s">
        <v>4842</v>
      </c>
      <c r="E1963" s="175" t="s">
        <v>4028</v>
      </c>
      <c r="F1963" s="176" t="s">
        <v>379</v>
      </c>
      <c r="G1963" s="170"/>
      <c r="H1963" s="170"/>
      <c r="I1963" s="170"/>
      <c r="J1963" s="170"/>
      <c r="K1963" s="170"/>
      <c r="L1963" s="168"/>
      <c r="M1963" s="171" t="s">
        <v>2399</v>
      </c>
      <c r="N1963" s="170"/>
      <c r="O1963" s="170"/>
      <c r="P1963" s="170"/>
    </row>
    <row r="1964" spans="1:16" x14ac:dyDescent="0.25">
      <c r="A1964" s="168"/>
      <c r="B1964" s="174">
        <v>102419403</v>
      </c>
      <c r="C1964" s="174" t="s">
        <v>4547</v>
      </c>
      <c r="D1964" s="174" t="s">
        <v>4947</v>
      </c>
      <c r="E1964" s="175" t="s">
        <v>4133</v>
      </c>
      <c r="F1964" s="176" t="s">
        <v>379</v>
      </c>
      <c r="G1964" s="170"/>
      <c r="H1964" s="170"/>
      <c r="I1964" s="170"/>
      <c r="J1964" s="170"/>
      <c r="K1964" s="170"/>
      <c r="L1964" s="168"/>
      <c r="M1964" s="171" t="s">
        <v>2377</v>
      </c>
      <c r="N1964" s="170"/>
      <c r="O1964" s="170"/>
      <c r="P1964" s="170"/>
    </row>
    <row r="1965" spans="1:16" x14ac:dyDescent="0.25">
      <c r="A1965" s="168"/>
      <c r="B1965" s="174">
        <v>102419504</v>
      </c>
      <c r="C1965" s="174" t="s">
        <v>4647</v>
      </c>
      <c r="D1965" s="174" t="s">
        <v>5048</v>
      </c>
      <c r="E1965" s="175" t="s">
        <v>4163</v>
      </c>
      <c r="F1965" s="176" t="s">
        <v>379</v>
      </c>
      <c r="G1965" s="170"/>
      <c r="H1965" s="170"/>
      <c r="I1965" s="170"/>
      <c r="J1965" s="170"/>
      <c r="K1965" s="170"/>
      <c r="L1965" s="168"/>
      <c r="M1965" s="171" t="s">
        <v>2402</v>
      </c>
      <c r="N1965" s="170"/>
      <c r="O1965" s="170"/>
      <c r="P1965" s="170"/>
    </row>
    <row r="1966" spans="1:16" x14ac:dyDescent="0.25">
      <c r="A1966" s="168"/>
      <c r="B1966" s="174">
        <v>102419404</v>
      </c>
      <c r="C1966" s="174" t="s">
        <v>4548</v>
      </c>
      <c r="D1966" s="174" t="s">
        <v>4948</v>
      </c>
      <c r="E1966" s="175" t="s">
        <v>4134</v>
      </c>
      <c r="F1966" s="176" t="s">
        <v>379</v>
      </c>
      <c r="G1966" s="170"/>
      <c r="H1966" s="170"/>
      <c r="I1966" s="170"/>
      <c r="J1966" s="170"/>
      <c r="K1966" s="170"/>
      <c r="L1966" s="168"/>
      <c r="M1966" s="171" t="s">
        <v>2377</v>
      </c>
      <c r="N1966" s="170"/>
      <c r="O1966" s="170"/>
      <c r="P1966" s="170"/>
    </row>
    <row r="1967" spans="1:16" x14ac:dyDescent="0.25">
      <c r="A1967" s="168"/>
      <c r="B1967" s="174">
        <v>102419476</v>
      </c>
      <c r="C1967" s="174" t="s">
        <v>4620</v>
      </c>
      <c r="D1967" s="174" t="s">
        <v>5020</v>
      </c>
      <c r="E1967" s="175" t="s">
        <v>4205</v>
      </c>
      <c r="F1967" s="176" t="s">
        <v>379</v>
      </c>
      <c r="G1967" s="170"/>
      <c r="H1967" s="170"/>
      <c r="I1967" s="170"/>
      <c r="J1967" s="170"/>
      <c r="K1967" s="170"/>
      <c r="L1967" s="168"/>
      <c r="M1967" s="171" t="s">
        <v>2383</v>
      </c>
      <c r="N1967" s="170"/>
      <c r="O1967" s="170"/>
      <c r="P1967" s="170"/>
    </row>
    <row r="1968" spans="1:16" x14ac:dyDescent="0.25">
      <c r="A1968" s="168"/>
      <c r="B1968" s="174">
        <v>102419260</v>
      </c>
      <c r="C1968" s="174" t="s">
        <v>4404</v>
      </c>
      <c r="D1968" s="174" t="s">
        <v>4804</v>
      </c>
      <c r="E1968" s="175" t="s">
        <v>3990</v>
      </c>
      <c r="F1968" s="176" t="s">
        <v>379</v>
      </c>
      <c r="G1968" s="170"/>
      <c r="H1968" s="170"/>
      <c r="I1968" s="170"/>
      <c r="J1968" s="170"/>
      <c r="K1968" s="170"/>
      <c r="L1968" s="168"/>
      <c r="M1968" s="171" t="s">
        <v>2371</v>
      </c>
      <c r="N1968" s="170"/>
      <c r="O1968" s="170"/>
      <c r="P1968" s="170"/>
    </row>
    <row r="1969" spans="1:16" x14ac:dyDescent="0.25">
      <c r="A1969" s="168"/>
      <c r="B1969" s="174">
        <v>102419477</v>
      </c>
      <c r="C1969" s="174" t="s">
        <v>4621</v>
      </c>
      <c r="D1969" s="174" t="s">
        <v>5021</v>
      </c>
      <c r="E1969" s="175" t="s">
        <v>4164</v>
      </c>
      <c r="F1969" s="176" t="s">
        <v>379</v>
      </c>
      <c r="G1969" s="170"/>
      <c r="H1969" s="170"/>
      <c r="I1969" s="170"/>
      <c r="J1969" s="170"/>
      <c r="K1969" s="170"/>
      <c r="L1969" s="168"/>
      <c r="M1969" s="171" t="s">
        <v>2383</v>
      </c>
      <c r="N1969" s="170"/>
      <c r="O1969" s="170"/>
      <c r="P1969" s="170"/>
    </row>
    <row r="1970" spans="1:16" x14ac:dyDescent="0.25">
      <c r="A1970" s="168"/>
      <c r="B1970" s="174">
        <v>102419405</v>
      </c>
      <c r="C1970" s="174" t="s">
        <v>4549</v>
      </c>
      <c r="D1970" s="174" t="s">
        <v>4949</v>
      </c>
      <c r="E1970" s="175" t="s">
        <v>4135</v>
      </c>
      <c r="F1970" s="176" t="s">
        <v>379</v>
      </c>
      <c r="G1970" s="170"/>
      <c r="H1970" s="170"/>
      <c r="I1970" s="170"/>
      <c r="J1970" s="170"/>
      <c r="K1970" s="170"/>
      <c r="L1970" s="168"/>
      <c r="M1970" s="171" t="s">
        <v>2377</v>
      </c>
      <c r="N1970" s="170"/>
      <c r="O1970" s="170"/>
      <c r="P1970" s="170"/>
    </row>
    <row r="1971" spans="1:16" x14ac:dyDescent="0.25">
      <c r="A1971" s="168"/>
      <c r="B1971" s="174">
        <v>102419505</v>
      </c>
      <c r="C1971" s="174" t="s">
        <v>4648</v>
      </c>
      <c r="D1971" s="174" t="s">
        <v>5049</v>
      </c>
      <c r="E1971" s="175" t="s">
        <v>4165</v>
      </c>
      <c r="F1971" s="176" t="s">
        <v>379</v>
      </c>
      <c r="G1971" s="170"/>
      <c r="H1971" s="170"/>
      <c r="I1971" s="170"/>
      <c r="J1971" s="170"/>
      <c r="K1971" s="170"/>
      <c r="L1971" s="168"/>
      <c r="M1971" s="171" t="s">
        <v>2402</v>
      </c>
      <c r="N1971" s="170"/>
      <c r="O1971" s="170"/>
      <c r="P1971" s="170"/>
    </row>
    <row r="1972" spans="1:16" x14ac:dyDescent="0.25">
      <c r="A1972" s="168"/>
      <c r="B1972" s="174">
        <v>102419370</v>
      </c>
      <c r="C1972" s="174" t="s">
        <v>4514</v>
      </c>
      <c r="D1972" s="174" t="s">
        <v>4914</v>
      </c>
      <c r="E1972" s="175" t="s">
        <v>4100</v>
      </c>
      <c r="F1972" s="176" t="s">
        <v>379</v>
      </c>
      <c r="G1972" s="170"/>
      <c r="H1972" s="170"/>
      <c r="I1972" s="170"/>
      <c r="J1972" s="170"/>
      <c r="K1972" s="170"/>
      <c r="L1972" s="168"/>
      <c r="M1972" s="171" t="s">
        <v>2379</v>
      </c>
      <c r="N1972" s="170"/>
      <c r="O1972" s="170"/>
      <c r="P1972" s="170"/>
    </row>
    <row r="1973" spans="1:16" x14ac:dyDescent="0.25">
      <c r="A1973" s="168"/>
      <c r="B1973" s="174">
        <v>102419406</v>
      </c>
      <c r="C1973" s="174" t="s">
        <v>4550</v>
      </c>
      <c r="D1973" s="174" t="s">
        <v>4950</v>
      </c>
      <c r="E1973" s="175" t="s">
        <v>4136</v>
      </c>
      <c r="F1973" s="176" t="s">
        <v>379</v>
      </c>
      <c r="G1973" s="170"/>
      <c r="H1973" s="170"/>
      <c r="I1973" s="170"/>
      <c r="J1973" s="170"/>
      <c r="K1973" s="170"/>
      <c r="L1973" s="168"/>
      <c r="M1973" s="171" t="s">
        <v>2377</v>
      </c>
      <c r="N1973" s="170"/>
      <c r="O1973" s="170"/>
      <c r="P1973" s="170"/>
    </row>
    <row r="1974" spans="1:16" x14ac:dyDescent="0.25">
      <c r="A1974" s="168"/>
      <c r="B1974" s="174">
        <v>102419407</v>
      </c>
      <c r="C1974" s="174" t="s">
        <v>4551</v>
      </c>
      <c r="D1974" s="174" t="s">
        <v>4951</v>
      </c>
      <c r="E1974" s="175" t="s">
        <v>4137</v>
      </c>
      <c r="F1974" s="176" t="s">
        <v>379</v>
      </c>
      <c r="G1974" s="170"/>
      <c r="H1974" s="170"/>
      <c r="I1974" s="170"/>
      <c r="J1974" s="170"/>
      <c r="K1974" s="170"/>
      <c r="L1974" s="168"/>
      <c r="M1974" s="171" t="s">
        <v>2377</v>
      </c>
      <c r="N1974" s="170"/>
      <c r="O1974" s="170"/>
      <c r="P1974" s="170"/>
    </row>
    <row r="1975" spans="1:16" x14ac:dyDescent="0.25">
      <c r="A1975" s="168"/>
      <c r="B1975" s="174">
        <v>102419443</v>
      </c>
      <c r="C1975" s="174" t="s">
        <v>4587</v>
      </c>
      <c r="D1975" s="174" t="s">
        <v>4987</v>
      </c>
      <c r="E1975" s="175" t="s">
        <v>4238</v>
      </c>
      <c r="F1975" s="176" t="s">
        <v>379</v>
      </c>
      <c r="G1975" s="170"/>
      <c r="H1975" s="170"/>
      <c r="I1975" s="170"/>
      <c r="J1975" s="170"/>
      <c r="K1975" s="170"/>
      <c r="L1975" s="168"/>
      <c r="M1975" s="171" t="s">
        <v>2375</v>
      </c>
      <c r="N1975" s="170"/>
      <c r="O1975" s="170"/>
      <c r="P1975" s="170"/>
    </row>
    <row r="1976" spans="1:16" x14ac:dyDescent="0.25">
      <c r="A1976" s="168"/>
      <c r="B1976" s="174">
        <v>102419506</v>
      </c>
      <c r="C1976" s="174" t="s">
        <v>4649</v>
      </c>
      <c r="D1976" s="174" t="s">
        <v>5050</v>
      </c>
      <c r="E1976" s="175" t="s">
        <v>4166</v>
      </c>
      <c r="F1976" s="176" t="s">
        <v>379</v>
      </c>
      <c r="G1976" s="170"/>
      <c r="H1976" s="170"/>
      <c r="I1976" s="170"/>
      <c r="J1976" s="170"/>
      <c r="K1976" s="170"/>
      <c r="L1976" s="168"/>
      <c r="M1976" s="171" t="s">
        <v>2402</v>
      </c>
      <c r="N1976" s="170"/>
      <c r="O1976" s="170"/>
      <c r="P1976" s="170"/>
    </row>
    <row r="1977" spans="1:16" x14ac:dyDescent="0.25">
      <c r="A1977" s="168"/>
      <c r="B1977" s="174">
        <v>102419190</v>
      </c>
      <c r="C1977" s="174" t="s">
        <v>4335</v>
      </c>
      <c r="D1977" s="174" t="s">
        <v>4734</v>
      </c>
      <c r="E1977" s="175" t="s">
        <v>4066</v>
      </c>
      <c r="F1977" s="176" t="s">
        <v>379</v>
      </c>
      <c r="G1977" s="170"/>
      <c r="H1977" s="170"/>
      <c r="I1977" s="170"/>
      <c r="J1977" s="170"/>
      <c r="K1977" s="170"/>
      <c r="L1977" s="168"/>
      <c r="M1977" s="171" t="s">
        <v>2397</v>
      </c>
      <c r="N1977" s="170"/>
      <c r="O1977" s="170"/>
      <c r="P1977" s="170"/>
    </row>
    <row r="1978" spans="1:16" x14ac:dyDescent="0.25">
      <c r="A1978" s="168"/>
      <c r="B1978" s="174">
        <v>102419371</v>
      </c>
      <c r="C1978" s="174" t="s">
        <v>4515</v>
      </c>
      <c r="D1978" s="174" t="s">
        <v>4915</v>
      </c>
      <c r="E1978" s="175" t="s">
        <v>4101</v>
      </c>
      <c r="F1978" s="176" t="s">
        <v>379</v>
      </c>
      <c r="G1978" s="170"/>
      <c r="H1978" s="170"/>
      <c r="I1978" s="170"/>
      <c r="J1978" s="170"/>
      <c r="K1978" s="170"/>
      <c r="L1978" s="168"/>
      <c r="M1978" s="171" t="s">
        <v>2379</v>
      </c>
      <c r="N1978" s="170"/>
      <c r="O1978" s="170"/>
      <c r="P1978" s="170"/>
    </row>
    <row r="1979" spans="1:16" x14ac:dyDescent="0.25">
      <c r="A1979" s="168"/>
      <c r="B1979" s="174">
        <v>102419478</v>
      </c>
      <c r="C1979" s="174" t="s">
        <v>4622</v>
      </c>
      <c r="D1979" s="174" t="s">
        <v>5022</v>
      </c>
      <c r="E1979" s="175" t="s">
        <v>4206</v>
      </c>
      <c r="F1979" s="176" t="s">
        <v>379</v>
      </c>
      <c r="G1979" s="170"/>
      <c r="H1979" s="170"/>
      <c r="I1979" s="170"/>
      <c r="J1979" s="170"/>
      <c r="K1979" s="170"/>
      <c r="L1979" s="168"/>
      <c r="M1979" s="171" t="s">
        <v>2383</v>
      </c>
      <c r="N1979" s="170"/>
      <c r="O1979" s="170"/>
      <c r="P1979" s="170"/>
    </row>
    <row r="1980" spans="1:16" x14ac:dyDescent="0.25">
      <c r="A1980" s="168"/>
      <c r="B1980" s="174">
        <v>102419408</v>
      </c>
      <c r="C1980" s="174" t="s">
        <v>4552</v>
      </c>
      <c r="D1980" s="174" t="s">
        <v>4952</v>
      </c>
      <c r="E1980" s="175" t="s">
        <v>4138</v>
      </c>
      <c r="F1980" s="176" t="s">
        <v>379</v>
      </c>
      <c r="G1980" s="170"/>
      <c r="H1980" s="170"/>
      <c r="I1980" s="170"/>
      <c r="J1980" s="170"/>
      <c r="K1980" s="170"/>
      <c r="L1980" s="168"/>
      <c r="M1980" s="171" t="s">
        <v>2377</v>
      </c>
      <c r="N1980" s="170"/>
      <c r="O1980" s="170"/>
      <c r="P1980" s="170"/>
    </row>
    <row r="1981" spans="1:16" x14ac:dyDescent="0.25">
      <c r="A1981" s="168"/>
      <c r="B1981" s="174">
        <v>102419479</v>
      </c>
      <c r="C1981" s="174" t="s">
        <v>4623</v>
      </c>
      <c r="D1981" s="174" t="s">
        <v>5023</v>
      </c>
      <c r="E1981" s="175" t="s">
        <v>4207</v>
      </c>
      <c r="F1981" s="176" t="s">
        <v>379</v>
      </c>
      <c r="G1981" s="170"/>
      <c r="H1981" s="170"/>
      <c r="I1981" s="170"/>
      <c r="J1981" s="170"/>
      <c r="K1981" s="170"/>
      <c r="L1981" s="168"/>
      <c r="M1981" s="171" t="s">
        <v>2383</v>
      </c>
      <c r="N1981" s="170"/>
      <c r="O1981" s="170"/>
      <c r="P1981" s="170"/>
    </row>
    <row r="1982" spans="1:16" x14ac:dyDescent="0.25">
      <c r="A1982" s="168"/>
      <c r="B1982" s="174">
        <v>102419154</v>
      </c>
      <c r="C1982" s="174" t="s">
        <v>4299</v>
      </c>
      <c r="D1982" s="174" t="s">
        <v>4698</v>
      </c>
      <c r="E1982" s="175" t="s">
        <v>3887</v>
      </c>
      <c r="F1982" s="176" t="s">
        <v>381</v>
      </c>
      <c r="G1982" s="170"/>
      <c r="H1982" s="170"/>
      <c r="I1982" s="170"/>
      <c r="J1982" s="170"/>
      <c r="K1982" s="170"/>
      <c r="L1982" s="168"/>
      <c r="M1982" s="171" t="s">
        <v>2386</v>
      </c>
      <c r="N1982" s="170"/>
      <c r="O1982" s="170"/>
      <c r="P1982" s="170"/>
    </row>
    <row r="1983" spans="1:16" x14ac:dyDescent="0.25">
      <c r="A1983" s="168"/>
      <c r="B1983" s="174">
        <v>102419261</v>
      </c>
      <c r="C1983" s="174" t="s">
        <v>4405</v>
      </c>
      <c r="D1983" s="174" t="s">
        <v>4805</v>
      </c>
      <c r="E1983" s="175" t="s">
        <v>3991</v>
      </c>
      <c r="F1983" s="176" t="s">
        <v>381</v>
      </c>
      <c r="G1983" s="170"/>
      <c r="H1983" s="170"/>
      <c r="I1983" s="170"/>
      <c r="J1983" s="170"/>
      <c r="K1983" s="170"/>
      <c r="L1983" s="168"/>
      <c r="M1983" s="171" t="s">
        <v>2371</v>
      </c>
      <c r="N1983" s="170"/>
      <c r="O1983" s="170"/>
      <c r="P1983" s="170"/>
    </row>
    <row r="1984" spans="1:16" x14ac:dyDescent="0.25">
      <c r="A1984" s="168"/>
      <c r="B1984" s="174">
        <v>102419229</v>
      </c>
      <c r="C1984" s="174" t="s">
        <v>4373</v>
      </c>
      <c r="D1984" s="174" t="s">
        <v>4773</v>
      </c>
      <c r="E1984" s="175" t="s">
        <v>3959</v>
      </c>
      <c r="F1984" s="176" t="s">
        <v>381</v>
      </c>
      <c r="G1984" s="170"/>
      <c r="H1984" s="170"/>
      <c r="I1984" s="170"/>
      <c r="J1984" s="170"/>
      <c r="K1984" s="170"/>
      <c r="L1984" s="168"/>
      <c r="M1984" s="171" t="s">
        <v>2389</v>
      </c>
      <c r="N1984" s="170"/>
      <c r="O1984" s="170"/>
      <c r="P1984" s="170"/>
    </row>
    <row r="1985" spans="1:16" x14ac:dyDescent="0.25">
      <c r="A1985" s="168"/>
      <c r="B1985" s="174">
        <v>102419372</v>
      </c>
      <c r="C1985" s="174" t="s">
        <v>4516</v>
      </c>
      <c r="D1985" s="174" t="s">
        <v>4916</v>
      </c>
      <c r="E1985" s="175" t="s">
        <v>4102</v>
      </c>
      <c r="F1985" s="176" t="s">
        <v>379</v>
      </c>
      <c r="G1985" s="170"/>
      <c r="H1985" s="170"/>
      <c r="I1985" s="170"/>
      <c r="J1985" s="170"/>
      <c r="K1985" s="170"/>
      <c r="L1985" s="168"/>
      <c r="M1985" s="171" t="s">
        <v>2379</v>
      </c>
      <c r="N1985" s="170"/>
      <c r="O1985" s="170"/>
      <c r="P1985" s="170"/>
    </row>
    <row r="1986" spans="1:16" x14ac:dyDescent="0.25">
      <c r="A1986" s="168"/>
      <c r="B1986" s="174">
        <v>102419336</v>
      </c>
      <c r="C1986" s="174" t="s">
        <v>4480</v>
      </c>
      <c r="D1986" s="174" t="s">
        <v>4880</v>
      </c>
      <c r="E1986" s="175" t="s">
        <v>4067</v>
      </c>
      <c r="F1986" s="176" t="s">
        <v>381</v>
      </c>
      <c r="G1986" s="170"/>
      <c r="H1986" s="170"/>
      <c r="I1986" s="170"/>
      <c r="J1986" s="170"/>
      <c r="K1986" s="170"/>
      <c r="L1986" s="168"/>
      <c r="M1986" s="171" t="s">
        <v>2373</v>
      </c>
      <c r="N1986" s="170"/>
      <c r="O1986" s="170"/>
      <c r="P1986" s="170"/>
    </row>
    <row r="1987" spans="1:16" x14ac:dyDescent="0.25">
      <c r="A1987" s="168"/>
      <c r="B1987" s="174">
        <v>102419409</v>
      </c>
      <c r="C1987" s="174" t="s">
        <v>4553</v>
      </c>
      <c r="D1987" s="174" t="s">
        <v>4953</v>
      </c>
      <c r="E1987" s="175" t="s">
        <v>4139</v>
      </c>
      <c r="F1987" s="176" t="s">
        <v>381</v>
      </c>
      <c r="G1987" s="170"/>
      <c r="H1987" s="170"/>
      <c r="I1987" s="170"/>
      <c r="J1987" s="170"/>
      <c r="K1987" s="170"/>
      <c r="L1987" s="168"/>
      <c r="M1987" s="171" t="s">
        <v>2377</v>
      </c>
      <c r="N1987" s="170"/>
      <c r="O1987" s="170"/>
      <c r="P1987" s="170"/>
    </row>
    <row r="1988" spans="1:16" x14ac:dyDescent="0.25">
      <c r="A1988" s="168"/>
      <c r="B1988" s="174">
        <v>102419507</v>
      </c>
      <c r="C1988" s="174" t="s">
        <v>4650</v>
      </c>
      <c r="D1988" s="174" t="s">
        <v>5051</v>
      </c>
      <c r="E1988" s="175" t="s">
        <v>4167</v>
      </c>
      <c r="F1988" s="176" t="s">
        <v>381</v>
      </c>
      <c r="G1988" s="170"/>
      <c r="H1988" s="170"/>
      <c r="I1988" s="170"/>
      <c r="J1988" s="170"/>
      <c r="K1988" s="170"/>
      <c r="L1988" s="168"/>
      <c r="M1988" s="171" t="s">
        <v>2402</v>
      </c>
      <c r="N1988" s="170"/>
      <c r="O1988" s="170"/>
      <c r="P1988" s="170"/>
    </row>
    <row r="1989" spans="1:16" x14ac:dyDescent="0.25">
      <c r="A1989" s="168"/>
      <c r="B1989" s="174">
        <v>102419299</v>
      </c>
      <c r="C1989" s="174" t="s">
        <v>4443</v>
      </c>
      <c r="D1989" s="174" t="s">
        <v>4843</v>
      </c>
      <c r="E1989" s="175" t="s">
        <v>4029</v>
      </c>
      <c r="F1989" s="176" t="s">
        <v>381</v>
      </c>
      <c r="G1989" s="170"/>
      <c r="H1989" s="170"/>
      <c r="I1989" s="170"/>
      <c r="J1989" s="170"/>
      <c r="K1989" s="170"/>
      <c r="L1989" s="168"/>
      <c r="M1989" s="171" t="s">
        <v>2399</v>
      </c>
      <c r="N1989" s="170"/>
      <c r="O1989" s="170"/>
      <c r="P1989" s="170"/>
    </row>
    <row r="1990" spans="1:16" x14ac:dyDescent="0.25">
      <c r="A1990" s="168"/>
      <c r="B1990" s="174">
        <v>102419191</v>
      </c>
      <c r="C1990" s="174" t="s">
        <v>4336</v>
      </c>
      <c r="D1990" s="174" t="s">
        <v>4735</v>
      </c>
      <c r="E1990" s="175" t="s">
        <v>3921</v>
      </c>
      <c r="F1990" s="176" t="s">
        <v>381</v>
      </c>
      <c r="G1990" s="170"/>
      <c r="H1990" s="170"/>
      <c r="I1990" s="170"/>
      <c r="J1990" s="170"/>
      <c r="K1990" s="170"/>
      <c r="L1990" s="168"/>
      <c r="M1990" s="171" t="s">
        <v>2397</v>
      </c>
      <c r="N1990" s="170"/>
      <c r="O1990" s="170"/>
      <c r="P1990" s="170"/>
    </row>
    <row r="1991" spans="1:16" x14ac:dyDescent="0.25">
      <c r="A1991" s="168"/>
      <c r="B1991" s="174">
        <v>102419337</v>
      </c>
      <c r="C1991" s="174" t="s">
        <v>4481</v>
      </c>
      <c r="D1991" s="174" t="s">
        <v>4881</v>
      </c>
      <c r="E1991" s="175" t="s">
        <v>3922</v>
      </c>
      <c r="F1991" s="176" t="s">
        <v>381</v>
      </c>
      <c r="G1991" s="170"/>
      <c r="H1991" s="170"/>
      <c r="I1991" s="170"/>
      <c r="J1991" s="170"/>
      <c r="K1991" s="170"/>
      <c r="L1991" s="168"/>
      <c r="M1991" s="171" t="s">
        <v>2373</v>
      </c>
      <c r="N1991" s="170"/>
      <c r="O1991" s="170"/>
      <c r="P1991" s="170"/>
    </row>
    <row r="1992" spans="1:16" x14ac:dyDescent="0.25">
      <c r="A1992" s="168"/>
      <c r="B1992" s="174">
        <v>102419300</v>
      </c>
      <c r="C1992" s="174" t="s">
        <v>4444</v>
      </c>
      <c r="D1992" s="174" t="s">
        <v>4844</v>
      </c>
      <c r="E1992" s="175" t="s">
        <v>4030</v>
      </c>
      <c r="F1992" s="176" t="s">
        <v>381</v>
      </c>
      <c r="G1992" s="170"/>
      <c r="H1992" s="170"/>
      <c r="I1992" s="170"/>
      <c r="J1992" s="170"/>
      <c r="K1992" s="170"/>
      <c r="L1992" s="168"/>
      <c r="M1992" s="171" t="s">
        <v>2399</v>
      </c>
      <c r="N1992" s="170"/>
      <c r="O1992" s="170"/>
      <c r="P1992" s="170"/>
    </row>
    <row r="1993" spans="1:16" x14ac:dyDescent="0.25">
      <c r="A1993" s="168"/>
      <c r="B1993" s="174">
        <v>102419192</v>
      </c>
      <c r="C1993" s="174" t="s">
        <v>4337</v>
      </c>
      <c r="D1993" s="174" t="s">
        <v>4736</v>
      </c>
      <c r="E1993" s="175" t="s">
        <v>3923</v>
      </c>
      <c r="F1993" s="176" t="s">
        <v>381</v>
      </c>
      <c r="G1993" s="170"/>
      <c r="H1993" s="170"/>
      <c r="I1993" s="170"/>
      <c r="J1993" s="170"/>
      <c r="K1993" s="170"/>
      <c r="L1993" s="168"/>
      <c r="M1993" s="171" t="s">
        <v>2397</v>
      </c>
      <c r="N1993" s="170"/>
      <c r="O1993" s="170"/>
      <c r="P1993" s="170"/>
    </row>
    <row r="1994" spans="1:16" x14ac:dyDescent="0.25">
      <c r="A1994" s="168"/>
      <c r="B1994" s="174">
        <v>102419410</v>
      </c>
      <c r="C1994" s="174" t="s">
        <v>4554</v>
      </c>
      <c r="D1994" s="174" t="s">
        <v>4954</v>
      </c>
      <c r="E1994" s="175" t="s">
        <v>4140</v>
      </c>
      <c r="F1994" s="176" t="s">
        <v>381</v>
      </c>
      <c r="G1994" s="170"/>
      <c r="H1994" s="170"/>
      <c r="I1994" s="170"/>
      <c r="J1994" s="170"/>
      <c r="K1994" s="170"/>
      <c r="L1994" s="168"/>
      <c r="M1994" s="171" t="s">
        <v>2377</v>
      </c>
      <c r="N1994" s="170"/>
      <c r="O1994" s="170"/>
      <c r="P1994" s="170"/>
    </row>
    <row r="1995" spans="1:16" x14ac:dyDescent="0.25">
      <c r="A1995" s="168"/>
      <c r="B1995" s="174">
        <v>102419193</v>
      </c>
      <c r="C1995" s="174" t="s">
        <v>4338</v>
      </c>
      <c r="D1995" s="174" t="s">
        <v>4737</v>
      </c>
      <c r="E1995" s="175" t="s">
        <v>3924</v>
      </c>
      <c r="F1995" s="176" t="s">
        <v>381</v>
      </c>
      <c r="G1995" s="170"/>
      <c r="H1995" s="170"/>
      <c r="I1995" s="170"/>
      <c r="J1995" s="170"/>
      <c r="K1995" s="170"/>
      <c r="L1995" s="168"/>
      <c r="M1995" s="171" t="s">
        <v>2397</v>
      </c>
      <c r="N1995" s="170"/>
      <c r="O1995" s="170"/>
      <c r="P1995" s="170"/>
    </row>
    <row r="1996" spans="1:16" x14ac:dyDescent="0.25">
      <c r="A1996" s="168"/>
      <c r="B1996" s="174">
        <v>102419373</v>
      </c>
      <c r="C1996" s="174" t="s">
        <v>4517</v>
      </c>
      <c r="D1996" s="174" t="s">
        <v>4917</v>
      </c>
      <c r="E1996" s="175" t="s">
        <v>4103</v>
      </c>
      <c r="F1996" s="176" t="s">
        <v>381</v>
      </c>
      <c r="G1996" s="170"/>
      <c r="H1996" s="170"/>
      <c r="I1996" s="170"/>
      <c r="J1996" s="170"/>
      <c r="K1996" s="170"/>
      <c r="L1996" s="168"/>
      <c r="M1996" s="171" t="s">
        <v>2379</v>
      </c>
      <c r="N1996" s="170"/>
      <c r="O1996" s="170"/>
      <c r="P1996" s="170"/>
    </row>
    <row r="1997" spans="1:16" x14ac:dyDescent="0.25">
      <c r="A1997" s="168"/>
      <c r="B1997" s="174">
        <v>102419338</v>
      </c>
      <c r="C1997" s="174" t="s">
        <v>4482</v>
      </c>
      <c r="D1997" s="174" t="s">
        <v>4882</v>
      </c>
      <c r="E1997" s="175" t="s">
        <v>4068</v>
      </c>
      <c r="F1997" s="176" t="s">
        <v>381</v>
      </c>
      <c r="G1997" s="170"/>
      <c r="H1997" s="170"/>
      <c r="I1997" s="170"/>
      <c r="J1997" s="170"/>
      <c r="K1997" s="170"/>
      <c r="L1997" s="168"/>
      <c r="M1997" s="171" t="s">
        <v>2373</v>
      </c>
      <c r="N1997" s="170"/>
      <c r="O1997" s="170"/>
      <c r="P1997" s="170"/>
    </row>
    <row r="1998" spans="1:16" x14ac:dyDescent="0.25">
      <c r="A1998" s="168"/>
      <c r="B1998" s="174">
        <v>102419155</v>
      </c>
      <c r="C1998" s="174" t="s">
        <v>4300</v>
      </c>
      <c r="D1998" s="174" t="s">
        <v>4699</v>
      </c>
      <c r="E1998" s="175" t="s">
        <v>3888</v>
      </c>
      <c r="F1998" s="176" t="s">
        <v>381</v>
      </c>
      <c r="G1998" s="170"/>
      <c r="H1998" s="170"/>
      <c r="I1998" s="170"/>
      <c r="J1998" s="170"/>
      <c r="K1998" s="170"/>
      <c r="L1998" s="168"/>
      <c r="M1998" s="171" t="s">
        <v>2386</v>
      </c>
      <c r="N1998" s="170"/>
      <c r="O1998" s="170"/>
      <c r="P1998" s="170"/>
    </row>
    <row r="1999" spans="1:16" x14ac:dyDescent="0.25">
      <c r="A1999" s="168"/>
      <c r="B1999" s="174">
        <v>102419301</v>
      </c>
      <c r="C1999" s="174" t="s">
        <v>4445</v>
      </c>
      <c r="D1999" s="174" t="s">
        <v>4845</v>
      </c>
      <c r="E1999" s="175" t="s">
        <v>4031</v>
      </c>
      <c r="F1999" s="176" t="s">
        <v>381</v>
      </c>
      <c r="G1999" s="170"/>
      <c r="H1999" s="170"/>
      <c r="I1999" s="170"/>
      <c r="J1999" s="170"/>
      <c r="K1999" s="170"/>
      <c r="L1999" s="168"/>
      <c r="M1999" s="171" t="s">
        <v>2399</v>
      </c>
      <c r="N1999" s="170"/>
      <c r="O1999" s="170"/>
      <c r="P1999" s="170"/>
    </row>
    <row r="2000" spans="1:16" x14ac:dyDescent="0.25">
      <c r="A2000" s="168"/>
      <c r="B2000" s="174">
        <v>102419194</v>
      </c>
      <c r="C2000" s="174" t="s">
        <v>4339</v>
      </c>
      <c r="D2000" s="174" t="s">
        <v>4738</v>
      </c>
      <c r="E2000" s="175" t="s">
        <v>4069</v>
      </c>
      <c r="F2000" s="176" t="s">
        <v>379</v>
      </c>
      <c r="G2000" s="170"/>
      <c r="H2000" s="170"/>
      <c r="I2000" s="170"/>
      <c r="J2000" s="170"/>
      <c r="K2000" s="170"/>
      <c r="L2000" s="168"/>
      <c r="M2000" s="171" t="s">
        <v>2397</v>
      </c>
      <c r="N2000" s="170"/>
      <c r="O2000" s="170"/>
      <c r="P2000" s="170"/>
    </row>
    <row r="2001" spans="1:16" x14ac:dyDescent="0.25">
      <c r="A2001" s="168"/>
      <c r="B2001" s="174">
        <v>102419374</v>
      </c>
      <c r="C2001" s="174" t="s">
        <v>4518</v>
      </c>
      <c r="D2001" s="174" t="s">
        <v>4918</v>
      </c>
      <c r="E2001" s="175" t="s">
        <v>4104</v>
      </c>
      <c r="F2001" s="176" t="s">
        <v>379</v>
      </c>
      <c r="G2001" s="170"/>
      <c r="H2001" s="170"/>
      <c r="I2001" s="170"/>
      <c r="J2001" s="170"/>
      <c r="K2001" s="170"/>
      <c r="L2001" s="168"/>
      <c r="M2001" s="171" t="s">
        <v>2379</v>
      </c>
      <c r="N2001" s="170"/>
      <c r="O2001" s="170"/>
      <c r="P2001" s="170"/>
    </row>
    <row r="2002" spans="1:16" x14ac:dyDescent="0.25">
      <c r="A2002" s="168"/>
      <c r="B2002" s="174">
        <v>102419339</v>
      </c>
      <c r="C2002" s="174" t="s">
        <v>4483</v>
      </c>
      <c r="D2002" s="174" t="s">
        <v>4883</v>
      </c>
      <c r="E2002" s="175" t="s">
        <v>4070</v>
      </c>
      <c r="F2002" s="176" t="s">
        <v>381</v>
      </c>
      <c r="G2002" s="170"/>
      <c r="H2002" s="170"/>
      <c r="I2002" s="170"/>
      <c r="J2002" s="170"/>
      <c r="K2002" s="170"/>
      <c r="L2002" s="168"/>
      <c r="M2002" s="171" t="s">
        <v>2373</v>
      </c>
      <c r="N2002" s="170"/>
      <c r="O2002" s="170"/>
      <c r="P2002" s="170"/>
    </row>
    <row r="2003" spans="1:16" x14ac:dyDescent="0.25">
      <c r="A2003" s="168"/>
      <c r="B2003" s="174">
        <v>102419262</v>
      </c>
      <c r="C2003" s="174" t="s">
        <v>4406</v>
      </c>
      <c r="D2003" s="174" t="s">
        <v>4806</v>
      </c>
      <c r="E2003" s="175" t="s">
        <v>3992</v>
      </c>
      <c r="F2003" s="176" t="s">
        <v>379</v>
      </c>
      <c r="G2003" s="170"/>
      <c r="H2003" s="170"/>
      <c r="I2003" s="170"/>
      <c r="J2003" s="170"/>
      <c r="K2003" s="170"/>
      <c r="L2003" s="168"/>
      <c r="M2003" s="171" t="s">
        <v>2371</v>
      </c>
      <c r="N2003" s="170"/>
      <c r="O2003" s="170"/>
      <c r="P2003" s="170"/>
    </row>
    <row r="2004" spans="1:16" x14ac:dyDescent="0.25">
      <c r="A2004" s="168"/>
      <c r="B2004" s="174">
        <v>102419411</v>
      </c>
      <c r="C2004" s="174" t="s">
        <v>4555</v>
      </c>
      <c r="D2004" s="174" t="s">
        <v>4955</v>
      </c>
      <c r="E2004" s="175" t="s">
        <v>4141</v>
      </c>
      <c r="F2004" s="176" t="s">
        <v>379</v>
      </c>
      <c r="G2004" s="170"/>
      <c r="H2004" s="170"/>
      <c r="I2004" s="170"/>
      <c r="J2004" s="170"/>
      <c r="K2004" s="170"/>
      <c r="L2004" s="168"/>
      <c r="M2004" s="171" t="s">
        <v>2377</v>
      </c>
      <c r="N2004" s="170"/>
      <c r="O2004" s="170"/>
      <c r="P2004" s="170"/>
    </row>
    <row r="2005" spans="1:16" x14ac:dyDescent="0.25">
      <c r="A2005" s="168"/>
      <c r="B2005" s="174">
        <v>102419302</v>
      </c>
      <c r="C2005" s="174" t="s">
        <v>4446</v>
      </c>
      <c r="D2005" s="174" t="s">
        <v>4846</v>
      </c>
      <c r="E2005" s="175" t="s">
        <v>4032</v>
      </c>
      <c r="F2005" s="176" t="s">
        <v>381</v>
      </c>
      <c r="G2005" s="170"/>
      <c r="H2005" s="170"/>
      <c r="I2005" s="170"/>
      <c r="J2005" s="170"/>
      <c r="K2005" s="170"/>
      <c r="L2005" s="168"/>
      <c r="M2005" s="171" t="s">
        <v>2399</v>
      </c>
      <c r="N2005" s="170"/>
      <c r="O2005" s="170"/>
      <c r="P2005" s="170"/>
    </row>
    <row r="2006" spans="1:16" x14ac:dyDescent="0.25">
      <c r="A2006" s="168"/>
      <c r="B2006" s="174">
        <v>102419340</v>
      </c>
      <c r="C2006" s="174" t="s">
        <v>4484</v>
      </c>
      <c r="D2006" s="174" t="s">
        <v>4884</v>
      </c>
      <c r="E2006" s="175" t="s">
        <v>4071</v>
      </c>
      <c r="F2006" s="176" t="s">
        <v>381</v>
      </c>
      <c r="G2006" s="170"/>
      <c r="H2006" s="170"/>
      <c r="I2006" s="170"/>
      <c r="J2006" s="170"/>
      <c r="K2006" s="170"/>
      <c r="L2006" s="168"/>
      <c r="M2006" s="171" t="s">
        <v>2373</v>
      </c>
      <c r="N2006" s="170"/>
      <c r="O2006" s="170"/>
      <c r="P2006" s="170"/>
    </row>
    <row r="2007" spans="1:16" x14ac:dyDescent="0.25">
      <c r="A2007" s="168"/>
      <c r="B2007" s="174">
        <v>102419303</v>
      </c>
      <c r="C2007" s="174" t="s">
        <v>4447</v>
      </c>
      <c r="D2007" s="174" t="s">
        <v>4847</v>
      </c>
      <c r="E2007" s="175" t="s">
        <v>4033</v>
      </c>
      <c r="F2007" s="176" t="s">
        <v>381</v>
      </c>
      <c r="G2007" s="170"/>
      <c r="H2007" s="170"/>
      <c r="I2007" s="170"/>
      <c r="J2007" s="170"/>
      <c r="K2007" s="170"/>
      <c r="L2007" s="168"/>
      <c r="M2007" s="171" t="s">
        <v>2399</v>
      </c>
      <c r="N2007" s="170"/>
      <c r="O2007" s="170"/>
      <c r="P2007" s="170"/>
    </row>
    <row r="2008" spans="1:16" x14ac:dyDescent="0.25">
      <c r="A2008" s="168"/>
      <c r="B2008" s="174">
        <v>102419375</v>
      </c>
      <c r="C2008" s="174" t="s">
        <v>4519</v>
      </c>
      <c r="D2008" s="174" t="s">
        <v>4919</v>
      </c>
      <c r="E2008" s="175" t="s">
        <v>4105</v>
      </c>
      <c r="F2008" s="176" t="s">
        <v>381</v>
      </c>
      <c r="G2008" s="170"/>
      <c r="H2008" s="170"/>
      <c r="I2008" s="170"/>
      <c r="J2008" s="170"/>
      <c r="K2008" s="170"/>
      <c r="L2008" s="168"/>
      <c r="M2008" s="171" t="s">
        <v>2379</v>
      </c>
      <c r="N2008" s="170"/>
      <c r="O2008" s="170"/>
      <c r="P2008" s="170"/>
    </row>
    <row r="2009" spans="1:16" x14ac:dyDescent="0.25">
      <c r="A2009" s="168"/>
      <c r="B2009" s="174">
        <v>102419263</v>
      </c>
      <c r="C2009" s="174" t="s">
        <v>4407</v>
      </c>
      <c r="D2009" s="174" t="s">
        <v>4807</v>
      </c>
      <c r="E2009" s="175" t="s">
        <v>3993</v>
      </c>
      <c r="F2009" s="176" t="s">
        <v>381</v>
      </c>
      <c r="G2009" s="170"/>
      <c r="H2009" s="170"/>
      <c r="I2009" s="170"/>
      <c r="J2009" s="170"/>
      <c r="K2009" s="170"/>
      <c r="L2009" s="168"/>
      <c r="M2009" s="171" t="s">
        <v>2371</v>
      </c>
      <c r="N2009" s="170"/>
      <c r="O2009" s="170"/>
      <c r="P2009" s="170"/>
    </row>
    <row r="2010" spans="1:16" x14ac:dyDescent="0.25">
      <c r="A2010" s="168"/>
      <c r="B2010" s="174">
        <v>102419156</v>
      </c>
      <c r="C2010" s="174" t="s">
        <v>4301</v>
      </c>
      <c r="D2010" s="174" t="s">
        <v>4700</v>
      </c>
      <c r="E2010" s="175" t="s">
        <v>3889</v>
      </c>
      <c r="F2010" s="176" t="s">
        <v>381</v>
      </c>
      <c r="G2010" s="170"/>
      <c r="H2010" s="170"/>
      <c r="I2010" s="170"/>
      <c r="J2010" s="170"/>
      <c r="K2010" s="170"/>
      <c r="L2010" s="168"/>
      <c r="M2010" s="171" t="s">
        <v>2386</v>
      </c>
      <c r="N2010" s="170"/>
      <c r="O2010" s="170"/>
      <c r="P2010" s="170"/>
    </row>
    <row r="2011" spans="1:16" x14ac:dyDescent="0.25">
      <c r="A2011" s="168"/>
      <c r="B2011" s="174">
        <v>102419264</v>
      </c>
      <c r="C2011" s="174" t="s">
        <v>4408</v>
      </c>
      <c r="D2011" s="174" t="s">
        <v>4808</v>
      </c>
      <c r="E2011" s="175" t="s">
        <v>3994</v>
      </c>
      <c r="F2011" s="176" t="s">
        <v>381</v>
      </c>
      <c r="G2011" s="170"/>
      <c r="H2011" s="170"/>
      <c r="I2011" s="170"/>
      <c r="J2011" s="170"/>
      <c r="K2011" s="170"/>
      <c r="L2011" s="168"/>
      <c r="M2011" s="171" t="s">
        <v>2371</v>
      </c>
      <c r="N2011" s="170"/>
      <c r="O2011" s="170"/>
      <c r="P2011" s="170"/>
    </row>
    <row r="2012" spans="1:16" x14ac:dyDescent="0.25">
      <c r="A2012" s="168"/>
      <c r="B2012" s="174">
        <v>102419341</v>
      </c>
      <c r="C2012" s="174" t="s">
        <v>4485</v>
      </c>
      <c r="D2012" s="174" t="s">
        <v>4885</v>
      </c>
      <c r="E2012" s="175" t="s">
        <v>4072</v>
      </c>
      <c r="F2012" s="176" t="s">
        <v>381</v>
      </c>
      <c r="G2012" s="170"/>
      <c r="H2012" s="170"/>
      <c r="I2012" s="170"/>
      <c r="J2012" s="170"/>
      <c r="K2012" s="170"/>
      <c r="L2012" s="168"/>
      <c r="M2012" s="171" t="s">
        <v>2373</v>
      </c>
      <c r="N2012" s="170"/>
      <c r="O2012" s="170"/>
      <c r="P2012" s="170"/>
    </row>
    <row r="2013" spans="1:16" x14ac:dyDescent="0.25">
      <c r="A2013" s="168"/>
      <c r="B2013" s="174">
        <v>102419195</v>
      </c>
      <c r="C2013" s="174" t="s">
        <v>4340</v>
      </c>
      <c r="D2013" s="174" t="s">
        <v>4739</v>
      </c>
      <c r="E2013" s="175" t="s">
        <v>3925</v>
      </c>
      <c r="F2013" s="176" t="s">
        <v>381</v>
      </c>
      <c r="G2013" s="170"/>
      <c r="H2013" s="170"/>
      <c r="I2013" s="170"/>
      <c r="J2013" s="170"/>
      <c r="K2013" s="170"/>
      <c r="L2013" s="168"/>
      <c r="M2013" s="171" t="s">
        <v>2397</v>
      </c>
      <c r="N2013" s="170"/>
      <c r="O2013" s="170"/>
      <c r="P2013" s="170"/>
    </row>
    <row r="2014" spans="1:16" x14ac:dyDescent="0.25">
      <c r="A2014" s="168"/>
      <c r="B2014" s="174">
        <v>102419444</v>
      </c>
      <c r="C2014" s="174" t="s">
        <v>4588</v>
      </c>
      <c r="D2014" s="174" t="s">
        <v>4988</v>
      </c>
      <c r="E2014" s="175" t="s">
        <v>4239</v>
      </c>
      <c r="F2014" s="176" t="s">
        <v>379</v>
      </c>
      <c r="G2014" s="170"/>
      <c r="H2014" s="170"/>
      <c r="I2014" s="170"/>
      <c r="J2014" s="170"/>
      <c r="K2014" s="170"/>
      <c r="L2014" s="168"/>
      <c r="M2014" s="171" t="s">
        <v>2375</v>
      </c>
      <c r="N2014" s="170"/>
      <c r="O2014" s="170"/>
      <c r="P2014" s="170"/>
    </row>
    <row r="2015" spans="1:16" x14ac:dyDescent="0.25">
      <c r="A2015" s="168"/>
      <c r="B2015" s="174">
        <v>102419304</v>
      </c>
      <c r="C2015" s="174" t="s">
        <v>4448</v>
      </c>
      <c r="D2015" s="174" t="s">
        <v>4848</v>
      </c>
      <c r="E2015" s="175" t="s">
        <v>4034</v>
      </c>
      <c r="F2015" s="176" t="s">
        <v>379</v>
      </c>
      <c r="G2015" s="170"/>
      <c r="H2015" s="170"/>
      <c r="I2015" s="170"/>
      <c r="J2015" s="170"/>
      <c r="K2015" s="170"/>
      <c r="L2015" s="168"/>
      <c r="M2015" s="171" t="s">
        <v>2399</v>
      </c>
      <c r="N2015" s="170"/>
      <c r="O2015" s="170"/>
      <c r="P2015" s="170"/>
    </row>
    <row r="2016" spans="1:16" x14ac:dyDescent="0.25">
      <c r="A2016" s="168"/>
      <c r="B2016" s="174">
        <v>102419445</v>
      </c>
      <c r="C2016" s="174" t="s">
        <v>4589</v>
      </c>
      <c r="D2016" s="174" t="s">
        <v>4989</v>
      </c>
      <c r="E2016" s="175" t="s">
        <v>4240</v>
      </c>
      <c r="F2016" s="176" t="s">
        <v>381</v>
      </c>
      <c r="G2016" s="170"/>
      <c r="H2016" s="170"/>
      <c r="I2016" s="170"/>
      <c r="J2016" s="170"/>
      <c r="K2016" s="170"/>
      <c r="L2016" s="168"/>
      <c r="M2016" s="171" t="s">
        <v>2375</v>
      </c>
      <c r="N2016" s="170"/>
      <c r="O2016" s="170"/>
      <c r="P2016" s="170"/>
    </row>
    <row r="2017" spans="1:16" x14ac:dyDescent="0.25">
      <c r="A2017" s="168"/>
      <c r="B2017" s="174">
        <v>102419230</v>
      </c>
      <c r="C2017" s="174" t="s">
        <v>4374</v>
      </c>
      <c r="D2017" s="174" t="s">
        <v>4774</v>
      </c>
      <c r="E2017" s="175" t="s">
        <v>3960</v>
      </c>
      <c r="F2017" s="176" t="s">
        <v>381</v>
      </c>
      <c r="G2017" s="170"/>
      <c r="H2017" s="170"/>
      <c r="I2017" s="170"/>
      <c r="J2017" s="170"/>
      <c r="K2017" s="170"/>
      <c r="L2017" s="168"/>
      <c r="M2017" s="171" t="s">
        <v>2389</v>
      </c>
      <c r="N2017" s="170"/>
      <c r="O2017" s="170"/>
      <c r="P2017" s="170"/>
    </row>
    <row r="2018" spans="1:16" x14ac:dyDescent="0.25">
      <c r="A2018" s="168"/>
      <c r="B2018" s="174">
        <v>102419305</v>
      </c>
      <c r="C2018" s="174" t="s">
        <v>4449</v>
      </c>
      <c r="D2018" s="174" t="s">
        <v>4849</v>
      </c>
      <c r="E2018" s="175" t="s">
        <v>4035</v>
      </c>
      <c r="F2018" s="176" t="s">
        <v>381</v>
      </c>
      <c r="G2018" s="170"/>
      <c r="H2018" s="170"/>
      <c r="I2018" s="170"/>
      <c r="J2018" s="170"/>
      <c r="K2018" s="170"/>
      <c r="L2018" s="168"/>
      <c r="M2018" s="171" t="s">
        <v>2399</v>
      </c>
      <c r="N2018" s="170"/>
      <c r="O2018" s="170"/>
      <c r="P2018" s="170"/>
    </row>
    <row r="2019" spans="1:16" x14ac:dyDescent="0.25">
      <c r="A2019" s="168"/>
      <c r="B2019" s="174">
        <v>102419196</v>
      </c>
      <c r="C2019" s="174" t="s">
        <v>4341</v>
      </c>
      <c r="D2019" s="174" t="s">
        <v>4740</v>
      </c>
      <c r="E2019" s="175" t="s">
        <v>3926</v>
      </c>
      <c r="F2019" s="176" t="s">
        <v>381</v>
      </c>
      <c r="G2019" s="170"/>
      <c r="H2019" s="170"/>
      <c r="I2019" s="170"/>
      <c r="J2019" s="170"/>
      <c r="K2019" s="170"/>
      <c r="L2019" s="168"/>
      <c r="M2019" s="171" t="s">
        <v>2397</v>
      </c>
      <c r="N2019" s="170"/>
      <c r="O2019" s="170"/>
      <c r="P2019" s="170"/>
    </row>
    <row r="2020" spans="1:16" x14ac:dyDescent="0.25">
      <c r="A2020" s="168"/>
      <c r="B2020" s="174">
        <v>102419446</v>
      </c>
      <c r="C2020" s="174" t="s">
        <v>4590</v>
      </c>
      <c r="D2020" s="174" t="s">
        <v>4990</v>
      </c>
      <c r="E2020" s="175" t="s">
        <v>4241</v>
      </c>
      <c r="F2020" s="176" t="s">
        <v>381</v>
      </c>
      <c r="G2020" s="170"/>
      <c r="H2020" s="170"/>
      <c r="I2020" s="170"/>
      <c r="J2020" s="170"/>
      <c r="K2020" s="170"/>
      <c r="L2020" s="168"/>
      <c r="M2020" s="171" t="s">
        <v>2375</v>
      </c>
      <c r="N2020" s="170"/>
      <c r="O2020" s="170"/>
      <c r="P2020" s="170"/>
    </row>
    <row r="2021" spans="1:16" x14ac:dyDescent="0.25">
      <c r="A2021" s="168"/>
      <c r="B2021" s="174">
        <v>102419265</v>
      </c>
      <c r="C2021" s="174" t="s">
        <v>4409</v>
      </c>
      <c r="D2021" s="174" t="s">
        <v>4809</v>
      </c>
      <c r="E2021" s="175" t="s">
        <v>3995</v>
      </c>
      <c r="F2021" s="176" t="s">
        <v>381</v>
      </c>
      <c r="G2021" s="170"/>
      <c r="H2021" s="170"/>
      <c r="I2021" s="170"/>
      <c r="J2021" s="170"/>
      <c r="K2021" s="170"/>
      <c r="L2021" s="168"/>
      <c r="M2021" s="171" t="s">
        <v>2371</v>
      </c>
      <c r="N2021" s="170"/>
      <c r="O2021" s="170"/>
      <c r="P2021" s="170"/>
    </row>
    <row r="2022" spans="1:16" x14ac:dyDescent="0.25">
      <c r="A2022" s="168"/>
      <c r="B2022" s="174">
        <v>102419376</v>
      </c>
      <c r="C2022" s="174" t="s">
        <v>4520</v>
      </c>
      <c r="D2022" s="174" t="s">
        <v>4920</v>
      </c>
      <c r="E2022" s="175" t="s">
        <v>4106</v>
      </c>
      <c r="F2022" s="176" t="s">
        <v>381</v>
      </c>
      <c r="G2022" s="170"/>
      <c r="H2022" s="170"/>
      <c r="I2022" s="170"/>
      <c r="J2022" s="170"/>
      <c r="K2022" s="170"/>
      <c r="L2022" s="168"/>
      <c r="M2022" s="171" t="s">
        <v>2379</v>
      </c>
      <c r="N2022" s="170"/>
      <c r="O2022" s="170"/>
      <c r="P2022" s="170"/>
    </row>
    <row r="2023" spans="1:16" x14ac:dyDescent="0.25">
      <c r="A2023" s="168"/>
      <c r="B2023" s="174">
        <v>102419157</v>
      </c>
      <c r="C2023" s="174" t="s">
        <v>4302</v>
      </c>
      <c r="D2023" s="174" t="s">
        <v>4701</v>
      </c>
      <c r="E2023" s="175" t="s">
        <v>3890</v>
      </c>
      <c r="F2023" s="176" t="s">
        <v>381</v>
      </c>
      <c r="G2023" s="170"/>
      <c r="H2023" s="170"/>
      <c r="I2023" s="170"/>
      <c r="J2023" s="170"/>
      <c r="K2023" s="170"/>
      <c r="L2023" s="168"/>
      <c r="M2023" s="171" t="s">
        <v>2386</v>
      </c>
      <c r="N2023" s="170"/>
      <c r="O2023" s="170"/>
      <c r="P2023" s="170"/>
    </row>
    <row r="2024" spans="1:16" x14ac:dyDescent="0.25">
      <c r="A2024" s="168"/>
      <c r="B2024" s="174">
        <v>102419197</v>
      </c>
      <c r="C2024" s="174" t="s">
        <v>4342</v>
      </c>
      <c r="D2024" s="174" t="s">
        <v>4741</v>
      </c>
      <c r="E2024" s="175" t="s">
        <v>3927</v>
      </c>
      <c r="F2024" s="176" t="s">
        <v>381</v>
      </c>
      <c r="G2024" s="170"/>
      <c r="H2024" s="170"/>
      <c r="I2024" s="170"/>
      <c r="J2024" s="170"/>
      <c r="K2024" s="170"/>
      <c r="L2024" s="168"/>
      <c r="M2024" s="171" t="s">
        <v>2397</v>
      </c>
      <c r="N2024" s="170"/>
      <c r="O2024" s="170"/>
      <c r="P2024" s="170"/>
    </row>
    <row r="2025" spans="1:16" x14ac:dyDescent="0.25">
      <c r="A2025" s="168"/>
      <c r="B2025" s="174">
        <v>102419158</v>
      </c>
      <c r="C2025" s="174" t="s">
        <v>4303</v>
      </c>
      <c r="D2025" s="174" t="s">
        <v>4702</v>
      </c>
      <c r="E2025" s="175" t="s">
        <v>3891</v>
      </c>
      <c r="F2025" s="176" t="s">
        <v>381</v>
      </c>
      <c r="G2025" s="170"/>
      <c r="H2025" s="170"/>
      <c r="I2025" s="170"/>
      <c r="J2025" s="170"/>
      <c r="K2025" s="170"/>
      <c r="L2025" s="168"/>
      <c r="M2025" s="171" t="s">
        <v>2386</v>
      </c>
      <c r="N2025" s="170"/>
      <c r="O2025" s="170"/>
      <c r="P2025" s="170"/>
    </row>
    <row r="2026" spans="1:16" x14ac:dyDescent="0.25">
      <c r="A2026" s="168"/>
      <c r="B2026" s="174">
        <v>102419508</v>
      </c>
      <c r="C2026" s="174" t="s">
        <v>4651</v>
      </c>
      <c r="D2026" s="174" t="s">
        <v>5052</v>
      </c>
      <c r="E2026" s="175" t="s">
        <v>4168</v>
      </c>
      <c r="F2026" s="176" t="s">
        <v>379</v>
      </c>
      <c r="G2026" s="170"/>
      <c r="H2026" s="170"/>
      <c r="I2026" s="170"/>
      <c r="J2026" s="170"/>
      <c r="K2026" s="170"/>
      <c r="L2026" s="168"/>
      <c r="M2026" s="171" t="s">
        <v>2402</v>
      </c>
      <c r="N2026" s="170"/>
      <c r="O2026" s="170"/>
      <c r="P2026" s="170"/>
    </row>
    <row r="2027" spans="1:16" x14ac:dyDescent="0.25">
      <c r="A2027" s="168"/>
      <c r="B2027" s="174">
        <v>102419480</v>
      </c>
      <c r="C2027" s="174" t="s">
        <v>4624</v>
      </c>
      <c r="D2027" s="174" t="s">
        <v>5024</v>
      </c>
      <c r="E2027" s="175" t="s">
        <v>4208</v>
      </c>
      <c r="F2027" s="176" t="s">
        <v>379</v>
      </c>
      <c r="G2027" s="170"/>
      <c r="H2027" s="170"/>
      <c r="I2027" s="170"/>
      <c r="J2027" s="170"/>
      <c r="K2027" s="170"/>
      <c r="L2027" s="168"/>
      <c r="M2027" s="171" t="s">
        <v>2383</v>
      </c>
      <c r="N2027" s="170"/>
      <c r="O2027" s="170"/>
      <c r="P2027" s="170"/>
    </row>
    <row r="2028" spans="1:16" x14ac:dyDescent="0.25">
      <c r="A2028" s="168"/>
      <c r="B2028" s="174">
        <v>102419377</v>
      </c>
      <c r="C2028" s="174" t="s">
        <v>4521</v>
      </c>
      <c r="D2028" s="174" t="s">
        <v>4921</v>
      </c>
      <c r="E2028" s="175" t="s">
        <v>4107</v>
      </c>
      <c r="F2028" s="176" t="s">
        <v>379</v>
      </c>
      <c r="G2028" s="170"/>
      <c r="H2028" s="170"/>
      <c r="I2028" s="170"/>
      <c r="J2028" s="170"/>
      <c r="K2028" s="170"/>
      <c r="L2028" s="168"/>
      <c r="M2028" s="171" t="s">
        <v>2379</v>
      </c>
      <c r="N2028" s="170"/>
      <c r="O2028" s="170"/>
      <c r="P2028" s="170"/>
    </row>
    <row r="2029" spans="1:16" x14ac:dyDescent="0.25">
      <c r="A2029" s="168"/>
      <c r="B2029" s="174">
        <v>102419481</v>
      </c>
      <c r="C2029" s="174" t="s">
        <v>4625</v>
      </c>
      <c r="D2029" s="174" t="s">
        <v>5025</v>
      </c>
      <c r="E2029" s="175" t="s">
        <v>4209</v>
      </c>
      <c r="F2029" s="176" t="s">
        <v>379</v>
      </c>
      <c r="G2029" s="170"/>
      <c r="H2029" s="170"/>
      <c r="I2029" s="170"/>
      <c r="J2029" s="170"/>
      <c r="K2029" s="170"/>
      <c r="L2029" s="168"/>
      <c r="M2029" s="171" t="s">
        <v>2383</v>
      </c>
      <c r="N2029" s="170"/>
      <c r="O2029" s="170"/>
      <c r="P2029" s="170"/>
    </row>
    <row r="2030" spans="1:16" x14ac:dyDescent="0.25">
      <c r="A2030" s="168"/>
      <c r="B2030" s="174">
        <v>102419447</v>
      </c>
      <c r="C2030" s="174" t="s">
        <v>4591</v>
      </c>
      <c r="D2030" s="174" t="s">
        <v>4991</v>
      </c>
      <c r="E2030" s="175" t="s">
        <v>4242</v>
      </c>
      <c r="F2030" s="176" t="s">
        <v>379</v>
      </c>
      <c r="G2030" s="170"/>
      <c r="H2030" s="170"/>
      <c r="I2030" s="170"/>
      <c r="J2030" s="170"/>
      <c r="K2030" s="170"/>
      <c r="L2030" s="168"/>
      <c r="M2030" s="171" t="s">
        <v>2375</v>
      </c>
      <c r="N2030" s="170"/>
      <c r="O2030" s="170"/>
      <c r="P2030" s="170"/>
    </row>
    <row r="2031" spans="1:16" x14ac:dyDescent="0.25">
      <c r="A2031" s="168"/>
      <c r="B2031" s="174">
        <v>102419509</v>
      </c>
      <c r="C2031" s="174" t="s">
        <v>4652</v>
      </c>
      <c r="D2031" s="174" t="s">
        <v>5053</v>
      </c>
      <c r="E2031" s="175" t="s">
        <v>4169</v>
      </c>
      <c r="F2031" s="176" t="s">
        <v>379</v>
      </c>
      <c r="G2031" s="170"/>
      <c r="H2031" s="170"/>
      <c r="I2031" s="170"/>
      <c r="J2031" s="170"/>
      <c r="K2031" s="170"/>
      <c r="L2031" s="168"/>
      <c r="M2031" s="171" t="s">
        <v>2402</v>
      </c>
      <c r="N2031" s="170"/>
      <c r="O2031" s="170"/>
      <c r="P2031" s="170"/>
    </row>
    <row r="2032" spans="1:16" x14ac:dyDescent="0.25">
      <c r="A2032" s="168"/>
      <c r="B2032" s="174">
        <v>102419231</v>
      </c>
      <c r="C2032" s="174" t="s">
        <v>4375</v>
      </c>
      <c r="D2032" s="174" t="s">
        <v>4775</v>
      </c>
      <c r="E2032" s="175" t="s">
        <v>3961</v>
      </c>
      <c r="F2032" s="176" t="s">
        <v>379</v>
      </c>
      <c r="G2032" s="170"/>
      <c r="H2032" s="170"/>
      <c r="I2032" s="170"/>
      <c r="J2032" s="170"/>
      <c r="K2032" s="170"/>
      <c r="L2032" s="168"/>
      <c r="M2032" s="171" t="s">
        <v>2389</v>
      </c>
      <c r="N2032" s="170"/>
      <c r="O2032" s="170"/>
      <c r="P2032" s="170"/>
    </row>
    <row r="2033" spans="1:16" x14ac:dyDescent="0.25">
      <c r="A2033" s="168"/>
      <c r="B2033" s="174">
        <v>102419510</v>
      </c>
      <c r="C2033" s="174" t="s">
        <v>4653</v>
      </c>
      <c r="D2033" s="174" t="s">
        <v>5054</v>
      </c>
      <c r="E2033" s="175" t="s">
        <v>4170</v>
      </c>
      <c r="F2033" s="176" t="s">
        <v>379</v>
      </c>
      <c r="G2033" s="170"/>
      <c r="H2033" s="170"/>
      <c r="I2033" s="170"/>
      <c r="J2033" s="170"/>
      <c r="K2033" s="170"/>
      <c r="L2033" s="168"/>
      <c r="M2033" s="171" t="s">
        <v>2402</v>
      </c>
      <c r="N2033" s="170"/>
      <c r="O2033" s="170"/>
      <c r="P2033" s="170"/>
    </row>
    <row r="2034" spans="1:16" x14ac:dyDescent="0.25">
      <c r="A2034" s="168"/>
      <c r="B2034" s="174">
        <v>102419482</v>
      </c>
      <c r="C2034" s="174" t="s">
        <v>4626</v>
      </c>
      <c r="D2034" s="174" t="s">
        <v>5026</v>
      </c>
      <c r="E2034" s="175" t="s">
        <v>4210</v>
      </c>
      <c r="F2034" s="176" t="s">
        <v>379</v>
      </c>
      <c r="G2034" s="170"/>
      <c r="H2034" s="170"/>
      <c r="I2034" s="170"/>
      <c r="J2034" s="170"/>
      <c r="K2034" s="170"/>
      <c r="L2034" s="168"/>
      <c r="M2034" s="171" t="s">
        <v>2383</v>
      </c>
      <c r="N2034" s="170"/>
      <c r="O2034" s="170"/>
      <c r="P2034" s="170"/>
    </row>
    <row r="2035" spans="1:16" x14ac:dyDescent="0.25">
      <c r="A2035" s="168"/>
      <c r="B2035" s="174">
        <v>102419483</v>
      </c>
      <c r="C2035" s="174" t="s">
        <v>4627</v>
      </c>
      <c r="D2035" s="174" t="s">
        <v>5027</v>
      </c>
      <c r="E2035" s="175" t="s">
        <v>4211</v>
      </c>
      <c r="F2035" s="176" t="s">
        <v>379</v>
      </c>
      <c r="G2035" s="170"/>
      <c r="H2035" s="170"/>
      <c r="I2035" s="170"/>
      <c r="J2035" s="170"/>
      <c r="K2035" s="170"/>
      <c r="L2035" s="168"/>
      <c r="M2035" s="171" t="s">
        <v>2383</v>
      </c>
      <c r="N2035" s="170"/>
      <c r="O2035" s="170"/>
      <c r="P2035" s="170"/>
    </row>
    <row r="2036" spans="1:16" x14ac:dyDescent="0.25">
      <c r="A2036" s="168"/>
      <c r="B2036" s="174">
        <v>102419378</v>
      </c>
      <c r="C2036" s="174" t="s">
        <v>4522</v>
      </c>
      <c r="D2036" s="174" t="s">
        <v>4922</v>
      </c>
      <c r="E2036" s="175" t="s">
        <v>4108</v>
      </c>
      <c r="F2036" s="176" t="s">
        <v>381</v>
      </c>
      <c r="G2036" s="170"/>
      <c r="H2036" s="170"/>
      <c r="I2036" s="170"/>
      <c r="J2036" s="170"/>
      <c r="K2036" s="170"/>
      <c r="L2036" s="168"/>
      <c r="M2036" s="171" t="s">
        <v>2379</v>
      </c>
      <c r="N2036" s="170"/>
      <c r="O2036" s="170"/>
      <c r="P2036" s="170"/>
    </row>
    <row r="2037" spans="1:16" x14ac:dyDescent="0.25">
      <c r="A2037" s="168"/>
      <c r="B2037" s="174">
        <v>102419306</v>
      </c>
      <c r="C2037" s="174" t="s">
        <v>4450</v>
      </c>
      <c r="D2037" s="174" t="s">
        <v>4850</v>
      </c>
      <c r="E2037" s="175" t="s">
        <v>4036</v>
      </c>
      <c r="F2037" s="176" t="s">
        <v>381</v>
      </c>
      <c r="G2037" s="170"/>
      <c r="H2037" s="170"/>
      <c r="I2037" s="170"/>
      <c r="J2037" s="170"/>
      <c r="K2037" s="170"/>
      <c r="L2037" s="168"/>
      <c r="M2037" s="171" t="s">
        <v>2399</v>
      </c>
      <c r="N2037" s="170"/>
      <c r="O2037" s="170"/>
      <c r="P2037" s="170"/>
    </row>
    <row r="2038" spans="1:16" x14ac:dyDescent="0.25">
      <c r="A2038" s="168"/>
      <c r="B2038" s="174">
        <v>102419342</v>
      </c>
      <c r="C2038" s="174" t="s">
        <v>4486</v>
      </c>
      <c r="D2038" s="174" t="s">
        <v>4886</v>
      </c>
      <c r="E2038" s="175" t="s">
        <v>4073</v>
      </c>
      <c r="F2038" s="176" t="s">
        <v>381</v>
      </c>
      <c r="G2038" s="170"/>
      <c r="H2038" s="170"/>
      <c r="I2038" s="170"/>
      <c r="J2038" s="170"/>
      <c r="K2038" s="170"/>
      <c r="L2038" s="168"/>
      <c r="M2038" s="171" t="s">
        <v>2373</v>
      </c>
      <c r="N2038" s="170"/>
      <c r="O2038" s="170"/>
      <c r="P2038" s="170"/>
    </row>
    <row r="2039" spans="1:16" x14ac:dyDescent="0.25">
      <c r="A2039" s="168"/>
      <c r="B2039" s="174">
        <v>102419198</v>
      </c>
      <c r="C2039" s="174" t="s">
        <v>4343</v>
      </c>
      <c r="D2039" s="174" t="s">
        <v>4742</v>
      </c>
      <c r="E2039" s="175" t="s">
        <v>3928</v>
      </c>
      <c r="F2039" s="176" t="s">
        <v>381</v>
      </c>
      <c r="G2039" s="170"/>
      <c r="H2039" s="170"/>
      <c r="I2039" s="170"/>
      <c r="J2039" s="170"/>
      <c r="K2039" s="170"/>
      <c r="L2039" s="168"/>
      <c r="M2039" s="171" t="s">
        <v>2397</v>
      </c>
      <c r="N2039" s="170"/>
      <c r="O2039" s="170"/>
      <c r="P2039" s="170"/>
    </row>
    <row r="2040" spans="1:16" x14ac:dyDescent="0.25">
      <c r="A2040" s="168"/>
      <c r="B2040" s="174">
        <v>102419484</v>
      </c>
      <c r="C2040" s="174" t="s">
        <v>4628</v>
      </c>
      <c r="D2040" s="174" t="s">
        <v>5028</v>
      </c>
      <c r="E2040" s="175" t="s">
        <v>4212</v>
      </c>
      <c r="F2040" s="176" t="s">
        <v>379</v>
      </c>
      <c r="G2040" s="170"/>
      <c r="H2040" s="170"/>
      <c r="I2040" s="170"/>
      <c r="J2040" s="170"/>
      <c r="K2040" s="170"/>
      <c r="L2040" s="168"/>
      <c r="M2040" s="171" t="s">
        <v>2383</v>
      </c>
      <c r="N2040" s="170"/>
      <c r="O2040" s="170"/>
      <c r="P2040" s="170"/>
    </row>
    <row r="2041" spans="1:16" x14ac:dyDescent="0.25">
      <c r="A2041" s="168"/>
      <c r="B2041" s="174">
        <v>102419448</v>
      </c>
      <c r="C2041" s="174" t="s">
        <v>4592</v>
      </c>
      <c r="D2041" s="174" t="s">
        <v>4992</v>
      </c>
      <c r="E2041" s="175" t="s">
        <v>4243</v>
      </c>
      <c r="F2041" s="176" t="s">
        <v>379</v>
      </c>
      <c r="G2041" s="170"/>
      <c r="H2041" s="170"/>
      <c r="I2041" s="170"/>
      <c r="J2041" s="170"/>
      <c r="K2041" s="170"/>
      <c r="L2041" s="168"/>
      <c r="M2041" s="171" t="s">
        <v>2375</v>
      </c>
      <c r="N2041" s="170"/>
      <c r="O2041" s="170"/>
      <c r="P2041" s="170"/>
    </row>
    <row r="2042" spans="1:16" x14ac:dyDescent="0.25">
      <c r="A2042" s="168"/>
      <c r="B2042" s="174">
        <v>102419449</v>
      </c>
      <c r="C2042" s="174" t="s">
        <v>4593</v>
      </c>
      <c r="D2042" s="174" t="s">
        <v>4993</v>
      </c>
      <c r="E2042" s="175" t="s">
        <v>4213</v>
      </c>
      <c r="F2042" s="176" t="s">
        <v>379</v>
      </c>
      <c r="G2042" s="170"/>
      <c r="H2042" s="170"/>
      <c r="I2042" s="170"/>
      <c r="J2042" s="170"/>
      <c r="K2042" s="170"/>
      <c r="L2042" s="168"/>
      <c r="M2042" s="171" t="s">
        <v>2375</v>
      </c>
      <c r="N2042" s="170"/>
      <c r="O2042" s="170"/>
      <c r="P2042" s="170"/>
    </row>
    <row r="2043" spans="1:16" x14ac:dyDescent="0.25">
      <c r="A2043" s="168"/>
      <c r="B2043" s="174">
        <v>102419412</v>
      </c>
      <c r="C2043" s="174" t="s">
        <v>4556</v>
      </c>
      <c r="D2043" s="174" t="s">
        <v>4956</v>
      </c>
      <c r="E2043" s="175" t="s">
        <v>4142</v>
      </c>
      <c r="F2043" s="176" t="s">
        <v>379</v>
      </c>
      <c r="G2043" s="170"/>
      <c r="H2043" s="170"/>
      <c r="I2043" s="170"/>
      <c r="J2043" s="170"/>
      <c r="K2043" s="170"/>
      <c r="L2043" s="168"/>
      <c r="M2043" s="171" t="s">
        <v>2377</v>
      </c>
      <c r="N2043" s="170"/>
      <c r="O2043" s="170"/>
      <c r="P2043" s="170"/>
    </row>
    <row r="2044" spans="1:16" x14ac:dyDescent="0.25">
      <c r="A2044" s="168"/>
      <c r="B2044" s="174">
        <v>102419450</v>
      </c>
      <c r="C2044" s="174" t="s">
        <v>4594</v>
      </c>
      <c r="D2044" s="174" t="s">
        <v>4994</v>
      </c>
      <c r="E2044" s="175" t="s">
        <v>4244</v>
      </c>
      <c r="F2044" s="176" t="s">
        <v>379</v>
      </c>
      <c r="G2044" s="170"/>
      <c r="H2044" s="170"/>
      <c r="I2044" s="170"/>
      <c r="J2044" s="170"/>
      <c r="K2044" s="170"/>
      <c r="L2044" s="168"/>
      <c r="M2044" s="171" t="s">
        <v>2375</v>
      </c>
      <c r="N2044" s="170"/>
      <c r="O2044" s="170"/>
      <c r="P2044" s="170"/>
    </row>
    <row r="2045" spans="1:16" x14ac:dyDescent="0.25">
      <c r="A2045" s="168"/>
      <c r="B2045" s="174">
        <v>102419451</v>
      </c>
      <c r="C2045" s="174" t="s">
        <v>4595</v>
      </c>
      <c r="D2045" s="174" t="s">
        <v>4995</v>
      </c>
      <c r="E2045" s="175" t="s">
        <v>4245</v>
      </c>
      <c r="F2045" s="176" t="s">
        <v>379</v>
      </c>
      <c r="G2045" s="170"/>
      <c r="H2045" s="170"/>
      <c r="I2045" s="170"/>
      <c r="J2045" s="170"/>
      <c r="K2045" s="170"/>
      <c r="L2045" s="168"/>
      <c r="M2045" s="171" t="s">
        <v>2375</v>
      </c>
      <c r="N2045" s="170"/>
      <c r="O2045" s="170"/>
      <c r="P2045" s="170"/>
    </row>
    <row r="2046" spans="1:16" x14ac:dyDescent="0.25">
      <c r="A2046" s="168"/>
      <c r="B2046" s="174">
        <v>102419485</v>
      </c>
      <c r="C2046" s="174" t="s">
        <v>4629</v>
      </c>
      <c r="D2046" s="174" t="s">
        <v>5029</v>
      </c>
      <c r="E2046" s="175" t="s">
        <v>4246</v>
      </c>
      <c r="F2046" s="176" t="s">
        <v>379</v>
      </c>
      <c r="G2046" s="170"/>
      <c r="H2046" s="170"/>
      <c r="I2046" s="170"/>
      <c r="J2046" s="170"/>
      <c r="K2046" s="170"/>
      <c r="L2046" s="168"/>
      <c r="M2046" s="171" t="s">
        <v>2383</v>
      </c>
      <c r="N2046" s="170"/>
      <c r="O2046" s="170"/>
      <c r="P2046" s="170"/>
    </row>
    <row r="2047" spans="1:16" x14ac:dyDescent="0.25">
      <c r="A2047" s="168"/>
      <c r="B2047" s="174">
        <v>102419159</v>
      </c>
      <c r="C2047" s="174" t="s">
        <v>4304</v>
      </c>
      <c r="D2047" s="174" t="s">
        <v>4703</v>
      </c>
      <c r="E2047" s="175" t="s">
        <v>3892</v>
      </c>
      <c r="F2047" s="176" t="s">
        <v>381</v>
      </c>
      <c r="G2047" s="170"/>
      <c r="H2047" s="170"/>
      <c r="I2047" s="170"/>
      <c r="J2047" s="170"/>
      <c r="K2047" s="170"/>
      <c r="L2047" s="168"/>
      <c r="M2047" s="171" t="s">
        <v>2386</v>
      </c>
      <c r="N2047" s="170"/>
      <c r="O2047" s="170"/>
      <c r="P2047" s="170"/>
    </row>
    <row r="2048" spans="1:16" x14ac:dyDescent="0.25">
      <c r="A2048" s="168"/>
      <c r="B2048" s="174">
        <v>102419266</v>
      </c>
      <c r="C2048" s="174" t="s">
        <v>4410</v>
      </c>
      <c r="D2048" s="174" t="s">
        <v>4810</v>
      </c>
      <c r="E2048" s="175" t="s">
        <v>3996</v>
      </c>
      <c r="F2048" s="176" t="s">
        <v>379</v>
      </c>
      <c r="G2048" s="170"/>
      <c r="H2048" s="170"/>
      <c r="I2048" s="170"/>
      <c r="J2048" s="170"/>
      <c r="K2048" s="170"/>
      <c r="L2048" s="168"/>
      <c r="M2048" s="171" t="s">
        <v>2371</v>
      </c>
      <c r="N2048" s="170"/>
      <c r="O2048" s="170"/>
      <c r="P2048" s="170"/>
    </row>
    <row r="2049" spans="1:16" x14ac:dyDescent="0.25">
      <c r="A2049" s="168"/>
      <c r="B2049" s="174">
        <v>102419199</v>
      </c>
      <c r="C2049" s="174" t="s">
        <v>4344</v>
      </c>
      <c r="D2049" s="174" t="s">
        <v>4743</v>
      </c>
      <c r="E2049" s="175" t="s">
        <v>3929</v>
      </c>
      <c r="F2049" s="176" t="s">
        <v>381</v>
      </c>
      <c r="G2049" s="170"/>
      <c r="H2049" s="170"/>
      <c r="I2049" s="170"/>
      <c r="J2049" s="170"/>
      <c r="K2049" s="170"/>
      <c r="L2049" s="168"/>
      <c r="M2049" s="171" t="s">
        <v>2397</v>
      </c>
      <c r="N2049" s="170"/>
      <c r="O2049" s="170"/>
      <c r="P2049" s="170"/>
    </row>
    <row r="2050" spans="1:16" x14ac:dyDescent="0.25">
      <c r="A2050" s="168"/>
      <c r="B2050" s="174">
        <v>102419379</v>
      </c>
      <c r="C2050" s="174" t="s">
        <v>4523</v>
      </c>
      <c r="D2050" s="174" t="s">
        <v>4923</v>
      </c>
      <c r="E2050" s="175" t="s">
        <v>4109</v>
      </c>
      <c r="F2050" s="176" t="s">
        <v>379</v>
      </c>
      <c r="G2050" s="170"/>
      <c r="H2050" s="170"/>
      <c r="I2050" s="170"/>
      <c r="J2050" s="170"/>
      <c r="K2050" s="170"/>
      <c r="L2050" s="168"/>
      <c r="M2050" s="171" t="s">
        <v>2379</v>
      </c>
      <c r="N2050" s="170"/>
      <c r="O2050" s="170"/>
      <c r="P2050" s="170"/>
    </row>
    <row r="2051" spans="1:16" x14ac:dyDescent="0.25">
      <c r="A2051" s="168"/>
      <c r="B2051" s="174">
        <v>102419486</v>
      </c>
      <c r="C2051" s="174" t="s">
        <v>4630</v>
      </c>
      <c r="D2051" s="174" t="s">
        <v>5030</v>
      </c>
      <c r="E2051" s="175" t="s">
        <v>4214</v>
      </c>
      <c r="F2051" s="176" t="s">
        <v>381</v>
      </c>
      <c r="G2051" s="170"/>
      <c r="H2051" s="170"/>
      <c r="I2051" s="170"/>
      <c r="J2051" s="170"/>
      <c r="K2051" s="170"/>
      <c r="L2051" s="168"/>
      <c r="M2051" s="171" t="s">
        <v>2383</v>
      </c>
      <c r="N2051" s="170"/>
      <c r="O2051" s="170"/>
      <c r="P2051" s="170"/>
    </row>
    <row r="2052" spans="1:16" x14ac:dyDescent="0.25">
      <c r="A2052" s="168"/>
      <c r="B2052" s="174">
        <v>102419267</v>
      </c>
      <c r="C2052" s="174" t="s">
        <v>4411</v>
      </c>
      <c r="D2052" s="174" t="s">
        <v>4811</v>
      </c>
      <c r="E2052" s="175" t="s">
        <v>3997</v>
      </c>
      <c r="F2052" s="176" t="s">
        <v>381</v>
      </c>
      <c r="G2052" s="170"/>
      <c r="H2052" s="170"/>
      <c r="I2052" s="170"/>
      <c r="J2052" s="170"/>
      <c r="K2052" s="170"/>
      <c r="L2052" s="168"/>
      <c r="M2052" s="171" t="s">
        <v>2371</v>
      </c>
      <c r="N2052" s="170"/>
      <c r="O2052" s="170"/>
      <c r="P2052" s="170"/>
    </row>
    <row r="2053" spans="1:16" x14ac:dyDescent="0.25">
      <c r="A2053" s="168"/>
      <c r="B2053" s="174">
        <v>102419160</v>
      </c>
      <c r="C2053" s="174" t="s">
        <v>4305</v>
      </c>
      <c r="D2053" s="174" t="s">
        <v>4704</v>
      </c>
      <c r="E2053" s="175" t="s">
        <v>3893</v>
      </c>
      <c r="F2053" s="176" t="s">
        <v>381</v>
      </c>
      <c r="G2053" s="170"/>
      <c r="H2053" s="170"/>
      <c r="I2053" s="170"/>
      <c r="J2053" s="170"/>
      <c r="K2053" s="170"/>
      <c r="L2053" s="168"/>
      <c r="M2053" s="171" t="s">
        <v>2386</v>
      </c>
      <c r="N2053" s="170"/>
      <c r="O2053" s="170"/>
      <c r="P2053" s="170"/>
    </row>
    <row r="2054" spans="1:16" x14ac:dyDescent="0.25">
      <c r="A2054" s="168"/>
      <c r="B2054" s="174">
        <v>102419413</v>
      </c>
      <c r="C2054" s="174" t="s">
        <v>4557</v>
      </c>
      <c r="D2054" s="174" t="s">
        <v>4957</v>
      </c>
      <c r="E2054" s="175" t="s">
        <v>4143</v>
      </c>
      <c r="F2054" s="176" t="s">
        <v>379</v>
      </c>
      <c r="G2054" s="170"/>
      <c r="H2054" s="170"/>
      <c r="I2054" s="170"/>
      <c r="J2054" s="170"/>
      <c r="K2054" s="170"/>
      <c r="L2054" s="168"/>
      <c r="M2054" s="171" t="s">
        <v>2377</v>
      </c>
      <c r="N2054" s="170"/>
      <c r="O2054" s="170"/>
      <c r="P2054" s="170"/>
    </row>
    <row r="2055" spans="1:16" x14ac:dyDescent="0.25">
      <c r="A2055" s="168"/>
      <c r="B2055" s="174">
        <v>102419343</v>
      </c>
      <c r="C2055" s="174" t="s">
        <v>4487</v>
      </c>
      <c r="D2055" s="174" t="s">
        <v>4887</v>
      </c>
      <c r="E2055" s="175" t="s">
        <v>3930</v>
      </c>
      <c r="F2055" s="176" t="s">
        <v>381</v>
      </c>
      <c r="G2055" s="170"/>
      <c r="H2055" s="170"/>
      <c r="I2055" s="170"/>
      <c r="J2055" s="170"/>
      <c r="K2055" s="170"/>
      <c r="L2055" s="168"/>
      <c r="M2055" s="171" t="s">
        <v>2373</v>
      </c>
      <c r="N2055" s="170"/>
      <c r="O2055" s="170"/>
      <c r="P2055" s="170"/>
    </row>
    <row r="2056" spans="1:16" x14ac:dyDescent="0.25">
      <c r="A2056" s="168"/>
      <c r="B2056" s="174">
        <v>102419232</v>
      </c>
      <c r="C2056" s="174" t="s">
        <v>4376</v>
      </c>
      <c r="D2056" s="174" t="s">
        <v>4776</v>
      </c>
      <c r="E2056" s="175" t="s">
        <v>3962</v>
      </c>
      <c r="F2056" s="176" t="s">
        <v>381</v>
      </c>
      <c r="G2056" s="170"/>
      <c r="H2056" s="170"/>
      <c r="I2056" s="170"/>
      <c r="J2056" s="170"/>
      <c r="K2056" s="170"/>
      <c r="L2056" s="168"/>
      <c r="M2056" s="171" t="s">
        <v>2389</v>
      </c>
      <c r="N2056" s="170"/>
      <c r="O2056" s="170"/>
      <c r="P2056" s="170"/>
    </row>
    <row r="2057" spans="1:16" x14ac:dyDescent="0.25">
      <c r="A2057" s="168"/>
      <c r="B2057" s="174">
        <v>102419511</v>
      </c>
      <c r="C2057" s="174" t="s">
        <v>4654</v>
      </c>
      <c r="D2057" s="174" t="s">
        <v>5055</v>
      </c>
      <c r="E2057" s="175" t="s">
        <v>4171</v>
      </c>
      <c r="F2057" s="176" t="s">
        <v>379</v>
      </c>
      <c r="G2057" s="170"/>
      <c r="H2057" s="170"/>
      <c r="I2057" s="170"/>
      <c r="J2057" s="170"/>
      <c r="K2057" s="170"/>
      <c r="L2057" s="168"/>
      <c r="M2057" s="171" t="s">
        <v>2402</v>
      </c>
      <c r="N2057" s="170"/>
      <c r="O2057" s="170"/>
      <c r="P2057" s="170"/>
    </row>
    <row r="2058" spans="1:16" x14ac:dyDescent="0.25">
      <c r="A2058" s="168"/>
      <c r="B2058" s="174">
        <v>102419512</v>
      </c>
      <c r="C2058" s="174" t="s">
        <v>4655</v>
      </c>
      <c r="D2058" s="174" t="s">
        <v>5056</v>
      </c>
      <c r="E2058" s="175" t="s">
        <v>4172</v>
      </c>
      <c r="F2058" s="176" t="s">
        <v>379</v>
      </c>
      <c r="G2058" s="170"/>
      <c r="H2058" s="170"/>
      <c r="I2058" s="170"/>
      <c r="J2058" s="170"/>
      <c r="K2058" s="170"/>
      <c r="L2058" s="168"/>
      <c r="M2058" s="171" t="s">
        <v>2402</v>
      </c>
      <c r="N2058" s="170"/>
      <c r="O2058" s="170"/>
      <c r="P2058" s="170"/>
    </row>
    <row r="2059" spans="1:16" x14ac:dyDescent="0.25">
      <c r="A2059" s="168"/>
      <c r="B2059" s="174">
        <v>102419452</v>
      </c>
      <c r="C2059" s="174" t="s">
        <v>4596</v>
      </c>
      <c r="D2059" s="174" t="s">
        <v>4996</v>
      </c>
      <c r="E2059" s="175" t="s">
        <v>4247</v>
      </c>
      <c r="F2059" s="176" t="s">
        <v>379</v>
      </c>
      <c r="G2059" s="170"/>
      <c r="H2059" s="170"/>
      <c r="I2059" s="170"/>
      <c r="J2059" s="170"/>
      <c r="K2059" s="170"/>
      <c r="L2059" s="168"/>
      <c r="M2059" s="171" t="s">
        <v>2375</v>
      </c>
      <c r="N2059" s="170"/>
      <c r="O2059" s="170"/>
      <c r="P2059" s="170"/>
    </row>
    <row r="2060" spans="1:16" x14ac:dyDescent="0.25">
      <c r="A2060" s="168"/>
      <c r="B2060" s="174">
        <v>102419233</v>
      </c>
      <c r="C2060" s="174" t="s">
        <v>4377</v>
      </c>
      <c r="D2060" s="174" t="s">
        <v>4777</v>
      </c>
      <c r="E2060" s="175" t="s">
        <v>3963</v>
      </c>
      <c r="F2060" s="176" t="s">
        <v>379</v>
      </c>
      <c r="G2060" s="170"/>
      <c r="H2060" s="170"/>
      <c r="I2060" s="170"/>
      <c r="J2060" s="170"/>
      <c r="K2060" s="170"/>
      <c r="L2060" s="168"/>
      <c r="M2060" s="171" t="s">
        <v>2389</v>
      </c>
      <c r="N2060" s="170"/>
      <c r="O2060" s="170"/>
      <c r="P2060" s="170"/>
    </row>
    <row r="2061" spans="1:16" x14ac:dyDescent="0.25">
      <c r="A2061" s="168"/>
      <c r="B2061" s="174">
        <v>102419513</v>
      </c>
      <c r="C2061" s="174" t="s">
        <v>4656</v>
      </c>
      <c r="D2061" s="174" t="s">
        <v>5057</v>
      </c>
      <c r="E2061" s="175" t="s">
        <v>4173</v>
      </c>
      <c r="F2061" s="176" t="s">
        <v>381</v>
      </c>
      <c r="G2061" s="170"/>
      <c r="H2061" s="170"/>
      <c r="I2061" s="170"/>
      <c r="J2061" s="170"/>
      <c r="K2061" s="170"/>
      <c r="L2061" s="168"/>
      <c r="M2061" s="171" t="s">
        <v>2402</v>
      </c>
      <c r="N2061" s="170"/>
      <c r="O2061" s="170"/>
      <c r="P2061" s="170"/>
    </row>
    <row r="2062" spans="1:16" x14ac:dyDescent="0.25">
      <c r="A2062" s="168"/>
      <c r="B2062" s="174">
        <v>102419161</v>
      </c>
      <c r="C2062" s="174" t="s">
        <v>4306</v>
      </c>
      <c r="D2062" s="174" t="s">
        <v>4705</v>
      </c>
      <c r="E2062" s="175" t="s">
        <v>3894</v>
      </c>
      <c r="F2062" s="176" t="s">
        <v>381</v>
      </c>
      <c r="G2062" s="170"/>
      <c r="H2062" s="170"/>
      <c r="I2062" s="170"/>
      <c r="J2062" s="170"/>
      <c r="K2062" s="170"/>
      <c r="L2062" s="168"/>
      <c r="M2062" s="171" t="s">
        <v>2386</v>
      </c>
      <c r="N2062" s="170"/>
      <c r="O2062" s="170"/>
      <c r="P2062" s="170"/>
    </row>
    <row r="2063" spans="1:16" x14ac:dyDescent="0.25">
      <c r="A2063" s="168"/>
      <c r="B2063" s="174">
        <v>102419200</v>
      </c>
      <c r="C2063" s="174" t="s">
        <v>4345</v>
      </c>
      <c r="D2063" s="174" t="s">
        <v>4744</v>
      </c>
      <c r="E2063" s="175" t="s">
        <v>3931</v>
      </c>
      <c r="F2063" s="176" t="s">
        <v>381</v>
      </c>
      <c r="G2063" s="170"/>
      <c r="H2063" s="170"/>
      <c r="I2063" s="170"/>
      <c r="J2063" s="170"/>
      <c r="K2063" s="170"/>
      <c r="L2063" s="168"/>
      <c r="M2063" s="171" t="s">
        <v>2397</v>
      </c>
      <c r="N2063" s="170"/>
      <c r="O2063" s="170"/>
      <c r="P2063" s="170"/>
    </row>
    <row r="2064" spans="1:16" x14ac:dyDescent="0.25">
      <c r="A2064" s="168"/>
      <c r="B2064" s="174">
        <v>102419268</v>
      </c>
      <c r="C2064" s="174" t="s">
        <v>4412</v>
      </c>
      <c r="D2064" s="174" t="s">
        <v>4812</v>
      </c>
      <c r="E2064" s="175" t="s">
        <v>3998</v>
      </c>
      <c r="F2064" s="176" t="s">
        <v>381</v>
      </c>
      <c r="G2064" s="170"/>
      <c r="H2064" s="170"/>
      <c r="I2064" s="170"/>
      <c r="J2064" s="170"/>
      <c r="K2064" s="170"/>
      <c r="L2064" s="168"/>
      <c r="M2064" s="171" t="s">
        <v>2371</v>
      </c>
      <c r="N2064" s="170"/>
      <c r="O2064" s="170"/>
      <c r="P2064" s="170"/>
    </row>
    <row r="2065" spans="1:16" x14ac:dyDescent="0.25">
      <c r="A2065" s="168"/>
      <c r="B2065" s="174">
        <v>102419162</v>
      </c>
      <c r="C2065" s="174" t="s">
        <v>4307</v>
      </c>
      <c r="D2065" s="174" t="s">
        <v>4706</v>
      </c>
      <c r="E2065" s="175" t="s">
        <v>4672</v>
      </c>
      <c r="F2065" s="176" t="s">
        <v>379</v>
      </c>
      <c r="G2065" s="170"/>
      <c r="H2065" s="170"/>
      <c r="I2065" s="170"/>
      <c r="J2065" s="170"/>
      <c r="K2065" s="170"/>
      <c r="L2065" s="168"/>
      <c r="M2065" s="171" t="s">
        <v>2386</v>
      </c>
      <c r="N2065" s="170"/>
      <c r="O2065" s="170"/>
      <c r="P2065" s="170"/>
    </row>
    <row r="2066" spans="1:16" x14ac:dyDescent="0.25">
      <c r="A2066" s="168"/>
      <c r="B2066" s="174">
        <v>102419269</v>
      </c>
      <c r="C2066" s="174" t="s">
        <v>4413</v>
      </c>
      <c r="D2066" s="174" t="s">
        <v>4813</v>
      </c>
      <c r="E2066" s="175" t="s">
        <v>3999</v>
      </c>
      <c r="F2066" s="176" t="s">
        <v>381</v>
      </c>
      <c r="G2066" s="170"/>
      <c r="H2066" s="170"/>
      <c r="I2066" s="170"/>
      <c r="J2066" s="170"/>
      <c r="K2066" s="170"/>
      <c r="L2066" s="168"/>
      <c r="M2066" s="171" t="s">
        <v>2371</v>
      </c>
      <c r="N2066" s="170"/>
      <c r="O2066" s="170"/>
      <c r="P2066" s="170"/>
    </row>
    <row r="2067" spans="1:16" x14ac:dyDescent="0.25">
      <c r="A2067" s="168"/>
      <c r="B2067" s="174">
        <v>102419414</v>
      </c>
      <c r="C2067" s="174" t="s">
        <v>4558</v>
      </c>
      <c r="D2067" s="174" t="s">
        <v>4958</v>
      </c>
      <c r="E2067" s="175" t="s">
        <v>4144</v>
      </c>
      <c r="F2067" s="176" t="s">
        <v>379</v>
      </c>
      <c r="G2067" s="170"/>
      <c r="H2067" s="170"/>
      <c r="I2067" s="170"/>
      <c r="J2067" s="170"/>
      <c r="K2067" s="170"/>
      <c r="L2067" s="168"/>
      <c r="M2067" s="171" t="s">
        <v>2377</v>
      </c>
      <c r="N2067" s="170"/>
      <c r="O2067" s="170"/>
      <c r="P2067" s="170"/>
    </row>
    <row r="2068" spans="1:16" x14ac:dyDescent="0.25">
      <c r="A2068" s="168"/>
      <c r="B2068" s="174">
        <v>102419514</v>
      </c>
      <c r="C2068" s="174" t="s">
        <v>4657</v>
      </c>
      <c r="D2068" s="174" t="s">
        <v>5058</v>
      </c>
      <c r="E2068" s="175" t="s">
        <v>4174</v>
      </c>
      <c r="F2068" s="176" t="s">
        <v>379</v>
      </c>
      <c r="G2068" s="170"/>
      <c r="H2068" s="170"/>
      <c r="I2068" s="170"/>
      <c r="J2068" s="170"/>
      <c r="K2068" s="170"/>
      <c r="L2068" s="168"/>
      <c r="M2068" s="171" t="s">
        <v>2402</v>
      </c>
      <c r="N2068" s="170"/>
      <c r="O2068" s="170"/>
      <c r="P2068" s="170"/>
    </row>
    <row r="2069" spans="1:16" x14ac:dyDescent="0.25">
      <c r="A2069" s="168"/>
      <c r="B2069" s="174">
        <v>102419270</v>
      </c>
      <c r="C2069" s="174" t="s">
        <v>4414</v>
      </c>
      <c r="D2069" s="174" t="s">
        <v>4814</v>
      </c>
      <c r="E2069" s="175" t="s">
        <v>4000</v>
      </c>
      <c r="F2069" s="176" t="s">
        <v>379</v>
      </c>
      <c r="G2069" s="170"/>
      <c r="H2069" s="170"/>
      <c r="I2069" s="170"/>
      <c r="J2069" s="170"/>
      <c r="K2069" s="170"/>
      <c r="L2069" s="168"/>
      <c r="M2069" s="171" t="s">
        <v>2371</v>
      </c>
      <c r="N2069" s="170"/>
      <c r="O2069" s="170"/>
      <c r="P2069" s="170"/>
    </row>
    <row r="2070" spans="1:16" x14ac:dyDescent="0.25">
      <c r="A2070" s="168"/>
      <c r="B2070" s="174">
        <v>102419380</v>
      </c>
      <c r="C2070" s="174" t="s">
        <v>4524</v>
      </c>
      <c r="D2070" s="174" t="s">
        <v>4924</v>
      </c>
      <c r="E2070" s="175" t="s">
        <v>4110</v>
      </c>
      <c r="F2070" s="176" t="s">
        <v>379</v>
      </c>
      <c r="G2070" s="170"/>
      <c r="H2070" s="170"/>
      <c r="I2070" s="170"/>
      <c r="J2070" s="170"/>
      <c r="K2070" s="170"/>
      <c r="L2070" s="168"/>
      <c r="M2070" s="171" t="s">
        <v>2379</v>
      </c>
      <c r="N2070" s="170"/>
      <c r="O2070" s="170"/>
      <c r="P2070" s="170"/>
    </row>
    <row r="2071" spans="1:16" x14ac:dyDescent="0.25">
      <c r="A2071" s="168"/>
      <c r="B2071" s="174">
        <v>102419234</v>
      </c>
      <c r="C2071" s="174" t="s">
        <v>4378</v>
      </c>
      <c r="D2071" s="174" t="s">
        <v>4778</v>
      </c>
      <c r="E2071" s="175" t="s">
        <v>3964</v>
      </c>
      <c r="F2071" s="176" t="s">
        <v>379</v>
      </c>
      <c r="G2071" s="170"/>
      <c r="H2071" s="170"/>
      <c r="I2071" s="170"/>
      <c r="J2071" s="170"/>
      <c r="K2071" s="170"/>
      <c r="L2071" s="168"/>
      <c r="M2071" s="171" t="s">
        <v>2389</v>
      </c>
      <c r="N2071" s="170"/>
      <c r="O2071" s="170"/>
      <c r="P2071" s="170"/>
    </row>
    <row r="2072" spans="1:16" x14ac:dyDescent="0.25">
      <c r="A2072" s="168"/>
      <c r="B2072" s="174">
        <v>102419271</v>
      </c>
      <c r="C2072" s="174" t="s">
        <v>4415</v>
      </c>
      <c r="D2072" s="174" t="s">
        <v>4815</v>
      </c>
      <c r="E2072" s="175" t="s">
        <v>4001</v>
      </c>
      <c r="F2072" s="176" t="s">
        <v>381</v>
      </c>
      <c r="G2072" s="170"/>
      <c r="H2072" s="170"/>
      <c r="I2072" s="170"/>
      <c r="J2072" s="170"/>
      <c r="K2072" s="170"/>
      <c r="L2072" s="168"/>
      <c r="M2072" s="171" t="s">
        <v>2371</v>
      </c>
      <c r="N2072" s="170"/>
      <c r="O2072" s="170"/>
      <c r="P2072" s="170"/>
    </row>
    <row r="2073" spans="1:16" x14ac:dyDescent="0.25">
      <c r="A2073" s="168"/>
      <c r="B2073" s="174">
        <v>102419272</v>
      </c>
      <c r="C2073" s="174" t="s">
        <v>4416</v>
      </c>
      <c r="D2073" s="174" t="s">
        <v>4816</v>
      </c>
      <c r="E2073" s="175" t="s">
        <v>4002</v>
      </c>
      <c r="F2073" s="176" t="s">
        <v>381</v>
      </c>
      <c r="G2073" s="170"/>
      <c r="H2073" s="170"/>
      <c r="I2073" s="170"/>
      <c r="J2073" s="170"/>
      <c r="K2073" s="170"/>
      <c r="L2073" s="168"/>
      <c r="M2073" s="171" t="s">
        <v>2371</v>
      </c>
      <c r="N2073" s="170"/>
      <c r="O2073" s="170"/>
      <c r="P2073" s="170"/>
    </row>
    <row r="2074" spans="1:16" x14ac:dyDescent="0.25">
      <c r="A2074" s="168"/>
      <c r="B2074" s="174">
        <v>102419307</v>
      </c>
      <c r="C2074" s="174" t="s">
        <v>4451</v>
      </c>
      <c r="D2074" s="174" t="s">
        <v>4851</v>
      </c>
      <c r="E2074" s="175" t="s">
        <v>4037</v>
      </c>
      <c r="F2074" s="176" t="s">
        <v>379</v>
      </c>
      <c r="G2074" s="170"/>
      <c r="H2074" s="170"/>
      <c r="I2074" s="170"/>
      <c r="J2074" s="170"/>
      <c r="K2074" s="170"/>
      <c r="L2074" s="168"/>
      <c r="M2074" s="171" t="s">
        <v>2399</v>
      </c>
      <c r="N2074" s="170"/>
      <c r="O2074" s="170"/>
      <c r="P2074" s="170"/>
    </row>
    <row r="2075" spans="1:16" x14ac:dyDescent="0.25">
      <c r="A2075" s="168"/>
      <c r="B2075" s="174">
        <v>102419487</v>
      </c>
      <c r="C2075" s="174" t="s">
        <v>4631</v>
      </c>
      <c r="D2075" s="174" t="s">
        <v>5031</v>
      </c>
      <c r="E2075" s="175" t="s">
        <v>4248</v>
      </c>
      <c r="F2075" s="176" t="s">
        <v>379</v>
      </c>
      <c r="G2075" s="170"/>
      <c r="H2075" s="170"/>
      <c r="I2075" s="170"/>
      <c r="J2075" s="170"/>
      <c r="K2075" s="170"/>
      <c r="L2075" s="168"/>
      <c r="M2075" s="171" t="s">
        <v>2383</v>
      </c>
      <c r="N2075" s="170"/>
      <c r="O2075" s="170"/>
      <c r="P2075" s="170"/>
    </row>
    <row r="2076" spans="1:16" x14ac:dyDescent="0.25">
      <c r="A2076" s="168"/>
      <c r="B2076" s="174">
        <v>102419415</v>
      </c>
      <c r="C2076" s="174" t="s">
        <v>4559</v>
      </c>
      <c r="D2076" s="174" t="s">
        <v>4959</v>
      </c>
      <c r="E2076" s="175" t="s">
        <v>4145</v>
      </c>
      <c r="F2076" s="176" t="s">
        <v>379</v>
      </c>
      <c r="G2076" s="170"/>
      <c r="H2076" s="170"/>
      <c r="I2076" s="170"/>
      <c r="J2076" s="170"/>
      <c r="K2076" s="170"/>
      <c r="L2076" s="168"/>
      <c r="M2076" s="171" t="s">
        <v>2377</v>
      </c>
      <c r="N2076" s="170"/>
      <c r="O2076" s="170"/>
      <c r="P2076" s="170"/>
    </row>
    <row r="2077" spans="1:16" x14ac:dyDescent="0.25">
      <c r="A2077" s="168"/>
      <c r="B2077" s="174">
        <v>102419515</v>
      </c>
      <c r="C2077" s="174" t="s">
        <v>4658</v>
      </c>
      <c r="D2077" s="174" t="s">
        <v>5059</v>
      </c>
      <c r="E2077" s="175" t="s">
        <v>4175</v>
      </c>
      <c r="F2077" s="176" t="s">
        <v>379</v>
      </c>
      <c r="G2077" s="170"/>
      <c r="H2077" s="170"/>
      <c r="I2077" s="170"/>
      <c r="J2077" s="170"/>
      <c r="K2077" s="170"/>
      <c r="L2077" s="168"/>
      <c r="M2077" s="171" t="s">
        <v>2402</v>
      </c>
      <c r="N2077" s="170"/>
      <c r="O2077" s="170"/>
      <c r="P2077" s="170"/>
    </row>
    <row r="2078" spans="1:16" x14ac:dyDescent="0.25">
      <c r="A2078" s="168"/>
      <c r="B2078" s="174">
        <v>102419416</v>
      </c>
      <c r="C2078" s="174" t="s">
        <v>4560</v>
      </c>
      <c r="D2078" s="174" t="s">
        <v>4960</v>
      </c>
      <c r="E2078" s="175" t="s">
        <v>4146</v>
      </c>
      <c r="F2078" s="176" t="s">
        <v>381</v>
      </c>
      <c r="G2078" s="170"/>
      <c r="H2078" s="170"/>
      <c r="I2078" s="170"/>
      <c r="J2078" s="170"/>
      <c r="K2078" s="170"/>
      <c r="L2078" s="168"/>
      <c r="M2078" s="171" t="s">
        <v>2377</v>
      </c>
      <c r="N2078" s="170"/>
      <c r="O2078" s="170"/>
      <c r="P2078" s="170"/>
    </row>
    <row r="2079" spans="1:16" x14ac:dyDescent="0.25">
      <c r="A2079" s="168"/>
      <c r="B2079" s="174">
        <v>102419163</v>
      </c>
      <c r="C2079" s="174" t="s">
        <v>4308</v>
      </c>
      <c r="D2079" s="174" t="s">
        <v>4707</v>
      </c>
      <c r="E2079" s="175" t="s">
        <v>3895</v>
      </c>
      <c r="F2079" s="176" t="s">
        <v>381</v>
      </c>
      <c r="G2079" s="170"/>
      <c r="H2079" s="170"/>
      <c r="I2079" s="170"/>
      <c r="J2079" s="170"/>
      <c r="K2079" s="170"/>
      <c r="L2079" s="168"/>
      <c r="M2079" s="171" t="s">
        <v>2386</v>
      </c>
      <c r="N2079" s="170"/>
      <c r="O2079" s="170"/>
      <c r="P2079" s="170"/>
    </row>
    <row r="2080" spans="1:16" x14ac:dyDescent="0.25">
      <c r="A2080" s="168"/>
      <c r="B2080" s="174">
        <v>102419235</v>
      </c>
      <c r="C2080" s="174" t="s">
        <v>4379</v>
      </c>
      <c r="D2080" s="174" t="s">
        <v>4779</v>
      </c>
      <c r="E2080" s="175" t="s">
        <v>3965</v>
      </c>
      <c r="F2080" s="176" t="s">
        <v>381</v>
      </c>
      <c r="G2080" s="170"/>
      <c r="H2080" s="170"/>
      <c r="I2080" s="170"/>
      <c r="J2080" s="170"/>
      <c r="K2080" s="170"/>
      <c r="L2080" s="168"/>
      <c r="M2080" s="171" t="s">
        <v>2389</v>
      </c>
      <c r="N2080" s="170"/>
      <c r="O2080" s="170"/>
      <c r="P2080" s="170"/>
    </row>
    <row r="2081" spans="1:16" x14ac:dyDescent="0.25">
      <c r="A2081" s="168"/>
      <c r="B2081" s="174">
        <v>102419201</v>
      </c>
      <c r="C2081" s="174" t="s">
        <v>4346</v>
      </c>
      <c r="D2081" s="174" t="s">
        <v>4745</v>
      </c>
      <c r="E2081" s="175" t="s">
        <v>3932</v>
      </c>
      <c r="F2081" s="176" t="s">
        <v>381</v>
      </c>
      <c r="G2081" s="170"/>
      <c r="H2081" s="170"/>
      <c r="I2081" s="170"/>
      <c r="J2081" s="170"/>
      <c r="K2081" s="170"/>
      <c r="L2081" s="168"/>
      <c r="M2081" s="171" t="s">
        <v>2397</v>
      </c>
      <c r="N2081" s="170"/>
      <c r="O2081" s="170"/>
      <c r="P2081" s="170"/>
    </row>
    <row r="2082" spans="1:16" x14ac:dyDescent="0.25">
      <c r="A2082" s="168"/>
      <c r="B2082" s="174">
        <v>102419236</v>
      </c>
      <c r="C2082" s="174" t="s">
        <v>4380</v>
      </c>
      <c r="D2082" s="174" t="s">
        <v>4780</v>
      </c>
      <c r="E2082" s="175" t="s">
        <v>3966</v>
      </c>
      <c r="F2082" s="176" t="s">
        <v>381</v>
      </c>
      <c r="G2082" s="170"/>
      <c r="H2082" s="170"/>
      <c r="I2082" s="170"/>
      <c r="J2082" s="170"/>
      <c r="K2082" s="170"/>
      <c r="L2082" s="168"/>
      <c r="M2082" s="171" t="s">
        <v>2389</v>
      </c>
      <c r="N2082" s="170"/>
      <c r="O2082" s="170"/>
      <c r="P2082" s="170"/>
    </row>
    <row r="2083" spans="1:16" x14ac:dyDescent="0.25">
      <c r="A2083" s="168"/>
      <c r="B2083" s="174">
        <v>102419164</v>
      </c>
      <c r="C2083" s="174" t="s">
        <v>4309</v>
      </c>
      <c r="D2083" s="174" t="s">
        <v>4708</v>
      </c>
      <c r="E2083" s="175" t="s">
        <v>3896</v>
      </c>
      <c r="F2083" s="176" t="s">
        <v>381</v>
      </c>
      <c r="G2083" s="170"/>
      <c r="H2083" s="170"/>
      <c r="I2083" s="170"/>
      <c r="J2083" s="170"/>
      <c r="K2083" s="170"/>
      <c r="L2083" s="168"/>
      <c r="M2083" s="171" t="s">
        <v>2386</v>
      </c>
      <c r="N2083" s="170"/>
      <c r="O2083" s="170"/>
      <c r="P2083" s="170"/>
    </row>
    <row r="2084" spans="1:16" x14ac:dyDescent="0.25">
      <c r="A2084" s="168"/>
      <c r="B2084" s="174">
        <v>102419488</v>
      </c>
      <c r="C2084" s="174" t="s">
        <v>4632</v>
      </c>
      <c r="D2084" s="174" t="s">
        <v>5032</v>
      </c>
      <c r="E2084" s="175" t="s">
        <v>4215</v>
      </c>
      <c r="F2084" s="176" t="s">
        <v>379</v>
      </c>
      <c r="G2084" s="170"/>
      <c r="H2084" s="170"/>
      <c r="I2084" s="170"/>
      <c r="J2084" s="170"/>
      <c r="K2084" s="170"/>
      <c r="L2084" s="168"/>
      <c r="M2084" s="171" t="s">
        <v>2383</v>
      </c>
      <c r="N2084" s="170"/>
      <c r="O2084" s="170"/>
      <c r="P2084" s="170"/>
    </row>
    <row r="2085" spans="1:16" x14ac:dyDescent="0.25">
      <c r="A2085" s="168"/>
      <c r="B2085" s="174">
        <v>102419308</v>
      </c>
      <c r="C2085" s="174" t="s">
        <v>4452</v>
      </c>
      <c r="D2085" s="174" t="s">
        <v>4852</v>
      </c>
      <c r="E2085" s="175" t="s">
        <v>4038</v>
      </c>
      <c r="F2085" s="176" t="s">
        <v>381</v>
      </c>
      <c r="G2085" s="170"/>
      <c r="H2085" s="170"/>
      <c r="I2085" s="170"/>
      <c r="J2085" s="170"/>
      <c r="K2085" s="170"/>
      <c r="L2085" s="168"/>
      <c r="M2085" s="171" t="s">
        <v>2399</v>
      </c>
      <c r="N2085" s="170"/>
      <c r="O2085" s="170"/>
      <c r="P2085" s="170"/>
    </row>
    <row r="2086" spans="1:16" x14ac:dyDescent="0.25">
      <c r="A2086" s="168"/>
      <c r="B2086" s="174">
        <v>102419381</v>
      </c>
      <c r="C2086" s="174" t="s">
        <v>4525</v>
      </c>
      <c r="D2086" s="174" t="s">
        <v>4925</v>
      </c>
      <c r="E2086" s="175" t="s">
        <v>4111</v>
      </c>
      <c r="F2086" s="176" t="s">
        <v>381</v>
      </c>
      <c r="G2086" s="170"/>
      <c r="H2086" s="170"/>
      <c r="I2086" s="170"/>
      <c r="J2086" s="170"/>
      <c r="K2086" s="170"/>
      <c r="L2086" s="168"/>
      <c r="M2086" s="171" t="s">
        <v>2379</v>
      </c>
      <c r="N2086" s="170"/>
      <c r="O2086" s="170"/>
      <c r="P2086" s="170"/>
    </row>
    <row r="2087" spans="1:16" x14ac:dyDescent="0.25">
      <c r="A2087" s="168"/>
      <c r="B2087" s="174">
        <v>102419309</v>
      </c>
      <c r="C2087" s="174" t="s">
        <v>4453</v>
      </c>
      <c r="D2087" s="174" t="s">
        <v>4853</v>
      </c>
      <c r="E2087" s="175" t="s">
        <v>4039</v>
      </c>
      <c r="F2087" s="176" t="s">
        <v>381</v>
      </c>
      <c r="G2087" s="170"/>
      <c r="H2087" s="170"/>
      <c r="I2087" s="170"/>
      <c r="J2087" s="170"/>
      <c r="K2087" s="170"/>
      <c r="L2087" s="168"/>
      <c r="M2087" s="171" t="s">
        <v>2399</v>
      </c>
      <c r="N2087" s="170"/>
      <c r="O2087" s="170"/>
      <c r="P2087" s="170"/>
    </row>
    <row r="2088" spans="1:16" x14ac:dyDescent="0.25">
      <c r="A2088" s="168"/>
      <c r="B2088" s="174">
        <v>102419516</v>
      </c>
      <c r="C2088" s="174" t="s">
        <v>4659</v>
      </c>
      <c r="D2088" s="174" t="s">
        <v>5060</v>
      </c>
      <c r="E2088" s="175" t="s">
        <v>4176</v>
      </c>
      <c r="F2088" s="176" t="s">
        <v>379</v>
      </c>
      <c r="G2088" s="170"/>
      <c r="H2088" s="170"/>
      <c r="I2088" s="170"/>
      <c r="J2088" s="170"/>
      <c r="K2088" s="170"/>
      <c r="L2088" s="168"/>
      <c r="M2088" s="171" t="s">
        <v>2402</v>
      </c>
      <c r="N2088" s="170"/>
      <c r="O2088" s="170"/>
      <c r="P2088" s="170"/>
    </row>
    <row r="2089" spans="1:16" x14ac:dyDescent="0.25">
      <c r="A2089" s="168"/>
      <c r="B2089" s="174">
        <v>102419417</v>
      </c>
      <c r="C2089" s="174" t="s">
        <v>4561</v>
      </c>
      <c r="D2089" s="174" t="s">
        <v>4961</v>
      </c>
      <c r="E2089" s="175" t="s">
        <v>4147</v>
      </c>
      <c r="F2089" s="176" t="s">
        <v>379</v>
      </c>
      <c r="G2089" s="170"/>
      <c r="H2089" s="170"/>
      <c r="I2089" s="170"/>
      <c r="J2089" s="170"/>
      <c r="K2089" s="170"/>
      <c r="L2089" s="168"/>
      <c r="M2089" s="171" t="s">
        <v>2377</v>
      </c>
      <c r="N2089" s="170"/>
      <c r="O2089" s="170"/>
      <c r="P2089" s="170"/>
    </row>
    <row r="2090" spans="1:16" x14ac:dyDescent="0.25">
      <c r="A2090" s="168"/>
      <c r="B2090" s="174">
        <v>102419418</v>
      </c>
      <c r="C2090" s="174" t="s">
        <v>4562</v>
      </c>
      <c r="D2090" s="174" t="s">
        <v>4962</v>
      </c>
      <c r="E2090" s="175" t="s">
        <v>4148</v>
      </c>
      <c r="F2090" s="176" t="s">
        <v>379</v>
      </c>
      <c r="G2090" s="170"/>
      <c r="H2090" s="170"/>
      <c r="I2090" s="170"/>
      <c r="J2090" s="170"/>
      <c r="K2090" s="170"/>
      <c r="L2090" s="168"/>
      <c r="M2090" s="171" t="s">
        <v>2377</v>
      </c>
      <c r="N2090" s="170"/>
      <c r="O2090" s="170"/>
      <c r="P2090" s="170"/>
    </row>
    <row r="2091" spans="1:16" x14ac:dyDescent="0.25">
      <c r="A2091" s="168"/>
      <c r="B2091" s="174">
        <v>102419237</v>
      </c>
      <c r="C2091" s="174" t="s">
        <v>4381</v>
      </c>
      <c r="D2091" s="174" t="s">
        <v>4781</v>
      </c>
      <c r="E2091" s="175" t="s">
        <v>3967</v>
      </c>
      <c r="F2091" s="176" t="s">
        <v>381</v>
      </c>
      <c r="G2091" s="170"/>
      <c r="H2091" s="170"/>
      <c r="I2091" s="170"/>
      <c r="J2091" s="170"/>
      <c r="K2091" s="170"/>
      <c r="L2091" s="168"/>
      <c r="M2091" s="171" t="s">
        <v>2389</v>
      </c>
      <c r="N2091" s="170"/>
      <c r="O2091" s="170"/>
      <c r="P2091" s="170"/>
    </row>
    <row r="2092" spans="1:16" x14ac:dyDescent="0.25">
      <c r="A2092" s="168"/>
      <c r="B2092" s="174">
        <v>102419517</v>
      </c>
      <c r="C2092" s="174" t="s">
        <v>4660</v>
      </c>
      <c r="D2092" s="174" t="s">
        <v>5061</v>
      </c>
      <c r="E2092" s="175" t="s">
        <v>4177</v>
      </c>
      <c r="F2092" s="176" t="s">
        <v>381</v>
      </c>
      <c r="G2092" s="170"/>
      <c r="H2092" s="170"/>
      <c r="I2092" s="170"/>
      <c r="J2092" s="170"/>
      <c r="K2092" s="170"/>
      <c r="L2092" s="168"/>
      <c r="M2092" s="171" t="s">
        <v>2402</v>
      </c>
      <c r="N2092" s="170"/>
      <c r="O2092" s="170"/>
      <c r="P2092" s="170"/>
    </row>
    <row r="2093" spans="1:16" x14ac:dyDescent="0.25">
      <c r="A2093" s="168"/>
      <c r="B2093" s="174">
        <v>102419165</v>
      </c>
      <c r="C2093" s="174" t="s">
        <v>4310</v>
      </c>
      <c r="D2093" s="174" t="s">
        <v>4709</v>
      </c>
      <c r="E2093" s="175" t="s">
        <v>3897</v>
      </c>
      <c r="F2093" s="176" t="s">
        <v>381</v>
      </c>
      <c r="G2093" s="170"/>
      <c r="H2093" s="170"/>
      <c r="I2093" s="170"/>
      <c r="J2093" s="170"/>
      <c r="K2093" s="170"/>
      <c r="L2093" s="168"/>
      <c r="M2093" s="171" t="s">
        <v>2386</v>
      </c>
      <c r="N2093" s="170"/>
      <c r="O2093" s="170"/>
      <c r="P2093" s="170"/>
    </row>
    <row r="2094" spans="1:16" x14ac:dyDescent="0.25">
      <c r="A2094" s="168"/>
      <c r="B2094" s="174">
        <v>102419238</v>
      </c>
      <c r="C2094" s="174" t="s">
        <v>4382</v>
      </c>
      <c r="D2094" s="174" t="s">
        <v>4782</v>
      </c>
      <c r="E2094" s="175" t="s">
        <v>3968</v>
      </c>
      <c r="F2094" s="176" t="s">
        <v>381</v>
      </c>
      <c r="G2094" s="170"/>
      <c r="H2094" s="170"/>
      <c r="I2094" s="170"/>
      <c r="J2094" s="170"/>
      <c r="K2094" s="170"/>
      <c r="L2094" s="168"/>
      <c r="M2094" s="171" t="s">
        <v>2389</v>
      </c>
      <c r="N2094" s="170"/>
      <c r="O2094" s="170"/>
      <c r="P2094" s="170"/>
    </row>
    <row r="2095" spans="1:16" x14ac:dyDescent="0.25">
      <c r="A2095" s="168"/>
      <c r="B2095" s="174">
        <v>102419273</v>
      </c>
      <c r="C2095" s="174" t="s">
        <v>4417</v>
      </c>
      <c r="D2095" s="174" t="s">
        <v>4817</v>
      </c>
      <c r="E2095" s="175" t="s">
        <v>4003</v>
      </c>
      <c r="F2095" s="176" t="s">
        <v>381</v>
      </c>
      <c r="G2095" s="170"/>
      <c r="H2095" s="170"/>
      <c r="I2095" s="170"/>
      <c r="J2095" s="170"/>
      <c r="K2095" s="170"/>
      <c r="L2095" s="168"/>
      <c r="M2095" s="171" t="s">
        <v>2371</v>
      </c>
      <c r="N2095" s="170"/>
      <c r="O2095" s="170"/>
      <c r="P2095" s="170"/>
    </row>
    <row r="2096" spans="1:16" x14ac:dyDescent="0.25">
      <c r="A2096" s="168"/>
      <c r="B2096" s="174">
        <v>102419202</v>
      </c>
      <c r="C2096" s="174" t="s">
        <v>4347</v>
      </c>
      <c r="D2096" s="174" t="s">
        <v>4746</v>
      </c>
      <c r="E2096" s="175" t="s">
        <v>3933</v>
      </c>
      <c r="F2096" s="176" t="s">
        <v>381</v>
      </c>
      <c r="G2096" s="170"/>
      <c r="H2096" s="170"/>
      <c r="I2096" s="170"/>
      <c r="J2096" s="170"/>
      <c r="K2096" s="170"/>
      <c r="L2096" s="168"/>
      <c r="M2096" s="171" t="s">
        <v>2397</v>
      </c>
      <c r="N2096" s="170"/>
      <c r="O2096" s="170"/>
      <c r="P2096" s="170"/>
    </row>
    <row r="2097" spans="1:16" x14ac:dyDescent="0.25">
      <c r="A2097" s="168"/>
      <c r="B2097" s="174">
        <v>102419310</v>
      </c>
      <c r="C2097" s="174" t="s">
        <v>4454</v>
      </c>
      <c r="D2097" s="174" t="s">
        <v>4854</v>
      </c>
      <c r="E2097" s="175" t="s">
        <v>4040</v>
      </c>
      <c r="F2097" s="176" t="s">
        <v>381</v>
      </c>
      <c r="G2097" s="170"/>
      <c r="H2097" s="170"/>
      <c r="I2097" s="170"/>
      <c r="J2097" s="170"/>
      <c r="K2097" s="170"/>
      <c r="L2097" s="168"/>
      <c r="M2097" s="171" t="s">
        <v>2399</v>
      </c>
      <c r="N2097" s="170"/>
      <c r="O2097" s="170"/>
      <c r="P2097" s="170"/>
    </row>
    <row r="2098" spans="1:16" x14ac:dyDescent="0.25">
      <c r="A2098" s="168"/>
      <c r="B2098" s="174">
        <v>102419311</v>
      </c>
      <c r="C2098" s="174" t="s">
        <v>4455</v>
      </c>
      <c r="D2098" s="174" t="s">
        <v>4855</v>
      </c>
      <c r="E2098" s="175" t="s">
        <v>4041</v>
      </c>
      <c r="F2098" s="176" t="s">
        <v>381</v>
      </c>
      <c r="G2098" s="170"/>
      <c r="H2098" s="170"/>
      <c r="I2098" s="170"/>
      <c r="J2098" s="170"/>
      <c r="K2098" s="170"/>
      <c r="L2098" s="168"/>
      <c r="M2098" s="171" t="s">
        <v>2399</v>
      </c>
      <c r="N2098" s="170"/>
      <c r="O2098" s="170"/>
      <c r="P2098" s="170"/>
    </row>
    <row r="2099" spans="1:16" x14ac:dyDescent="0.25">
      <c r="A2099" s="168"/>
      <c r="B2099" s="174">
        <v>102419453</v>
      </c>
      <c r="C2099" s="174" t="s">
        <v>4597</v>
      </c>
      <c r="D2099" s="174" t="s">
        <v>4997</v>
      </c>
      <c r="E2099" s="175" t="s">
        <v>4249</v>
      </c>
      <c r="F2099" s="176" t="s">
        <v>381</v>
      </c>
      <c r="G2099" s="170"/>
      <c r="H2099" s="170"/>
      <c r="I2099" s="170"/>
      <c r="J2099" s="170"/>
      <c r="K2099" s="170"/>
      <c r="L2099" s="168"/>
      <c r="M2099" s="171" t="s">
        <v>2375</v>
      </c>
      <c r="N2099" s="170"/>
      <c r="O2099" s="170"/>
      <c r="P2099" s="170"/>
    </row>
    <row r="2100" spans="1:16" x14ac:dyDescent="0.25">
      <c r="A2100" s="168"/>
      <c r="B2100" s="174">
        <v>102419274</v>
      </c>
      <c r="C2100" s="174" t="s">
        <v>4418</v>
      </c>
      <c r="D2100" s="174" t="s">
        <v>4818</v>
      </c>
      <c r="E2100" s="175" t="s">
        <v>4004</v>
      </c>
      <c r="F2100" s="176" t="s">
        <v>381</v>
      </c>
      <c r="G2100" s="170"/>
      <c r="H2100" s="170"/>
      <c r="I2100" s="170"/>
      <c r="J2100" s="170"/>
      <c r="K2100" s="170"/>
      <c r="L2100" s="168"/>
      <c r="M2100" s="171" t="s">
        <v>2371</v>
      </c>
      <c r="N2100" s="170"/>
      <c r="O2100" s="170"/>
      <c r="P2100" s="170"/>
    </row>
    <row r="2101" spans="1:16" x14ac:dyDescent="0.25">
      <c r="A2101" s="168"/>
      <c r="B2101" s="174">
        <v>102419275</v>
      </c>
      <c r="C2101" s="174" t="s">
        <v>4419</v>
      </c>
      <c r="D2101" s="174" t="s">
        <v>4819</v>
      </c>
      <c r="E2101" s="175" t="s">
        <v>4005</v>
      </c>
      <c r="F2101" s="176" t="s">
        <v>381</v>
      </c>
      <c r="G2101" s="170"/>
      <c r="H2101" s="170"/>
      <c r="I2101" s="170"/>
      <c r="J2101" s="170"/>
      <c r="K2101" s="170"/>
      <c r="L2101" s="168"/>
      <c r="M2101" s="171" t="s">
        <v>2371</v>
      </c>
      <c r="N2101" s="170"/>
      <c r="O2101" s="170"/>
      <c r="P2101" s="170"/>
    </row>
    <row r="2102" spans="1:16" x14ac:dyDescent="0.25">
      <c r="A2102" s="168"/>
      <c r="B2102" s="174">
        <v>102419382</v>
      </c>
      <c r="C2102" s="174" t="s">
        <v>4526</v>
      </c>
      <c r="D2102" s="174" t="s">
        <v>4926</v>
      </c>
      <c r="E2102" s="175" t="s">
        <v>4112</v>
      </c>
      <c r="F2102" s="176" t="s">
        <v>379</v>
      </c>
      <c r="G2102" s="170"/>
      <c r="H2102" s="170"/>
      <c r="I2102" s="170"/>
      <c r="J2102" s="170"/>
      <c r="K2102" s="170"/>
      <c r="L2102" s="168"/>
      <c r="M2102" s="171" t="s">
        <v>2379</v>
      </c>
      <c r="N2102" s="170"/>
      <c r="O2102" s="170"/>
      <c r="P2102" s="170"/>
    </row>
    <row r="2103" spans="1:16" x14ac:dyDescent="0.25">
      <c r="A2103" s="168"/>
      <c r="B2103" s="174">
        <v>102419518</v>
      </c>
      <c r="C2103" s="174" t="s">
        <v>4661</v>
      </c>
      <c r="D2103" s="174" t="s">
        <v>5062</v>
      </c>
      <c r="E2103" s="175" t="s">
        <v>4178</v>
      </c>
      <c r="F2103" s="176" t="s">
        <v>381</v>
      </c>
      <c r="G2103" s="170"/>
      <c r="H2103" s="170"/>
      <c r="I2103" s="170"/>
      <c r="J2103" s="170"/>
      <c r="K2103" s="170"/>
      <c r="L2103" s="168"/>
      <c r="M2103" s="171" t="s">
        <v>2402</v>
      </c>
      <c r="N2103" s="170"/>
      <c r="O2103" s="170"/>
      <c r="P2103" s="170"/>
    </row>
    <row r="2104" spans="1:16" x14ac:dyDescent="0.25">
      <c r="A2104" s="168"/>
      <c r="B2104" s="174">
        <v>102419519</v>
      </c>
      <c r="C2104" s="174" t="s">
        <v>4662</v>
      </c>
      <c r="D2104" s="174" t="s">
        <v>5063</v>
      </c>
      <c r="E2104" s="175" t="s">
        <v>4179</v>
      </c>
      <c r="F2104" s="176" t="s">
        <v>381</v>
      </c>
      <c r="G2104" s="170"/>
      <c r="H2104" s="170"/>
      <c r="I2104" s="170"/>
      <c r="J2104" s="170"/>
      <c r="K2104" s="170"/>
      <c r="L2104" s="168"/>
      <c r="M2104" s="171" t="s">
        <v>2402</v>
      </c>
      <c r="N2104" s="170"/>
      <c r="O2104" s="170"/>
      <c r="P2104" s="170"/>
    </row>
    <row r="2105" spans="1:16" x14ac:dyDescent="0.25">
      <c r="A2105" s="168"/>
      <c r="B2105" s="174">
        <v>102419239</v>
      </c>
      <c r="C2105" s="174" t="s">
        <v>4383</v>
      </c>
      <c r="D2105" s="174" t="s">
        <v>4783</v>
      </c>
      <c r="E2105" s="175" t="s">
        <v>3969</v>
      </c>
      <c r="F2105" s="176" t="s">
        <v>381</v>
      </c>
      <c r="G2105" s="170"/>
      <c r="H2105" s="170"/>
      <c r="I2105" s="170"/>
      <c r="J2105" s="170"/>
      <c r="K2105" s="170"/>
      <c r="L2105" s="168"/>
      <c r="M2105" s="171" t="s">
        <v>2389</v>
      </c>
      <c r="N2105" s="170"/>
      <c r="O2105" s="170"/>
      <c r="P2105" s="170"/>
    </row>
    <row r="2106" spans="1:16" x14ac:dyDescent="0.25">
      <c r="A2106" s="168"/>
      <c r="B2106" s="174">
        <v>102419166</v>
      </c>
      <c r="C2106" s="174" t="s">
        <v>4311</v>
      </c>
      <c r="D2106" s="174" t="s">
        <v>4710</v>
      </c>
      <c r="E2106" s="175" t="s">
        <v>3898</v>
      </c>
      <c r="F2106" s="176" t="s">
        <v>381</v>
      </c>
      <c r="G2106" s="170"/>
      <c r="H2106" s="170"/>
      <c r="I2106" s="170"/>
      <c r="J2106" s="170"/>
      <c r="K2106" s="170"/>
      <c r="L2106" s="168"/>
      <c r="M2106" s="171" t="s">
        <v>2386</v>
      </c>
      <c r="N2106" s="170"/>
      <c r="O2106" s="170"/>
      <c r="P2106" s="170"/>
    </row>
    <row r="2107" spans="1:16" x14ac:dyDescent="0.25">
      <c r="A2107" s="168"/>
      <c r="B2107" s="174">
        <v>102419276</v>
      </c>
      <c r="C2107" s="174" t="s">
        <v>4420</v>
      </c>
      <c r="D2107" s="174" t="s">
        <v>4820</v>
      </c>
      <c r="E2107" s="175" t="s">
        <v>4006</v>
      </c>
      <c r="F2107" s="176" t="s">
        <v>381</v>
      </c>
      <c r="G2107" s="170"/>
      <c r="H2107" s="170"/>
      <c r="I2107" s="170"/>
      <c r="J2107" s="170"/>
      <c r="K2107" s="170"/>
      <c r="L2107" s="168"/>
      <c r="M2107" s="171" t="s">
        <v>2371</v>
      </c>
      <c r="N2107" s="170"/>
      <c r="O2107" s="170"/>
      <c r="P2107" s="170"/>
    </row>
    <row r="2108" spans="1:16" x14ac:dyDescent="0.25">
      <c r="A2108" s="168"/>
      <c r="B2108" s="174">
        <v>102419167</v>
      </c>
      <c r="C2108" s="174" t="s">
        <v>4312</v>
      </c>
      <c r="D2108" s="174" t="s">
        <v>4711</v>
      </c>
      <c r="E2108" s="175" t="s">
        <v>3899</v>
      </c>
      <c r="F2108" s="176" t="s">
        <v>381</v>
      </c>
      <c r="G2108" s="170"/>
      <c r="H2108" s="170"/>
      <c r="I2108" s="170"/>
      <c r="J2108" s="170"/>
      <c r="K2108" s="170"/>
      <c r="L2108" s="168"/>
      <c r="M2108" s="171" t="s">
        <v>2386</v>
      </c>
      <c r="N2108" s="170"/>
      <c r="O2108" s="170"/>
      <c r="P2108" s="170"/>
    </row>
    <row r="2109" spans="1:16" x14ac:dyDescent="0.25">
      <c r="A2109" s="168"/>
      <c r="B2109" s="174">
        <v>102419203</v>
      </c>
      <c r="C2109" s="174" t="s">
        <v>4348</v>
      </c>
      <c r="D2109" s="174" t="s">
        <v>4747</v>
      </c>
      <c r="E2109" s="175" t="s">
        <v>3934</v>
      </c>
      <c r="F2109" s="176" t="s">
        <v>381</v>
      </c>
      <c r="G2109" s="170"/>
      <c r="H2109" s="170"/>
      <c r="I2109" s="170"/>
      <c r="J2109" s="170"/>
      <c r="K2109" s="170"/>
      <c r="L2109" s="168"/>
      <c r="M2109" s="171" t="s">
        <v>2397</v>
      </c>
      <c r="N2109" s="170"/>
      <c r="O2109" s="170"/>
      <c r="P2109" s="170"/>
    </row>
    <row r="2110" spans="1:16" x14ac:dyDescent="0.25">
      <c r="A2110" s="168"/>
      <c r="B2110" s="174">
        <v>102419312</v>
      </c>
      <c r="C2110" s="174" t="s">
        <v>4456</v>
      </c>
      <c r="D2110" s="174" t="s">
        <v>4856</v>
      </c>
      <c r="E2110" s="175" t="s">
        <v>4042</v>
      </c>
      <c r="F2110" s="176" t="s">
        <v>381</v>
      </c>
      <c r="G2110" s="170"/>
      <c r="H2110" s="170"/>
      <c r="I2110" s="170"/>
      <c r="J2110" s="170"/>
      <c r="K2110" s="170"/>
      <c r="L2110" s="168"/>
      <c r="M2110" s="171" t="s">
        <v>2399</v>
      </c>
      <c r="N2110" s="170"/>
      <c r="O2110" s="170"/>
      <c r="P2110" s="170"/>
    </row>
    <row r="2111" spans="1:16" x14ac:dyDescent="0.25">
      <c r="A2111" s="168"/>
      <c r="B2111" s="174">
        <v>102419277</v>
      </c>
      <c r="C2111" s="174" t="s">
        <v>4421</v>
      </c>
      <c r="D2111" s="174" t="s">
        <v>4821</v>
      </c>
      <c r="E2111" s="175" t="s">
        <v>4007</v>
      </c>
      <c r="F2111" s="176" t="s">
        <v>381</v>
      </c>
      <c r="G2111" s="170"/>
      <c r="H2111" s="170"/>
      <c r="I2111" s="170"/>
      <c r="J2111" s="170"/>
      <c r="K2111" s="170"/>
      <c r="L2111" s="168"/>
      <c r="M2111" s="171" t="s">
        <v>2371</v>
      </c>
      <c r="N2111" s="170"/>
      <c r="O2111" s="170"/>
      <c r="P2111" s="170"/>
    </row>
    <row r="2112" spans="1:16" x14ac:dyDescent="0.25">
      <c r="A2112" s="168"/>
      <c r="B2112" s="174">
        <v>102419168</v>
      </c>
      <c r="C2112" s="174" t="s">
        <v>4313</v>
      </c>
      <c r="D2112" s="174" t="s">
        <v>4712</v>
      </c>
      <c r="E2112" s="175" t="s">
        <v>3900</v>
      </c>
      <c r="F2112" s="176" t="s">
        <v>381</v>
      </c>
      <c r="G2112" s="170"/>
      <c r="H2112" s="170"/>
      <c r="I2112" s="170"/>
      <c r="J2112" s="170"/>
      <c r="K2112" s="170"/>
      <c r="L2112" s="168"/>
      <c r="M2112" s="171" t="s">
        <v>2386</v>
      </c>
      <c r="N2112" s="170"/>
      <c r="O2112" s="170"/>
      <c r="P2112" s="170"/>
    </row>
    <row r="2113" spans="1:16" x14ac:dyDescent="0.25">
      <c r="A2113" s="168"/>
      <c r="B2113" s="174">
        <v>102419383</v>
      </c>
      <c r="C2113" s="174" t="s">
        <v>4527</v>
      </c>
      <c r="D2113" s="174" t="s">
        <v>4927</v>
      </c>
      <c r="E2113" s="175" t="s">
        <v>4113</v>
      </c>
      <c r="F2113" s="176" t="s">
        <v>381</v>
      </c>
      <c r="G2113" s="170"/>
      <c r="H2113" s="170"/>
      <c r="I2113" s="170"/>
      <c r="J2113" s="170"/>
      <c r="K2113" s="170"/>
      <c r="L2113" s="168"/>
      <c r="M2113" s="171" t="s">
        <v>2379</v>
      </c>
      <c r="N2113" s="170"/>
      <c r="O2113" s="170"/>
      <c r="P2113" s="170"/>
    </row>
    <row r="2114" spans="1:16" x14ac:dyDescent="0.25">
      <c r="A2114" s="168"/>
      <c r="B2114" s="174">
        <v>102419344</v>
      </c>
      <c r="C2114" s="174" t="s">
        <v>4488</v>
      </c>
      <c r="D2114" s="174" t="s">
        <v>4888</v>
      </c>
      <c r="E2114" s="175" t="s">
        <v>4074</v>
      </c>
      <c r="F2114" s="176" t="s">
        <v>379</v>
      </c>
      <c r="G2114" s="170"/>
      <c r="H2114" s="170"/>
      <c r="I2114" s="170"/>
      <c r="J2114" s="170"/>
      <c r="K2114" s="170"/>
      <c r="L2114" s="168"/>
      <c r="M2114" s="171" t="s">
        <v>2373</v>
      </c>
      <c r="N2114" s="170"/>
      <c r="O2114" s="170"/>
      <c r="P2114" s="170"/>
    </row>
    <row r="2115" spans="1:16" x14ac:dyDescent="0.25">
      <c r="A2115" s="168"/>
      <c r="B2115" s="174">
        <v>102419419</v>
      </c>
      <c r="C2115" s="174" t="s">
        <v>4563</v>
      </c>
      <c r="D2115" s="174" t="s">
        <v>4963</v>
      </c>
      <c r="E2115" s="175" t="s">
        <v>4149</v>
      </c>
      <c r="F2115" s="176" t="s">
        <v>379</v>
      </c>
      <c r="G2115" s="170"/>
      <c r="H2115" s="170"/>
      <c r="I2115" s="170"/>
      <c r="J2115" s="170"/>
      <c r="K2115" s="170"/>
      <c r="L2115" s="168"/>
      <c r="M2115" s="171" t="s">
        <v>2377</v>
      </c>
      <c r="N2115" s="170"/>
      <c r="O2115" s="170"/>
      <c r="P2115" s="170"/>
    </row>
    <row r="2116" spans="1:16" x14ac:dyDescent="0.25">
      <c r="A2116" s="168"/>
      <c r="B2116" s="174">
        <v>102419204</v>
      </c>
      <c r="C2116" s="174" t="s">
        <v>4349</v>
      </c>
      <c r="D2116" s="174" t="s">
        <v>4748</v>
      </c>
      <c r="E2116" s="175" t="s">
        <v>3935</v>
      </c>
      <c r="F2116" s="176" t="s">
        <v>381</v>
      </c>
      <c r="G2116" s="170"/>
      <c r="H2116" s="170"/>
      <c r="I2116" s="170"/>
      <c r="J2116" s="170"/>
      <c r="K2116" s="170"/>
      <c r="L2116" s="168"/>
      <c r="M2116" s="171" t="s">
        <v>2397</v>
      </c>
      <c r="N2116" s="170"/>
      <c r="O2116" s="170"/>
      <c r="P2116" s="170"/>
    </row>
    <row r="2117" spans="1:16" x14ac:dyDescent="0.25">
      <c r="A2117" s="168"/>
      <c r="B2117" s="174">
        <v>102419345</v>
      </c>
      <c r="C2117" s="174" t="s">
        <v>4489</v>
      </c>
      <c r="D2117" s="174" t="s">
        <v>4889</v>
      </c>
      <c r="E2117" s="175" t="s">
        <v>4075</v>
      </c>
      <c r="F2117" s="176" t="s">
        <v>381</v>
      </c>
      <c r="G2117" s="170"/>
      <c r="H2117" s="170"/>
      <c r="I2117" s="170"/>
      <c r="J2117" s="170"/>
      <c r="K2117" s="170"/>
      <c r="L2117" s="168"/>
      <c r="M2117" s="171" t="s">
        <v>2373</v>
      </c>
      <c r="N2117" s="170"/>
      <c r="O2117" s="170"/>
      <c r="P2117" s="170"/>
    </row>
    <row r="2118" spans="1:16" x14ac:dyDescent="0.25">
      <c r="A2118" s="168"/>
      <c r="B2118" s="174">
        <v>102419169</v>
      </c>
      <c r="C2118" s="174" t="s">
        <v>4314</v>
      </c>
      <c r="D2118" s="174" t="s">
        <v>4713</v>
      </c>
      <c r="E2118" s="175" t="s">
        <v>3901</v>
      </c>
      <c r="F2118" s="176" t="s">
        <v>379</v>
      </c>
      <c r="G2118" s="170"/>
      <c r="H2118" s="170"/>
      <c r="I2118" s="170"/>
      <c r="J2118" s="170"/>
      <c r="K2118" s="170"/>
      <c r="L2118" s="168"/>
      <c r="M2118" s="171" t="s">
        <v>2386</v>
      </c>
      <c r="N2118" s="170"/>
      <c r="O2118" s="170"/>
      <c r="P2118" s="170" t="s">
        <v>5069</v>
      </c>
    </row>
    <row r="2119" spans="1:16" x14ac:dyDescent="0.25">
      <c r="A2119" s="168"/>
      <c r="B2119" s="174">
        <v>102419346</v>
      </c>
      <c r="C2119" s="174" t="s">
        <v>4490</v>
      </c>
      <c r="D2119" s="174" t="s">
        <v>4890</v>
      </c>
      <c r="E2119" s="175" t="s">
        <v>4076</v>
      </c>
      <c r="F2119" s="176" t="s">
        <v>381</v>
      </c>
      <c r="G2119" s="170"/>
      <c r="H2119" s="170"/>
      <c r="I2119" s="170"/>
      <c r="J2119" s="170"/>
      <c r="K2119" s="170"/>
      <c r="L2119" s="168"/>
      <c r="M2119" s="171" t="s">
        <v>2373</v>
      </c>
      <c r="N2119" s="170"/>
      <c r="O2119" s="170"/>
      <c r="P2119" s="170"/>
    </row>
    <row r="2120" spans="1:16" x14ac:dyDescent="0.25">
      <c r="A2120" s="168"/>
      <c r="B2120" s="174">
        <v>102419240</v>
      </c>
      <c r="C2120" s="174" t="s">
        <v>4384</v>
      </c>
      <c r="D2120" s="174" t="s">
        <v>4784</v>
      </c>
      <c r="E2120" s="175" t="s">
        <v>3970</v>
      </c>
      <c r="F2120" s="176" t="s">
        <v>381</v>
      </c>
      <c r="G2120" s="170"/>
      <c r="H2120" s="170"/>
      <c r="I2120" s="170"/>
      <c r="J2120" s="170"/>
      <c r="K2120" s="170"/>
      <c r="L2120" s="168"/>
      <c r="M2120" s="171" t="s">
        <v>2389</v>
      </c>
      <c r="N2120" s="170"/>
      <c r="O2120" s="170"/>
      <c r="P2120" s="170"/>
    </row>
    <row r="2121" spans="1:16" x14ac:dyDescent="0.25">
      <c r="A2121" s="168"/>
      <c r="B2121" s="174">
        <v>102419520</v>
      </c>
      <c r="C2121" s="174" t="s">
        <v>4663</v>
      </c>
      <c r="D2121" s="174" t="s">
        <v>5064</v>
      </c>
      <c r="E2121" s="175" t="s">
        <v>4180</v>
      </c>
      <c r="F2121" s="176" t="s">
        <v>379</v>
      </c>
      <c r="G2121" s="170"/>
      <c r="H2121" s="170"/>
      <c r="I2121" s="170"/>
      <c r="J2121" s="170"/>
      <c r="K2121" s="170"/>
      <c r="L2121" s="168"/>
      <c r="M2121" s="171" t="s">
        <v>2402</v>
      </c>
      <c r="N2121" s="170"/>
      <c r="O2121" s="170"/>
      <c r="P2121" s="170"/>
    </row>
    <row r="2122" spans="1:16" x14ac:dyDescent="0.25">
      <c r="A2122" s="168"/>
      <c r="B2122" s="174">
        <v>102419420</v>
      </c>
      <c r="C2122" s="174" t="s">
        <v>4564</v>
      </c>
      <c r="D2122" s="174" t="s">
        <v>4964</v>
      </c>
      <c r="E2122" s="175" t="s">
        <v>4150</v>
      </c>
      <c r="F2122" s="176" t="s">
        <v>379</v>
      </c>
      <c r="G2122" s="170"/>
      <c r="H2122" s="170"/>
      <c r="I2122" s="170"/>
      <c r="J2122" s="170"/>
      <c r="K2122" s="170"/>
      <c r="L2122" s="168"/>
      <c r="M2122" s="171" t="s">
        <v>2377</v>
      </c>
      <c r="N2122" s="170"/>
      <c r="O2122" s="170"/>
      <c r="P2122" s="170"/>
    </row>
    <row r="2123" spans="1:16" x14ac:dyDescent="0.25">
      <c r="A2123" s="168"/>
      <c r="B2123" s="174">
        <v>102419384</v>
      </c>
      <c r="C2123" s="174" t="s">
        <v>4528</v>
      </c>
      <c r="D2123" s="174" t="s">
        <v>4928</v>
      </c>
      <c r="E2123" s="175" t="s">
        <v>4114</v>
      </c>
      <c r="F2123" s="176" t="s">
        <v>379</v>
      </c>
      <c r="G2123" s="170"/>
      <c r="H2123" s="170"/>
      <c r="I2123" s="170"/>
      <c r="J2123" s="170"/>
      <c r="K2123" s="170"/>
      <c r="L2123" s="168"/>
      <c r="M2123" s="171" t="s">
        <v>2379</v>
      </c>
      <c r="N2123" s="170"/>
      <c r="O2123" s="170"/>
      <c r="P2123" s="170"/>
    </row>
    <row r="2124" spans="1:16" x14ac:dyDescent="0.25">
      <c r="A2124" s="168"/>
      <c r="B2124" s="174">
        <v>102419347</v>
      </c>
      <c r="C2124" s="174" t="s">
        <v>4491</v>
      </c>
      <c r="D2124" s="174" t="s">
        <v>4891</v>
      </c>
      <c r="E2124" s="175" t="s">
        <v>4077</v>
      </c>
      <c r="F2124" s="176" t="s">
        <v>381</v>
      </c>
      <c r="G2124" s="170"/>
      <c r="H2124" s="170"/>
      <c r="I2124" s="170"/>
      <c r="J2124" s="170"/>
      <c r="K2124" s="170"/>
      <c r="L2124" s="168"/>
      <c r="M2124" s="171" t="s">
        <v>2373</v>
      </c>
      <c r="N2124" s="170"/>
      <c r="O2124" s="170"/>
      <c r="P2124" s="170"/>
    </row>
    <row r="2125" spans="1:16" x14ac:dyDescent="0.25">
      <c r="A2125" s="168"/>
      <c r="B2125" s="174">
        <v>102419521</v>
      </c>
      <c r="C2125" s="174" t="s">
        <v>4664</v>
      </c>
      <c r="D2125" s="174" t="s">
        <v>5065</v>
      </c>
      <c r="E2125" s="175" t="s">
        <v>4181</v>
      </c>
      <c r="F2125" s="176" t="s">
        <v>381</v>
      </c>
      <c r="G2125" s="170"/>
      <c r="H2125" s="170"/>
      <c r="I2125" s="170"/>
      <c r="J2125" s="170"/>
      <c r="K2125" s="170"/>
      <c r="L2125" s="168"/>
      <c r="M2125" s="171" t="s">
        <v>2402</v>
      </c>
      <c r="N2125" s="170"/>
      <c r="O2125" s="170"/>
      <c r="P2125" s="170"/>
    </row>
    <row r="2126" spans="1:16" x14ac:dyDescent="0.25">
      <c r="A2126" s="168"/>
      <c r="B2126" s="174">
        <v>102419489</v>
      </c>
      <c r="C2126" s="174" t="s">
        <v>4633</v>
      </c>
      <c r="D2126" s="174" t="s">
        <v>5033</v>
      </c>
      <c r="E2126" s="175" t="s">
        <v>4250</v>
      </c>
      <c r="F2126" s="176" t="s">
        <v>379</v>
      </c>
      <c r="G2126" s="170"/>
      <c r="H2126" s="170"/>
      <c r="I2126" s="170"/>
      <c r="J2126" s="170"/>
      <c r="K2126" s="170"/>
      <c r="L2126" s="168"/>
      <c r="M2126" s="171" t="s">
        <v>2383</v>
      </c>
      <c r="N2126" s="170"/>
      <c r="O2126" s="170"/>
      <c r="P2126" s="170"/>
    </row>
    <row r="2127" spans="1:16" x14ac:dyDescent="0.25">
      <c r="A2127" s="168"/>
      <c r="B2127" s="174">
        <v>102419205</v>
      </c>
      <c r="C2127" s="174" t="s">
        <v>4350</v>
      </c>
      <c r="D2127" s="174" t="s">
        <v>4749</v>
      </c>
      <c r="E2127" s="175" t="s">
        <v>3936</v>
      </c>
      <c r="F2127" s="176" t="s">
        <v>381</v>
      </c>
      <c r="G2127" s="170"/>
      <c r="H2127" s="170"/>
      <c r="I2127" s="170"/>
      <c r="J2127" s="170"/>
      <c r="K2127" s="170"/>
      <c r="L2127" s="168"/>
      <c r="M2127" s="171" t="s">
        <v>2397</v>
      </c>
      <c r="N2127" s="170"/>
      <c r="O2127" s="170"/>
      <c r="P2127" s="170"/>
    </row>
    <row r="2128" spans="1:16" x14ac:dyDescent="0.25">
      <c r="A2128" s="168"/>
      <c r="B2128" s="174">
        <v>102419206</v>
      </c>
      <c r="C2128" s="174" t="s">
        <v>4351</v>
      </c>
      <c r="D2128" s="174" t="s">
        <v>4750</v>
      </c>
      <c r="E2128" s="175" t="s">
        <v>3937</v>
      </c>
      <c r="F2128" s="176" t="s">
        <v>381</v>
      </c>
      <c r="G2128" s="170"/>
      <c r="H2128" s="170"/>
      <c r="I2128" s="170"/>
      <c r="J2128" s="170"/>
      <c r="K2128" s="170"/>
      <c r="L2128" s="168"/>
      <c r="M2128" s="171" t="s">
        <v>2397</v>
      </c>
      <c r="N2128" s="170"/>
      <c r="O2128" s="170"/>
      <c r="P2128" s="170"/>
    </row>
    <row r="2129" spans="1:16" x14ac:dyDescent="0.25">
      <c r="A2129" s="168"/>
      <c r="B2129" s="174">
        <v>102419278</v>
      </c>
      <c r="C2129" s="174" t="s">
        <v>4422</v>
      </c>
      <c r="D2129" s="174" t="s">
        <v>4822</v>
      </c>
      <c r="E2129" s="175" t="s">
        <v>4008</v>
      </c>
      <c r="F2129" s="176" t="s">
        <v>381</v>
      </c>
      <c r="G2129" s="170"/>
      <c r="H2129" s="170"/>
      <c r="I2129" s="170"/>
      <c r="J2129" s="170"/>
      <c r="K2129" s="170"/>
      <c r="L2129" s="168"/>
      <c r="M2129" s="171" t="s">
        <v>2371</v>
      </c>
      <c r="N2129" s="170"/>
      <c r="O2129" s="170"/>
      <c r="P2129" s="170"/>
    </row>
    <row r="2130" spans="1:16" x14ac:dyDescent="0.25">
      <c r="A2130" s="168"/>
      <c r="B2130" s="174">
        <v>102419170</v>
      </c>
      <c r="C2130" s="174" t="s">
        <v>4315</v>
      </c>
      <c r="D2130" s="174" t="s">
        <v>4714</v>
      </c>
      <c r="E2130" s="175" t="s">
        <v>3902</v>
      </c>
      <c r="F2130" s="176" t="s">
        <v>381</v>
      </c>
      <c r="G2130" s="170"/>
      <c r="H2130" s="170"/>
      <c r="I2130" s="170"/>
      <c r="J2130" s="170"/>
      <c r="K2130" s="170"/>
      <c r="L2130" s="168"/>
      <c r="M2130" s="171" t="s">
        <v>2386</v>
      </c>
      <c r="N2130" s="170"/>
      <c r="O2130" s="170"/>
      <c r="P2130" s="170"/>
    </row>
    <row r="2131" spans="1:16" x14ac:dyDescent="0.25">
      <c r="A2131" s="168"/>
      <c r="B2131" s="174">
        <v>102419454</v>
      </c>
      <c r="C2131" s="174" t="s">
        <v>4598</v>
      </c>
      <c r="D2131" s="174" t="s">
        <v>4998</v>
      </c>
      <c r="E2131" s="175" t="s">
        <v>4216</v>
      </c>
      <c r="F2131" s="176" t="s">
        <v>381</v>
      </c>
      <c r="G2131" s="170"/>
      <c r="H2131" s="170"/>
      <c r="I2131" s="170"/>
      <c r="J2131" s="170"/>
      <c r="K2131" s="170"/>
      <c r="L2131" s="168"/>
      <c r="M2131" s="171" t="s">
        <v>2375</v>
      </c>
      <c r="N2131" s="170"/>
      <c r="O2131" s="170"/>
      <c r="P2131" s="170"/>
    </row>
    <row r="2132" spans="1:16" x14ac:dyDescent="0.25">
      <c r="A2132" s="168"/>
      <c r="B2132" s="174">
        <v>102419313</v>
      </c>
      <c r="C2132" s="174" t="s">
        <v>4457</v>
      </c>
      <c r="D2132" s="174" t="s">
        <v>4857</v>
      </c>
      <c r="E2132" s="175" t="s">
        <v>4043</v>
      </c>
      <c r="F2132" s="176" t="s">
        <v>381</v>
      </c>
      <c r="G2132" s="170"/>
      <c r="H2132" s="170"/>
      <c r="I2132" s="170"/>
      <c r="J2132" s="170"/>
      <c r="K2132" s="170"/>
      <c r="L2132" s="168"/>
      <c r="M2132" s="171" t="s">
        <v>2399</v>
      </c>
      <c r="N2132" s="170"/>
      <c r="O2132" s="170"/>
      <c r="P2132" s="170"/>
    </row>
    <row r="2133" spans="1:16" x14ac:dyDescent="0.25">
      <c r="A2133" s="168"/>
      <c r="B2133" s="174">
        <v>102419522</v>
      </c>
      <c r="C2133" s="174" t="s">
        <v>4665</v>
      </c>
      <c r="D2133" s="174" t="s">
        <v>5066</v>
      </c>
      <c r="E2133" s="175" t="s">
        <v>4182</v>
      </c>
      <c r="F2133" s="176" t="s">
        <v>379</v>
      </c>
      <c r="G2133" s="170"/>
      <c r="H2133" s="170"/>
      <c r="I2133" s="170"/>
      <c r="J2133" s="170"/>
      <c r="K2133" s="170"/>
      <c r="L2133" s="168"/>
      <c r="M2133" s="171" t="s">
        <v>2402</v>
      </c>
      <c r="N2133" s="170"/>
      <c r="O2133" s="170"/>
      <c r="P2133" s="170"/>
    </row>
    <row r="2134" spans="1:16" x14ac:dyDescent="0.25">
      <c r="A2134" s="168"/>
      <c r="B2134" s="174">
        <v>102419348</v>
      </c>
      <c r="C2134" s="174" t="s">
        <v>4492</v>
      </c>
      <c r="D2134" s="174" t="s">
        <v>4892</v>
      </c>
      <c r="E2134" s="175" t="s">
        <v>4078</v>
      </c>
      <c r="F2134" s="176" t="s">
        <v>381</v>
      </c>
      <c r="G2134" s="170"/>
      <c r="H2134" s="170"/>
      <c r="I2134" s="170"/>
      <c r="J2134" s="170"/>
      <c r="K2134" s="170"/>
      <c r="L2134" s="168"/>
      <c r="M2134" s="171" t="s">
        <v>2373</v>
      </c>
      <c r="N2134" s="170"/>
      <c r="O2134" s="170"/>
      <c r="P2134" s="170"/>
    </row>
    <row r="2135" spans="1:16" x14ac:dyDescent="0.25">
      <c r="A2135" s="168"/>
      <c r="B2135" s="174">
        <v>102419241</v>
      </c>
      <c r="C2135" s="174" t="s">
        <v>4385</v>
      </c>
      <c r="D2135" s="174" t="s">
        <v>4785</v>
      </c>
      <c r="E2135" s="175" t="s">
        <v>3971</v>
      </c>
      <c r="F2135" s="176" t="s">
        <v>381</v>
      </c>
      <c r="G2135" s="170"/>
      <c r="H2135" s="170"/>
      <c r="I2135" s="170"/>
      <c r="J2135" s="170"/>
      <c r="K2135" s="170"/>
      <c r="L2135" s="168"/>
      <c r="M2135" s="171" t="s">
        <v>2389</v>
      </c>
      <c r="N2135" s="170"/>
      <c r="O2135" s="170"/>
      <c r="P2135" s="170"/>
    </row>
    <row r="2136" spans="1:16" x14ac:dyDescent="0.25">
      <c r="A2136" s="168"/>
      <c r="B2136" s="174">
        <v>102419523</v>
      </c>
      <c r="C2136" s="174" t="s">
        <v>4666</v>
      </c>
      <c r="D2136" s="174" t="s">
        <v>5067</v>
      </c>
      <c r="E2136" s="175" t="s">
        <v>4183</v>
      </c>
      <c r="F2136" s="176" t="s">
        <v>379</v>
      </c>
      <c r="G2136" s="170"/>
      <c r="H2136" s="170"/>
      <c r="I2136" s="170"/>
      <c r="J2136" s="170"/>
      <c r="K2136" s="170"/>
      <c r="L2136" s="168"/>
      <c r="M2136" s="171" t="s">
        <v>2402</v>
      </c>
      <c r="N2136" s="170"/>
      <c r="O2136" s="170"/>
      <c r="P2136" s="170"/>
    </row>
    <row r="2137" spans="1:16" x14ac:dyDescent="0.25">
      <c r="A2137" s="168"/>
      <c r="B2137" s="174">
        <v>102419242</v>
      </c>
      <c r="C2137" s="174" t="s">
        <v>4386</v>
      </c>
      <c r="D2137" s="174" t="s">
        <v>4786</v>
      </c>
      <c r="E2137" s="175" t="s">
        <v>3972</v>
      </c>
      <c r="F2137" s="176" t="s">
        <v>379</v>
      </c>
      <c r="G2137" s="170"/>
      <c r="H2137" s="170"/>
      <c r="I2137" s="170"/>
      <c r="J2137" s="170"/>
      <c r="K2137" s="170"/>
      <c r="L2137" s="168"/>
      <c r="M2137" s="171" t="s">
        <v>2389</v>
      </c>
      <c r="N2137" s="170"/>
      <c r="O2137" s="170"/>
      <c r="P2137" s="170"/>
    </row>
    <row r="2138" spans="1:16" x14ac:dyDescent="0.25">
      <c r="D2138" s="79"/>
    </row>
  </sheetData>
  <sortState xmlns:xlrd2="http://schemas.microsoft.com/office/spreadsheetml/2017/richdata2" ref="B1351:G1747">
    <sortCondition ref="E1351:E1747"/>
  </sortState>
  <mergeCells count="8">
    <mergeCell ref="P1:P2"/>
    <mergeCell ref="A1:A2"/>
    <mergeCell ref="B1:B2"/>
    <mergeCell ref="C1:C2"/>
    <mergeCell ref="D1:D2"/>
    <mergeCell ref="E1:E2"/>
    <mergeCell ref="F1:F2"/>
    <mergeCell ref="G1:O1"/>
  </mergeCells>
  <phoneticPr fontId="48" type="noConversion"/>
  <pageMargins left="0.7" right="0.7" top="0.75" bottom="0.75" header="0.26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727"/>
  <sheetViews>
    <sheetView topLeftCell="A109" workbookViewId="0">
      <selection activeCell="L1357" sqref="L1357"/>
    </sheetView>
  </sheetViews>
  <sheetFormatPr defaultColWidth="9.140625" defaultRowHeight="15" x14ac:dyDescent="0.25"/>
  <cols>
    <col min="1" max="1" width="12.42578125" style="6" customWidth="1"/>
    <col min="2" max="2" width="4.85546875" style="6" customWidth="1"/>
    <col min="3" max="3" width="11" style="6" customWidth="1"/>
    <col min="4" max="4" width="13.85546875" style="6" customWidth="1"/>
    <col min="5" max="5" width="23" style="6" customWidth="1"/>
    <col min="6" max="6" width="45" style="55" bestFit="1" customWidth="1"/>
    <col min="7" max="7" width="11" style="56" customWidth="1"/>
    <col min="8" max="8" width="10.140625" style="6" customWidth="1"/>
    <col min="9" max="9" width="7.7109375" style="6" customWidth="1"/>
    <col min="10" max="10" width="10.7109375" style="6" customWidth="1"/>
    <col min="11" max="11" width="15.140625" style="6" customWidth="1"/>
    <col min="12" max="12" width="10.140625" style="49" customWidth="1"/>
    <col min="13" max="13" width="12.28515625" style="49" customWidth="1"/>
    <col min="14" max="14" width="11" style="49" bestFit="1" customWidth="1"/>
    <col min="15" max="15" width="10.42578125" style="49" customWidth="1"/>
    <col min="16" max="16" width="35.7109375" style="49" bestFit="1" customWidth="1"/>
    <col min="17" max="17" width="10.7109375" style="49" customWidth="1"/>
    <col min="18" max="18" width="6.28515625" style="49" customWidth="1"/>
    <col min="19" max="19" width="4.85546875" style="49" customWidth="1"/>
    <col min="20" max="20" width="6.140625" style="49" customWidth="1"/>
    <col min="21" max="21" width="7.5703125" style="49" customWidth="1"/>
    <col min="22" max="22" width="4.42578125" style="49" customWidth="1"/>
    <col min="23" max="26" width="4.7109375" style="49" customWidth="1"/>
    <col min="27" max="28" width="9.140625" style="49"/>
    <col min="29" max="29" width="10" style="49" customWidth="1"/>
    <col min="30" max="16384" width="9.140625" style="49"/>
  </cols>
  <sheetData>
    <row r="1" spans="1:13" s="53" customFormat="1" x14ac:dyDescent="0.25">
      <c r="A1" s="5" t="s">
        <v>2780</v>
      </c>
      <c r="B1" s="5" t="s">
        <v>430</v>
      </c>
      <c r="C1" s="5" t="s">
        <v>431</v>
      </c>
      <c r="D1" s="5" t="s">
        <v>0</v>
      </c>
      <c r="E1" s="5" t="s">
        <v>432</v>
      </c>
      <c r="F1" s="5" t="s">
        <v>433</v>
      </c>
      <c r="G1" s="57" t="s">
        <v>434</v>
      </c>
      <c r="H1" s="5" t="s">
        <v>378</v>
      </c>
      <c r="I1" s="5" t="s">
        <v>2781</v>
      </c>
      <c r="J1" s="5" t="s">
        <v>2782</v>
      </c>
      <c r="K1" s="5" t="s">
        <v>2783</v>
      </c>
      <c r="L1" s="53" t="s">
        <v>2784</v>
      </c>
      <c r="M1" s="53" t="s">
        <v>2785</v>
      </c>
    </row>
    <row r="2" spans="1:13" s="53" customFormat="1" x14ac:dyDescent="0.25">
      <c r="A2" s="58" t="str">
        <f t="shared" ref="A2:A65" si="0">H2&amp;B2</f>
        <v>X KA 11</v>
      </c>
      <c r="B2" s="171">
        <f>COUNTIF(H$2:H2,H2)</f>
        <v>1</v>
      </c>
      <c r="C2" s="5">
        <f>'Baru NIS'!C2</f>
        <v>102519525</v>
      </c>
      <c r="D2" s="5" t="str">
        <f>'Baru NIS'!D2</f>
        <v>3106989660</v>
      </c>
      <c r="E2" s="5" t="str">
        <f>'Baru NIS'!E2</f>
        <v>102519525 /   3106989660</v>
      </c>
      <c r="F2" s="59" t="str">
        <f>'Baru NIS'!F2</f>
        <v>ABGARI RADITYA AHMAD</v>
      </c>
      <c r="G2" s="5" t="str">
        <f>'Baru NIS'!G2</f>
        <v>L</v>
      </c>
      <c r="H2" s="5" t="str">
        <f>'Baru NIS'!H2</f>
        <v>X KA 1</v>
      </c>
      <c r="I2" s="5" t="s">
        <v>5672</v>
      </c>
      <c r="J2" s="5" t="s">
        <v>5673</v>
      </c>
      <c r="K2" s="5" t="str">
        <f t="shared" ref="K2:K65" si="1">G2&amp;J2</f>
        <v>LKA</v>
      </c>
    </row>
    <row r="3" spans="1:13" s="53" customFormat="1" x14ac:dyDescent="0.25">
      <c r="A3" s="58" t="str">
        <f t="shared" si="0"/>
        <v>X KA 12</v>
      </c>
      <c r="B3" s="171">
        <f>COUNTIF(H$2:H3,H3)</f>
        <v>2</v>
      </c>
      <c r="C3" s="5">
        <f>'Baru NIS'!C3</f>
        <v>102519526</v>
      </c>
      <c r="D3" s="5" t="str">
        <f>'Baru NIS'!D3</f>
        <v>0094413313</v>
      </c>
      <c r="E3" s="5" t="str">
        <f>'Baru NIS'!E3</f>
        <v>102519526 /   0094413313</v>
      </c>
      <c r="F3" s="59" t="str">
        <f>'Baru NIS'!F3</f>
        <v>ADINDA PUTRI</v>
      </c>
      <c r="G3" s="5" t="str">
        <f>'Baru NIS'!G3</f>
        <v>P</v>
      </c>
      <c r="H3" s="5" t="str">
        <f>'Baru NIS'!H3</f>
        <v>X KA 1</v>
      </c>
      <c r="I3" s="5" t="s">
        <v>5672</v>
      </c>
      <c r="J3" s="5" t="s">
        <v>5673</v>
      </c>
      <c r="K3" s="5" t="str">
        <f t="shared" si="1"/>
        <v>PKA</v>
      </c>
    </row>
    <row r="4" spans="1:13" s="53" customFormat="1" x14ac:dyDescent="0.25">
      <c r="A4" s="58" t="str">
        <f t="shared" si="0"/>
        <v>X KA 13</v>
      </c>
      <c r="B4" s="171">
        <f>COUNTIF(H$2:H4,H4)</f>
        <v>3</v>
      </c>
      <c r="C4" s="5">
        <f>'Baru NIS'!C4</f>
        <v>102519527</v>
      </c>
      <c r="D4" s="5" t="str">
        <f>'Baru NIS'!D4</f>
        <v>0101004818</v>
      </c>
      <c r="E4" s="5" t="str">
        <f>'Baru NIS'!E4</f>
        <v>102519527 /   0101004818</v>
      </c>
      <c r="F4" s="59" t="str">
        <f>'Baru NIS'!F4</f>
        <v>ALIFA JIHAN IFTINAH</v>
      </c>
      <c r="G4" s="5" t="str">
        <f>'Baru NIS'!G4</f>
        <v>P</v>
      </c>
      <c r="H4" s="5" t="str">
        <f>'Baru NIS'!H4</f>
        <v>X KA 1</v>
      </c>
      <c r="I4" s="5" t="s">
        <v>5672</v>
      </c>
      <c r="J4" s="5" t="s">
        <v>5673</v>
      </c>
      <c r="K4" s="5" t="str">
        <f t="shared" si="1"/>
        <v>PKA</v>
      </c>
    </row>
    <row r="5" spans="1:13" s="53" customFormat="1" x14ac:dyDescent="0.25">
      <c r="A5" s="58" t="str">
        <f t="shared" si="0"/>
        <v>X KA 14</v>
      </c>
      <c r="B5" s="171">
        <f>COUNTIF(H$2:H5,H5)</f>
        <v>4</v>
      </c>
      <c r="C5" s="5">
        <f>'Baru NIS'!C5</f>
        <v>102519528</v>
      </c>
      <c r="D5" s="5" t="str">
        <f>'Baru NIS'!D5</f>
        <v>0099555110</v>
      </c>
      <c r="E5" s="5" t="str">
        <f>'Baru NIS'!E5</f>
        <v>102519528 /   0099555110</v>
      </c>
      <c r="F5" s="59" t="str">
        <f>'Baru NIS'!F5</f>
        <v>ALMIRA ATHYYA HUSNIAH</v>
      </c>
      <c r="G5" s="5" t="str">
        <f>'Baru NIS'!G5</f>
        <v>P</v>
      </c>
      <c r="H5" s="5" t="str">
        <f>'Baru NIS'!H5</f>
        <v>X KA 1</v>
      </c>
      <c r="I5" s="5" t="s">
        <v>5672</v>
      </c>
      <c r="J5" s="5" t="s">
        <v>5673</v>
      </c>
      <c r="K5" s="5" t="str">
        <f t="shared" si="1"/>
        <v>PKA</v>
      </c>
    </row>
    <row r="6" spans="1:13" s="53" customFormat="1" x14ac:dyDescent="0.25">
      <c r="A6" s="58" t="str">
        <f t="shared" si="0"/>
        <v>X KA 15</v>
      </c>
      <c r="B6" s="171">
        <f>COUNTIF(H$2:H6,H6)</f>
        <v>5</v>
      </c>
      <c r="C6" s="5">
        <f>'Baru NIS'!C6</f>
        <v>102519529</v>
      </c>
      <c r="D6" s="5" t="str">
        <f>'Baru NIS'!D6</f>
        <v>0099117757</v>
      </c>
      <c r="E6" s="5" t="str">
        <f>'Baru NIS'!E6</f>
        <v>102519529 /   0099117757</v>
      </c>
      <c r="F6" s="59" t="str">
        <f>'Baru NIS'!F6</f>
        <v>ALYYA RAHMAWATI</v>
      </c>
      <c r="G6" s="5" t="str">
        <f>'Baru NIS'!G6</f>
        <v>P</v>
      </c>
      <c r="H6" s="5" t="str">
        <f>'Baru NIS'!H6</f>
        <v>X KA 1</v>
      </c>
      <c r="I6" s="5" t="s">
        <v>5672</v>
      </c>
      <c r="J6" s="5" t="s">
        <v>5673</v>
      </c>
      <c r="K6" s="5" t="str">
        <f t="shared" si="1"/>
        <v>PKA</v>
      </c>
    </row>
    <row r="7" spans="1:13" s="53" customFormat="1" x14ac:dyDescent="0.25">
      <c r="A7" s="58" t="str">
        <f t="shared" si="0"/>
        <v>X KA 16</v>
      </c>
      <c r="B7" s="171">
        <f>COUNTIF(H$2:H7,H7)</f>
        <v>6</v>
      </c>
      <c r="C7" s="5">
        <f>'Baru NIS'!C7</f>
        <v>102519530</v>
      </c>
      <c r="D7" s="5" t="str">
        <f>'Baru NIS'!D7</f>
        <v>0106834163</v>
      </c>
      <c r="E7" s="5" t="str">
        <f>'Baru NIS'!E7</f>
        <v>102519530 /   0106834163</v>
      </c>
      <c r="F7" s="59" t="str">
        <f>'Baru NIS'!F7</f>
        <v>AMEERA PUTRI AL ZAHRA</v>
      </c>
      <c r="G7" s="5" t="str">
        <f>'Baru NIS'!G7</f>
        <v>P</v>
      </c>
      <c r="H7" s="5" t="str">
        <f>'Baru NIS'!H7</f>
        <v>X KA 1</v>
      </c>
      <c r="I7" s="5" t="s">
        <v>5672</v>
      </c>
      <c r="J7" s="5" t="s">
        <v>5673</v>
      </c>
      <c r="K7" s="5" t="str">
        <f t="shared" si="1"/>
        <v>PKA</v>
      </c>
    </row>
    <row r="8" spans="1:13" s="53" customFormat="1" x14ac:dyDescent="0.25">
      <c r="A8" s="58" t="str">
        <f t="shared" si="0"/>
        <v>X KA 17</v>
      </c>
      <c r="B8" s="171">
        <f>COUNTIF(H$2:H8,H8)</f>
        <v>7</v>
      </c>
      <c r="C8" s="5">
        <f>'Baru NIS'!C8</f>
        <v>102519531</v>
      </c>
      <c r="D8" s="5" t="str">
        <f>'Baru NIS'!D8</f>
        <v>0099850277</v>
      </c>
      <c r="E8" s="5" t="str">
        <f>'Baru NIS'!E8</f>
        <v>102519531 /   0099850277</v>
      </c>
      <c r="F8" s="59" t="str">
        <f>'Baru NIS'!F8</f>
        <v>ARVINO YUMA PRATAMA</v>
      </c>
      <c r="G8" s="5" t="str">
        <f>'Baru NIS'!G8</f>
        <v>L</v>
      </c>
      <c r="H8" s="5" t="str">
        <f>'Baru NIS'!H8</f>
        <v>X KA 1</v>
      </c>
      <c r="I8" s="5" t="s">
        <v>5672</v>
      </c>
      <c r="J8" s="5" t="s">
        <v>5673</v>
      </c>
      <c r="K8" s="5" t="str">
        <f t="shared" si="1"/>
        <v>LKA</v>
      </c>
    </row>
    <row r="9" spans="1:13" s="53" customFormat="1" x14ac:dyDescent="0.25">
      <c r="A9" s="58" t="str">
        <f t="shared" si="0"/>
        <v>X KA 18</v>
      </c>
      <c r="B9" s="171">
        <f>COUNTIF(H$2:H9,H9)</f>
        <v>8</v>
      </c>
      <c r="C9" s="5">
        <f>'Baru NIS'!C9</f>
        <v>102519532</v>
      </c>
      <c r="D9" s="5" t="str">
        <f>'Baru NIS'!D9</f>
        <v>0104157931</v>
      </c>
      <c r="E9" s="5" t="str">
        <f>'Baru NIS'!E9</f>
        <v>102519532 /   0104157931</v>
      </c>
      <c r="F9" s="59" t="str">
        <f>'Baru NIS'!F9</f>
        <v>AYESHA ZEPHANIA</v>
      </c>
      <c r="G9" s="5" t="str">
        <f>'Baru NIS'!G9</f>
        <v>P</v>
      </c>
      <c r="H9" s="5" t="str">
        <f>'Baru NIS'!H9</f>
        <v>X KA 1</v>
      </c>
      <c r="I9" s="5" t="s">
        <v>5672</v>
      </c>
      <c r="J9" s="5" t="s">
        <v>5673</v>
      </c>
      <c r="K9" s="5" t="str">
        <f t="shared" si="1"/>
        <v>PKA</v>
      </c>
    </row>
    <row r="10" spans="1:13" s="53" customFormat="1" x14ac:dyDescent="0.25">
      <c r="A10" s="58" t="str">
        <f t="shared" si="0"/>
        <v>X KA 19</v>
      </c>
      <c r="B10" s="171">
        <f>COUNTIF(H$2:H10,H10)</f>
        <v>9</v>
      </c>
      <c r="C10" s="5">
        <f>'Baru NIS'!C10</f>
        <v>102519533</v>
      </c>
      <c r="D10" s="5" t="str">
        <f>'Baru NIS'!D10</f>
        <v>0095348926</v>
      </c>
      <c r="E10" s="5" t="str">
        <f>'Baru NIS'!E10</f>
        <v>102519533 /   0095348926</v>
      </c>
      <c r="F10" s="59" t="str">
        <f>'Baru NIS'!F10</f>
        <v>CIKAL ABDUL MUIZ MUTSAQIF</v>
      </c>
      <c r="G10" s="5" t="str">
        <f>'Baru NIS'!G10</f>
        <v>L</v>
      </c>
      <c r="H10" s="5" t="str">
        <f>'Baru NIS'!H10</f>
        <v>X KA 1</v>
      </c>
      <c r="I10" s="5" t="s">
        <v>5672</v>
      </c>
      <c r="J10" s="5" t="s">
        <v>5673</v>
      </c>
      <c r="K10" s="5" t="str">
        <f t="shared" si="1"/>
        <v>LKA</v>
      </c>
    </row>
    <row r="11" spans="1:13" s="53" customFormat="1" x14ac:dyDescent="0.25">
      <c r="A11" s="58" t="str">
        <f t="shared" si="0"/>
        <v>X KA 110</v>
      </c>
      <c r="B11" s="171">
        <f>COUNTIF(H$2:H11,H11)</f>
        <v>10</v>
      </c>
      <c r="C11" s="5">
        <f>'Baru NIS'!C11</f>
        <v>102519534</v>
      </c>
      <c r="D11" s="5" t="str">
        <f>'Baru NIS'!D11</f>
        <v>0105056370</v>
      </c>
      <c r="E11" s="5" t="str">
        <f>'Baru NIS'!E11</f>
        <v>102519534 /   0105056370</v>
      </c>
      <c r="F11" s="59" t="str">
        <f>'Baru NIS'!F11</f>
        <v>DANAR PRAWIRA</v>
      </c>
      <c r="G11" s="5" t="str">
        <f>'Baru NIS'!G11</f>
        <v>L</v>
      </c>
      <c r="H11" s="5" t="str">
        <f>'Baru NIS'!H11</f>
        <v>X KA 1</v>
      </c>
      <c r="I11" s="5" t="s">
        <v>5672</v>
      </c>
      <c r="J11" s="5" t="s">
        <v>5673</v>
      </c>
      <c r="K11" s="5" t="str">
        <f t="shared" si="1"/>
        <v>LKA</v>
      </c>
    </row>
    <row r="12" spans="1:13" s="53" customFormat="1" x14ac:dyDescent="0.25">
      <c r="A12" s="58" t="str">
        <f t="shared" si="0"/>
        <v>X KA 111</v>
      </c>
      <c r="B12" s="171">
        <f>COUNTIF(H$2:H12,H12)</f>
        <v>11</v>
      </c>
      <c r="C12" s="5">
        <f>'Baru NIS'!C12</f>
        <v>102519535</v>
      </c>
      <c r="D12" s="5" t="str">
        <f>'Baru NIS'!D12</f>
        <v>0098323888</v>
      </c>
      <c r="E12" s="5" t="str">
        <f>'Baru NIS'!E12</f>
        <v>102519535 /   0098323888</v>
      </c>
      <c r="F12" s="59" t="str">
        <f>'Baru NIS'!F12</f>
        <v>DEVINA YULIA</v>
      </c>
      <c r="G12" s="5" t="str">
        <f>'Baru NIS'!G12</f>
        <v>P</v>
      </c>
      <c r="H12" s="5" t="str">
        <f>'Baru NIS'!H12</f>
        <v>X KA 1</v>
      </c>
      <c r="I12" s="5" t="s">
        <v>5672</v>
      </c>
      <c r="J12" s="5" t="s">
        <v>5673</v>
      </c>
      <c r="K12" s="5" t="str">
        <f t="shared" si="1"/>
        <v>PKA</v>
      </c>
    </row>
    <row r="13" spans="1:13" s="53" customFormat="1" x14ac:dyDescent="0.25">
      <c r="A13" s="58" t="str">
        <f t="shared" si="0"/>
        <v>X KA 112</v>
      </c>
      <c r="B13" s="171">
        <f>COUNTIF(H$2:H13,H13)</f>
        <v>12</v>
      </c>
      <c r="C13" s="5">
        <f>'Baru NIS'!C13</f>
        <v>102519536</v>
      </c>
      <c r="D13" s="5" t="str">
        <f>'Baru NIS'!D13</f>
        <v>0101455732</v>
      </c>
      <c r="E13" s="5" t="str">
        <f>'Baru NIS'!E13</f>
        <v>102519536 /   0101455732</v>
      </c>
      <c r="F13" s="59" t="str">
        <f>'Baru NIS'!F13</f>
        <v>ERLANGGA AL FIKRI</v>
      </c>
      <c r="G13" s="5" t="str">
        <f>'Baru NIS'!G13</f>
        <v>L</v>
      </c>
      <c r="H13" s="5" t="str">
        <f>'Baru NIS'!H13</f>
        <v>X KA 1</v>
      </c>
      <c r="I13" s="5" t="s">
        <v>5672</v>
      </c>
      <c r="J13" s="5" t="s">
        <v>5673</v>
      </c>
      <c r="K13" s="5" t="str">
        <f t="shared" si="1"/>
        <v>LKA</v>
      </c>
    </row>
    <row r="14" spans="1:13" s="53" customFormat="1" x14ac:dyDescent="0.25">
      <c r="A14" s="58" t="str">
        <f t="shared" si="0"/>
        <v>X KA 113</v>
      </c>
      <c r="B14" s="171">
        <f>COUNTIF(H$2:H14,H14)</f>
        <v>13</v>
      </c>
      <c r="C14" s="5">
        <f>'Baru NIS'!C14</f>
        <v>102519537</v>
      </c>
      <c r="D14" s="5" t="str">
        <f>'Baru NIS'!D14</f>
        <v>0107283385</v>
      </c>
      <c r="E14" s="5" t="str">
        <f>'Baru NIS'!E14</f>
        <v>102519537 /   0107283385</v>
      </c>
      <c r="F14" s="59" t="str">
        <f>'Baru NIS'!F14</f>
        <v>FARID KHAIRUL AZMI</v>
      </c>
      <c r="G14" s="5" t="str">
        <f>'Baru NIS'!G14</f>
        <v>L</v>
      </c>
      <c r="H14" s="5" t="str">
        <f>'Baru NIS'!H14</f>
        <v>X KA 1</v>
      </c>
      <c r="I14" s="5" t="s">
        <v>5672</v>
      </c>
      <c r="J14" s="5" t="s">
        <v>5673</v>
      </c>
      <c r="K14" s="5" t="str">
        <f t="shared" si="1"/>
        <v>LKA</v>
      </c>
    </row>
    <row r="15" spans="1:13" s="53" customFormat="1" x14ac:dyDescent="0.25">
      <c r="A15" s="58" t="str">
        <f t="shared" si="0"/>
        <v>X KA 114</v>
      </c>
      <c r="B15" s="171">
        <f>COUNTIF(H$2:H15,H15)</f>
        <v>14</v>
      </c>
      <c r="C15" s="5">
        <f>'Baru NIS'!C15</f>
        <v>102519538</v>
      </c>
      <c r="D15" s="5" t="str">
        <f>'Baru NIS'!D15</f>
        <v>0091534514</v>
      </c>
      <c r="E15" s="5" t="str">
        <f>'Baru NIS'!E15</f>
        <v>102519538 /   0091534514</v>
      </c>
      <c r="F15" s="59" t="str">
        <f>'Baru NIS'!F15</f>
        <v>FUAN NOER ASSYFA GINTING</v>
      </c>
      <c r="G15" s="5" t="str">
        <f>'Baru NIS'!G15</f>
        <v>P</v>
      </c>
      <c r="H15" s="5" t="str">
        <f>'Baru NIS'!H15</f>
        <v>X KA 1</v>
      </c>
      <c r="I15" s="5" t="s">
        <v>5672</v>
      </c>
      <c r="J15" s="5" t="s">
        <v>5673</v>
      </c>
      <c r="K15" s="5" t="str">
        <f t="shared" si="1"/>
        <v>PKA</v>
      </c>
    </row>
    <row r="16" spans="1:13" s="53" customFormat="1" x14ac:dyDescent="0.25">
      <c r="A16" s="58" t="str">
        <f t="shared" si="0"/>
        <v>X KA 115</v>
      </c>
      <c r="B16" s="171">
        <f>COUNTIF(H$2:H16,H16)</f>
        <v>15</v>
      </c>
      <c r="C16" s="5">
        <f>'Baru NIS'!C16</f>
        <v>102519539</v>
      </c>
      <c r="D16" s="5" t="str">
        <f>'Baru NIS'!D16</f>
        <v>0093275414</v>
      </c>
      <c r="E16" s="5" t="str">
        <f>'Baru NIS'!E16</f>
        <v>102519539 /   0093275414</v>
      </c>
      <c r="F16" s="59" t="str">
        <f>'Baru NIS'!F16</f>
        <v>GHAITSA ZAHIRA SHOFA</v>
      </c>
      <c r="G16" s="5" t="str">
        <f>'Baru NIS'!G16</f>
        <v>P</v>
      </c>
      <c r="H16" s="5" t="str">
        <f>'Baru NIS'!H16</f>
        <v>X KA 1</v>
      </c>
      <c r="I16" s="5" t="s">
        <v>5672</v>
      </c>
      <c r="J16" s="5" t="s">
        <v>5673</v>
      </c>
      <c r="K16" s="5" t="str">
        <f t="shared" si="1"/>
        <v>PKA</v>
      </c>
    </row>
    <row r="17" spans="1:11" s="53" customFormat="1" x14ac:dyDescent="0.25">
      <c r="A17" s="58" t="str">
        <f t="shared" si="0"/>
        <v>X KA 116</v>
      </c>
      <c r="B17" s="171">
        <f>COUNTIF(H$2:H17,H17)</f>
        <v>16</v>
      </c>
      <c r="C17" s="5">
        <f>'Baru NIS'!C17</f>
        <v>102519540</v>
      </c>
      <c r="D17" s="5" t="str">
        <f>'Baru NIS'!D17</f>
        <v>0102080145</v>
      </c>
      <c r="E17" s="5" t="str">
        <f>'Baru NIS'!E17</f>
        <v>102519540 /   0102080145</v>
      </c>
      <c r="F17" s="59" t="str">
        <f>'Baru NIS'!F17</f>
        <v>HILMAN SAPUTRA</v>
      </c>
      <c r="G17" s="5" t="str">
        <f>'Baru NIS'!G17</f>
        <v>L</v>
      </c>
      <c r="H17" s="5" t="str">
        <f>'Baru NIS'!H17</f>
        <v>X KA 1</v>
      </c>
      <c r="I17" s="5" t="s">
        <v>5672</v>
      </c>
      <c r="J17" s="5" t="s">
        <v>5673</v>
      </c>
      <c r="K17" s="5" t="str">
        <f t="shared" si="1"/>
        <v>LKA</v>
      </c>
    </row>
    <row r="18" spans="1:11" s="53" customFormat="1" x14ac:dyDescent="0.25">
      <c r="A18" s="58" t="str">
        <f t="shared" si="0"/>
        <v>X KA 117</v>
      </c>
      <c r="B18" s="171">
        <f>COUNTIF(H$2:H18,H18)</f>
        <v>17</v>
      </c>
      <c r="C18" s="5">
        <f>'Baru NIS'!C18</f>
        <v>102519541</v>
      </c>
      <c r="D18" s="5" t="str">
        <f>'Baru NIS'!D18</f>
        <v>0092436932</v>
      </c>
      <c r="E18" s="5" t="str">
        <f>'Baru NIS'!E18</f>
        <v>102519541 /   0092436932</v>
      </c>
      <c r="F18" s="59" t="str">
        <f>'Baru NIS'!F18</f>
        <v>ISMI ANANDA PUTRI</v>
      </c>
      <c r="G18" s="5" t="str">
        <f>'Baru NIS'!G18</f>
        <v>P</v>
      </c>
      <c r="H18" s="5" t="str">
        <f>'Baru NIS'!H18</f>
        <v>X KA 1</v>
      </c>
      <c r="I18" s="5" t="s">
        <v>5672</v>
      </c>
      <c r="J18" s="5" t="s">
        <v>5673</v>
      </c>
      <c r="K18" s="5" t="str">
        <f t="shared" si="1"/>
        <v>PKA</v>
      </c>
    </row>
    <row r="19" spans="1:11" s="53" customFormat="1" x14ac:dyDescent="0.25">
      <c r="A19" s="58" t="str">
        <f t="shared" si="0"/>
        <v>X KA 118</v>
      </c>
      <c r="B19" s="171">
        <f>COUNTIF(H$2:H19,H19)</f>
        <v>18</v>
      </c>
      <c r="C19" s="5">
        <f>'Baru NIS'!C19</f>
        <v>102519542</v>
      </c>
      <c r="D19" s="5">
        <f>'Baru NIS'!D19</f>
        <v>0</v>
      </c>
      <c r="E19" s="5" t="str">
        <f>'Baru NIS'!E19</f>
        <v>102519542 /   0</v>
      </c>
      <c r="F19" s="59" t="str">
        <f>'Baru NIS'!F19</f>
        <v>JASMINE ANGELIE MAURINA</v>
      </c>
      <c r="G19" s="5" t="str">
        <f>'Baru NIS'!G19</f>
        <v>P</v>
      </c>
      <c r="H19" s="5" t="str">
        <f>'Baru NIS'!H19</f>
        <v>X KA 1</v>
      </c>
      <c r="I19" s="5" t="s">
        <v>5672</v>
      </c>
      <c r="J19" s="5" t="s">
        <v>5673</v>
      </c>
      <c r="K19" s="5" t="str">
        <f t="shared" si="1"/>
        <v>PKA</v>
      </c>
    </row>
    <row r="20" spans="1:11" s="53" customFormat="1" x14ac:dyDescent="0.25">
      <c r="A20" s="58" t="str">
        <f t="shared" si="0"/>
        <v>X KA 119</v>
      </c>
      <c r="B20" s="171">
        <f>COUNTIF(H$2:H20,H20)</f>
        <v>19</v>
      </c>
      <c r="C20" s="5">
        <f>'Baru NIS'!C20</f>
        <v>102519543</v>
      </c>
      <c r="D20" s="5" t="str">
        <f>'Baru NIS'!D20</f>
        <v>0099699911</v>
      </c>
      <c r="E20" s="5" t="str">
        <f>'Baru NIS'!E20</f>
        <v>102519543 /   0099699911</v>
      </c>
      <c r="F20" s="59" t="str">
        <f>'Baru NIS'!F20</f>
        <v>KHAERILDA AYESHA REZKI</v>
      </c>
      <c r="G20" s="5" t="str">
        <f>'Baru NIS'!G20</f>
        <v>P</v>
      </c>
      <c r="H20" s="5" t="str">
        <f>'Baru NIS'!H20</f>
        <v>X KA 1</v>
      </c>
      <c r="I20" s="5" t="s">
        <v>5672</v>
      </c>
      <c r="J20" s="5" t="s">
        <v>5673</v>
      </c>
      <c r="K20" s="5" t="str">
        <f t="shared" si="1"/>
        <v>PKA</v>
      </c>
    </row>
    <row r="21" spans="1:11" s="53" customFormat="1" x14ac:dyDescent="0.25">
      <c r="A21" s="58" t="str">
        <f t="shared" si="0"/>
        <v>X KA 120</v>
      </c>
      <c r="B21" s="171">
        <f>COUNTIF(H$2:H21,H21)</f>
        <v>20</v>
      </c>
      <c r="C21" s="5">
        <f>'Baru NIS'!C21</f>
        <v>102519544</v>
      </c>
      <c r="D21" s="5" t="str">
        <f>'Baru NIS'!D21</f>
        <v>0095196716</v>
      </c>
      <c r="E21" s="5" t="str">
        <f>'Baru NIS'!E21</f>
        <v>102519544 /   0095196716</v>
      </c>
      <c r="F21" s="59" t="str">
        <f>'Baru NIS'!F21</f>
        <v>LUTHFIYAH HAZANAH AL-KHOFIDH</v>
      </c>
      <c r="G21" s="5" t="str">
        <f>'Baru NIS'!G21</f>
        <v>P</v>
      </c>
      <c r="H21" s="5" t="str">
        <f>'Baru NIS'!H21</f>
        <v>X KA 1</v>
      </c>
      <c r="I21" s="5" t="s">
        <v>5672</v>
      </c>
      <c r="J21" s="5" t="s">
        <v>5673</v>
      </c>
      <c r="K21" s="5" t="str">
        <f t="shared" si="1"/>
        <v>PKA</v>
      </c>
    </row>
    <row r="22" spans="1:11" s="53" customFormat="1" x14ac:dyDescent="0.25">
      <c r="A22" s="58" t="str">
        <f t="shared" si="0"/>
        <v>X KA 121</v>
      </c>
      <c r="B22" s="171">
        <f>COUNTIF(H$2:H22,H22)</f>
        <v>21</v>
      </c>
      <c r="C22" s="5">
        <f>'Baru NIS'!C22</f>
        <v>102519545</v>
      </c>
      <c r="D22" s="5" t="str">
        <f>'Baru NIS'!D22</f>
        <v>0095491585</v>
      </c>
      <c r="E22" s="5" t="str">
        <f>'Baru NIS'!E22</f>
        <v>102519545 /   0095491585</v>
      </c>
      <c r="F22" s="59" t="str">
        <f>'Baru NIS'!F22</f>
        <v>MOCHAMMAD FARIZ ADITYA</v>
      </c>
      <c r="G22" s="5" t="str">
        <f>'Baru NIS'!G22</f>
        <v>L</v>
      </c>
      <c r="H22" s="5" t="str">
        <f>'Baru NIS'!H22</f>
        <v>X KA 1</v>
      </c>
      <c r="I22" s="5" t="s">
        <v>5672</v>
      </c>
      <c r="J22" s="5" t="s">
        <v>5673</v>
      </c>
      <c r="K22" s="5" t="str">
        <f t="shared" si="1"/>
        <v>LKA</v>
      </c>
    </row>
    <row r="23" spans="1:11" s="53" customFormat="1" x14ac:dyDescent="0.25">
      <c r="A23" s="58" t="str">
        <f t="shared" si="0"/>
        <v>X KA 122</v>
      </c>
      <c r="B23" s="171">
        <f>COUNTIF(H$2:H23,H23)</f>
        <v>22</v>
      </c>
      <c r="C23" s="5">
        <f>'Baru NIS'!C23</f>
        <v>102519546</v>
      </c>
      <c r="D23" s="5" t="str">
        <f>'Baru NIS'!D23</f>
        <v>0096471531</v>
      </c>
      <c r="E23" s="5" t="str">
        <f>'Baru NIS'!E23</f>
        <v>102519546 /   0096471531</v>
      </c>
      <c r="F23" s="59" t="str">
        <f>'Baru NIS'!F23</f>
        <v>MUHAMMAD ARVAN ZHARIV</v>
      </c>
      <c r="G23" s="5" t="str">
        <f>'Baru NIS'!G23</f>
        <v>L</v>
      </c>
      <c r="H23" s="5" t="str">
        <f>'Baru NIS'!H23</f>
        <v>X KA 1</v>
      </c>
      <c r="I23" s="5" t="s">
        <v>5672</v>
      </c>
      <c r="J23" s="5" t="s">
        <v>5673</v>
      </c>
      <c r="K23" s="5" t="str">
        <f t="shared" si="1"/>
        <v>LKA</v>
      </c>
    </row>
    <row r="24" spans="1:11" s="53" customFormat="1" x14ac:dyDescent="0.25">
      <c r="A24" s="58" t="str">
        <f t="shared" si="0"/>
        <v>X KA 123</v>
      </c>
      <c r="B24" s="171">
        <f>COUNTIF(H$2:H24,H24)</f>
        <v>23</v>
      </c>
      <c r="C24" s="5">
        <f>'Baru NIS'!C24</f>
        <v>102519547</v>
      </c>
      <c r="D24" s="5" t="str">
        <f>'Baru NIS'!D24</f>
        <v>0096690592</v>
      </c>
      <c r="E24" s="5" t="str">
        <f>'Baru NIS'!E24</f>
        <v>102519547 /   0096690592</v>
      </c>
      <c r="F24" s="59" t="str">
        <f>'Baru NIS'!F24</f>
        <v>MUHAMMAD FAHMI NUR IHSAN</v>
      </c>
      <c r="G24" s="5" t="str">
        <f>'Baru NIS'!G24</f>
        <v>L</v>
      </c>
      <c r="H24" s="5" t="str">
        <f>'Baru NIS'!H24</f>
        <v>X KA 1</v>
      </c>
      <c r="I24" s="5" t="s">
        <v>5672</v>
      </c>
      <c r="J24" s="5" t="s">
        <v>5673</v>
      </c>
      <c r="K24" s="5" t="str">
        <f t="shared" si="1"/>
        <v>LKA</v>
      </c>
    </row>
    <row r="25" spans="1:11" s="53" customFormat="1" x14ac:dyDescent="0.25">
      <c r="A25" s="58" t="str">
        <f t="shared" si="0"/>
        <v>X KA 124</v>
      </c>
      <c r="B25" s="171">
        <f>COUNTIF(H$2:H25,H25)</f>
        <v>24</v>
      </c>
      <c r="C25" s="5">
        <f>'Baru NIS'!C25</f>
        <v>102519548</v>
      </c>
      <c r="D25" s="5" t="str">
        <f>'Baru NIS'!D25</f>
        <v>0093683299</v>
      </c>
      <c r="E25" s="5" t="str">
        <f>'Baru NIS'!E25</f>
        <v>102519548 /   0093683299</v>
      </c>
      <c r="F25" s="59" t="str">
        <f>'Baru NIS'!F25</f>
        <v>MUHAMMAD ZIDANE FIKRUL 'AZIZ</v>
      </c>
      <c r="G25" s="5" t="str">
        <f>'Baru NIS'!G25</f>
        <v>L</v>
      </c>
      <c r="H25" s="5" t="str">
        <f>'Baru NIS'!H25</f>
        <v>X KA 1</v>
      </c>
      <c r="I25" s="5" t="s">
        <v>5672</v>
      </c>
      <c r="J25" s="5" t="s">
        <v>5673</v>
      </c>
      <c r="K25" s="5" t="str">
        <f t="shared" si="1"/>
        <v>LKA</v>
      </c>
    </row>
    <row r="26" spans="1:11" s="53" customFormat="1" x14ac:dyDescent="0.25">
      <c r="A26" s="58" t="str">
        <f t="shared" si="0"/>
        <v>X KA 125</v>
      </c>
      <c r="B26" s="171">
        <f>COUNTIF(H$2:H26,H26)</f>
        <v>25</v>
      </c>
      <c r="C26" s="5">
        <f>'Baru NIS'!C26</f>
        <v>102519549</v>
      </c>
      <c r="D26" s="5" t="str">
        <f>'Baru NIS'!D26</f>
        <v>0092565914</v>
      </c>
      <c r="E26" s="5" t="str">
        <f>'Baru NIS'!E26</f>
        <v>102519549 /   0092565914</v>
      </c>
      <c r="F26" s="59" t="str">
        <f>'Baru NIS'!F26</f>
        <v>NAZWA PUSPA NINGRUM</v>
      </c>
      <c r="G26" s="5" t="str">
        <f>'Baru NIS'!G26</f>
        <v>P</v>
      </c>
      <c r="H26" s="5" t="str">
        <f>'Baru NIS'!H26</f>
        <v>X KA 1</v>
      </c>
      <c r="I26" s="5" t="s">
        <v>5672</v>
      </c>
      <c r="J26" s="5" t="s">
        <v>5673</v>
      </c>
      <c r="K26" s="5" t="str">
        <f t="shared" si="1"/>
        <v>PKA</v>
      </c>
    </row>
    <row r="27" spans="1:11" s="53" customFormat="1" x14ac:dyDescent="0.25">
      <c r="A27" s="58" t="str">
        <f t="shared" si="0"/>
        <v>X KA 126</v>
      </c>
      <c r="B27" s="171">
        <f>COUNTIF(H$2:H27,H27)</f>
        <v>26</v>
      </c>
      <c r="C27" s="5">
        <f>'Baru NIS'!C27</f>
        <v>102519550</v>
      </c>
      <c r="D27" s="5" t="str">
        <f>'Baru NIS'!D27</f>
        <v>0092277023</v>
      </c>
      <c r="E27" s="5" t="str">
        <f>'Baru NIS'!E27</f>
        <v>102519550 /   0092277023</v>
      </c>
      <c r="F27" s="59" t="str">
        <f>'Baru NIS'!F27</f>
        <v>NOER KEYLA</v>
      </c>
      <c r="G27" s="5" t="str">
        <f>'Baru NIS'!G27</f>
        <v>P</v>
      </c>
      <c r="H27" s="5" t="str">
        <f>'Baru NIS'!H27</f>
        <v>X KA 1</v>
      </c>
      <c r="I27" s="5" t="s">
        <v>5672</v>
      </c>
      <c r="J27" s="5" t="s">
        <v>5673</v>
      </c>
      <c r="K27" s="5" t="str">
        <f t="shared" si="1"/>
        <v>PKA</v>
      </c>
    </row>
    <row r="28" spans="1:11" s="53" customFormat="1" x14ac:dyDescent="0.25">
      <c r="A28" s="58" t="str">
        <f t="shared" si="0"/>
        <v>X KA 127</v>
      </c>
      <c r="B28" s="171">
        <f>COUNTIF(H$2:H28,H28)</f>
        <v>27</v>
      </c>
      <c r="C28" s="5">
        <f>'Baru NIS'!C28</f>
        <v>102519551</v>
      </c>
      <c r="D28" s="5" t="str">
        <f>'Baru NIS'!D28</f>
        <v>0106815228</v>
      </c>
      <c r="E28" s="5" t="str">
        <f>'Baru NIS'!E28</f>
        <v>102519551 /   0106815228</v>
      </c>
      <c r="F28" s="59" t="str">
        <f>'Baru NIS'!F28</f>
        <v>PURI AY UNTARI</v>
      </c>
      <c r="G28" s="5" t="str">
        <f>'Baru NIS'!G28</f>
        <v>P</v>
      </c>
      <c r="H28" s="5" t="str">
        <f>'Baru NIS'!H28</f>
        <v>X KA 1</v>
      </c>
      <c r="I28" s="5" t="s">
        <v>5672</v>
      </c>
      <c r="J28" s="5" t="s">
        <v>5673</v>
      </c>
      <c r="K28" s="5" t="str">
        <f t="shared" si="1"/>
        <v>PKA</v>
      </c>
    </row>
    <row r="29" spans="1:11" s="53" customFormat="1" x14ac:dyDescent="0.25">
      <c r="A29" s="58" t="str">
        <f t="shared" si="0"/>
        <v>X KA 128</v>
      </c>
      <c r="B29" s="171">
        <f>COUNTIF(H$2:H29,H29)</f>
        <v>28</v>
      </c>
      <c r="C29" s="5">
        <f>'Baru NIS'!C29</f>
        <v>102519552</v>
      </c>
      <c r="D29" s="5" t="str">
        <f>'Baru NIS'!D29</f>
        <v>0099103173</v>
      </c>
      <c r="E29" s="5" t="str">
        <f>'Baru NIS'!E29</f>
        <v>102519552 /   0099103173</v>
      </c>
      <c r="F29" s="59" t="str">
        <f>'Baru NIS'!F29</f>
        <v>PUTRI KIARA KENCANA</v>
      </c>
      <c r="G29" s="5" t="str">
        <f>'Baru NIS'!G29</f>
        <v>P</v>
      </c>
      <c r="H29" s="5" t="str">
        <f>'Baru NIS'!H29</f>
        <v>X KA 1</v>
      </c>
      <c r="I29" s="5" t="s">
        <v>5672</v>
      </c>
      <c r="J29" s="5" t="s">
        <v>5673</v>
      </c>
      <c r="K29" s="5" t="str">
        <f t="shared" si="1"/>
        <v>PKA</v>
      </c>
    </row>
    <row r="30" spans="1:11" s="53" customFormat="1" x14ac:dyDescent="0.25">
      <c r="A30" s="58" t="str">
        <f t="shared" si="0"/>
        <v>X KA 129</v>
      </c>
      <c r="B30" s="171">
        <f>COUNTIF(H$2:H30,H30)</f>
        <v>29</v>
      </c>
      <c r="C30" s="5">
        <f>'Baru NIS'!C30</f>
        <v>102519553</v>
      </c>
      <c r="D30" s="5" t="str">
        <f>'Baru NIS'!D30</f>
        <v>3101903581</v>
      </c>
      <c r="E30" s="5" t="str">
        <f>'Baru NIS'!E30</f>
        <v>102519553 /   3101903581</v>
      </c>
      <c r="F30" s="59" t="str">
        <f>'Baru NIS'!F30</f>
        <v>RAFFA AL-FIQRI FEBRIAN</v>
      </c>
      <c r="G30" s="5" t="str">
        <f>'Baru NIS'!G30</f>
        <v>L</v>
      </c>
      <c r="H30" s="5" t="str">
        <f>'Baru NIS'!H30</f>
        <v>X KA 1</v>
      </c>
      <c r="I30" s="5" t="s">
        <v>5672</v>
      </c>
      <c r="J30" s="5" t="s">
        <v>5673</v>
      </c>
      <c r="K30" s="5" t="str">
        <f t="shared" si="1"/>
        <v>LKA</v>
      </c>
    </row>
    <row r="31" spans="1:11" s="53" customFormat="1" x14ac:dyDescent="0.25">
      <c r="A31" s="58" t="str">
        <f t="shared" si="0"/>
        <v>X KA 130</v>
      </c>
      <c r="B31" s="171">
        <f>COUNTIF(H$2:H31,H31)</f>
        <v>30</v>
      </c>
      <c r="C31" s="5">
        <f>'Baru NIS'!C31</f>
        <v>102519554</v>
      </c>
      <c r="D31" s="5" t="str">
        <f>'Baru NIS'!D31</f>
        <v>0091434903</v>
      </c>
      <c r="E31" s="5" t="str">
        <f>'Baru NIS'!E31</f>
        <v>102519554 /   0091434903</v>
      </c>
      <c r="F31" s="59" t="str">
        <f>'Baru NIS'!F31</f>
        <v>RAHMA ALIA WULANDARI</v>
      </c>
      <c r="G31" s="5" t="str">
        <f>'Baru NIS'!G31</f>
        <v>P</v>
      </c>
      <c r="H31" s="5" t="str">
        <f>'Baru NIS'!H31</f>
        <v>X KA 1</v>
      </c>
      <c r="I31" s="5" t="s">
        <v>5672</v>
      </c>
      <c r="J31" s="5" t="s">
        <v>5673</v>
      </c>
      <c r="K31" s="5" t="str">
        <f t="shared" si="1"/>
        <v>PKA</v>
      </c>
    </row>
    <row r="32" spans="1:11" s="53" customFormat="1" x14ac:dyDescent="0.25">
      <c r="A32" s="58" t="str">
        <f t="shared" si="0"/>
        <v>X KA 131</v>
      </c>
      <c r="B32" s="171">
        <f>COUNTIF(H$2:H32,H32)</f>
        <v>31</v>
      </c>
      <c r="C32" s="5">
        <f>'Baru NIS'!C32</f>
        <v>102519555</v>
      </c>
      <c r="D32" s="5" t="str">
        <f>'Baru NIS'!D32</f>
        <v>3107206260</v>
      </c>
      <c r="E32" s="5" t="str">
        <f>'Baru NIS'!E32</f>
        <v>102519555 /   3107206260</v>
      </c>
      <c r="F32" s="59" t="str">
        <f>'Baru NIS'!F32</f>
        <v>RAISA RAHADATUL ALIMAH</v>
      </c>
      <c r="G32" s="5" t="str">
        <f>'Baru NIS'!G32</f>
        <v>P</v>
      </c>
      <c r="H32" s="5" t="str">
        <f>'Baru NIS'!H32</f>
        <v>X KA 1</v>
      </c>
      <c r="I32" s="5" t="s">
        <v>5672</v>
      </c>
      <c r="J32" s="5" t="s">
        <v>5673</v>
      </c>
      <c r="K32" s="5" t="str">
        <f t="shared" si="1"/>
        <v>PKA</v>
      </c>
    </row>
    <row r="33" spans="1:11" s="53" customFormat="1" x14ac:dyDescent="0.25">
      <c r="A33" s="58" t="str">
        <f t="shared" si="0"/>
        <v>X KA 132</v>
      </c>
      <c r="B33" s="171">
        <f>COUNTIF(H$2:H33,H33)</f>
        <v>32</v>
      </c>
      <c r="C33" s="5">
        <f>'Baru NIS'!C33</f>
        <v>102519556</v>
      </c>
      <c r="D33" s="5" t="str">
        <f>'Baru NIS'!D33</f>
        <v>0099094879</v>
      </c>
      <c r="E33" s="5" t="str">
        <f>'Baru NIS'!E33</f>
        <v>102519556 /   0099094879</v>
      </c>
      <c r="F33" s="59" t="str">
        <f>'Baru NIS'!F33</f>
        <v>RAMADHANI ALDIANO</v>
      </c>
      <c r="G33" s="5" t="str">
        <f>'Baru NIS'!G33</f>
        <v>L</v>
      </c>
      <c r="H33" s="5" t="str">
        <f>'Baru NIS'!H33</f>
        <v>X KA 1</v>
      </c>
      <c r="I33" s="5" t="s">
        <v>5672</v>
      </c>
      <c r="J33" s="5" t="s">
        <v>5673</v>
      </c>
      <c r="K33" s="5" t="str">
        <f t="shared" si="1"/>
        <v>LKA</v>
      </c>
    </row>
    <row r="34" spans="1:11" s="53" customFormat="1" x14ac:dyDescent="0.25">
      <c r="A34" s="58" t="str">
        <f t="shared" si="0"/>
        <v>X KA 133</v>
      </c>
      <c r="B34" s="171">
        <f>COUNTIF(H$2:H34,H34)</f>
        <v>33</v>
      </c>
      <c r="C34" s="5">
        <f>'Baru NIS'!C34</f>
        <v>102519557</v>
      </c>
      <c r="D34" s="5" t="str">
        <f>'Baru NIS'!D34</f>
        <v>0102675875</v>
      </c>
      <c r="E34" s="5" t="str">
        <f>'Baru NIS'!E34</f>
        <v>102519557 /   0102675875</v>
      </c>
      <c r="F34" s="59" t="str">
        <f>'Baru NIS'!F34</f>
        <v>SAFIRA AMARA PUTRI</v>
      </c>
      <c r="G34" s="5" t="str">
        <f>'Baru NIS'!G34</f>
        <v>P</v>
      </c>
      <c r="H34" s="5" t="str">
        <f>'Baru NIS'!H34</f>
        <v>X KA 1</v>
      </c>
      <c r="I34" s="5" t="s">
        <v>5672</v>
      </c>
      <c r="J34" s="5" t="s">
        <v>5673</v>
      </c>
      <c r="K34" s="5" t="str">
        <f t="shared" si="1"/>
        <v>PKA</v>
      </c>
    </row>
    <row r="35" spans="1:11" s="53" customFormat="1" x14ac:dyDescent="0.25">
      <c r="A35" s="58" t="str">
        <f t="shared" si="0"/>
        <v>X KA 134</v>
      </c>
      <c r="B35" s="171">
        <f>COUNTIF(H$2:H35,H35)</f>
        <v>34</v>
      </c>
      <c r="C35" s="5">
        <f>'Baru NIS'!C35</f>
        <v>102519558</v>
      </c>
      <c r="D35" s="5" t="str">
        <f>'Baru NIS'!D35</f>
        <v>0095264635</v>
      </c>
      <c r="E35" s="5" t="str">
        <f>'Baru NIS'!E35</f>
        <v>102519558 /   0095264635</v>
      </c>
      <c r="F35" s="59" t="str">
        <f>'Baru NIS'!F35</f>
        <v>SILVI NURSIVA</v>
      </c>
      <c r="G35" s="5" t="str">
        <f>'Baru NIS'!G35</f>
        <v>P</v>
      </c>
      <c r="H35" s="5" t="str">
        <f>'Baru NIS'!H35</f>
        <v>X KA 1</v>
      </c>
      <c r="I35" s="5" t="s">
        <v>5672</v>
      </c>
      <c r="J35" s="5" t="s">
        <v>5673</v>
      </c>
      <c r="K35" s="5" t="str">
        <f t="shared" si="1"/>
        <v>PKA</v>
      </c>
    </row>
    <row r="36" spans="1:11" s="53" customFormat="1" x14ac:dyDescent="0.25">
      <c r="A36" s="58" t="str">
        <f t="shared" si="0"/>
        <v>X KA 135</v>
      </c>
      <c r="B36" s="171">
        <f>COUNTIF(H$2:H36,H36)</f>
        <v>35</v>
      </c>
      <c r="C36" s="5">
        <f>'Baru NIS'!C36</f>
        <v>102519559</v>
      </c>
      <c r="D36" s="5" t="str">
        <f>'Baru NIS'!D36</f>
        <v>0102522354</v>
      </c>
      <c r="E36" s="5" t="str">
        <f>'Baru NIS'!E36</f>
        <v>102519559 /   0102522354</v>
      </c>
      <c r="F36" s="59" t="str">
        <f>'Baru NIS'!F36</f>
        <v>SONYA MELINDA</v>
      </c>
      <c r="G36" s="5" t="str">
        <f>'Baru NIS'!G36</f>
        <v>P</v>
      </c>
      <c r="H36" s="5" t="str">
        <f>'Baru NIS'!H36</f>
        <v>X KA 1</v>
      </c>
      <c r="I36" s="5" t="s">
        <v>5672</v>
      </c>
      <c r="J36" s="5" t="s">
        <v>5673</v>
      </c>
      <c r="K36" s="5" t="str">
        <f t="shared" si="1"/>
        <v>PKA</v>
      </c>
    </row>
    <row r="37" spans="1:11" s="53" customFormat="1" x14ac:dyDescent="0.25">
      <c r="A37" s="58" t="str">
        <f t="shared" si="0"/>
        <v>X KA 136</v>
      </c>
      <c r="B37" s="171">
        <f>COUNTIF(H$2:H37,H37)</f>
        <v>36</v>
      </c>
      <c r="C37" s="5">
        <f>'Baru NIS'!C37</f>
        <v>102519560</v>
      </c>
      <c r="D37" s="5" t="str">
        <f>'Baru NIS'!D37</f>
        <v>0091940310</v>
      </c>
      <c r="E37" s="5" t="str">
        <f>'Baru NIS'!E37</f>
        <v>102519560 /   0091940310</v>
      </c>
      <c r="F37" s="59" t="str">
        <f>'Baru NIS'!F37</f>
        <v>SYIFA RESTU PURWAKANTI</v>
      </c>
      <c r="G37" s="5" t="str">
        <f>'Baru NIS'!G37</f>
        <v>P</v>
      </c>
      <c r="H37" s="5" t="str">
        <f>'Baru NIS'!H37</f>
        <v>X KA 1</v>
      </c>
      <c r="I37" s="5" t="s">
        <v>5672</v>
      </c>
      <c r="J37" s="5" t="s">
        <v>5673</v>
      </c>
      <c r="K37" s="5" t="str">
        <f t="shared" si="1"/>
        <v>PKA</v>
      </c>
    </row>
    <row r="38" spans="1:11" s="53" customFormat="1" x14ac:dyDescent="0.25">
      <c r="A38" s="58" t="str">
        <f t="shared" si="0"/>
        <v>X KA 137</v>
      </c>
      <c r="B38" s="171">
        <f>COUNTIF(H$2:H38,H38)</f>
        <v>37</v>
      </c>
      <c r="C38" s="5">
        <f>'Baru NIS'!C38</f>
        <v>102519561</v>
      </c>
      <c r="D38" s="5">
        <f>'Baru NIS'!D38</f>
        <v>0</v>
      </c>
      <c r="E38" s="5" t="str">
        <f>'Baru NIS'!E38</f>
        <v>102519561 /   0</v>
      </c>
      <c r="F38" s="59" t="str">
        <f>'Baru NIS'!F38</f>
        <v>TAQI DZAKWAN</v>
      </c>
      <c r="G38" s="5" t="str">
        <f>'Baru NIS'!G38</f>
        <v>L</v>
      </c>
      <c r="H38" s="5" t="str">
        <f>'Baru NIS'!H38</f>
        <v>X KA 1</v>
      </c>
      <c r="I38" s="5" t="s">
        <v>5672</v>
      </c>
      <c r="J38" s="5" t="s">
        <v>5673</v>
      </c>
      <c r="K38" s="5" t="str">
        <f t="shared" si="1"/>
        <v>LKA</v>
      </c>
    </row>
    <row r="39" spans="1:11" s="53" customFormat="1" x14ac:dyDescent="0.25">
      <c r="A39" s="58" t="str">
        <f t="shared" si="0"/>
        <v>X KA 138</v>
      </c>
      <c r="B39" s="171">
        <f>COUNTIF(H$2:H39,H39)</f>
        <v>38</v>
      </c>
      <c r="C39" s="5">
        <f>'Baru NIS'!C39</f>
        <v>102519562</v>
      </c>
      <c r="D39" s="5" t="str">
        <f>'Baru NIS'!D39</f>
        <v>0096879664</v>
      </c>
      <c r="E39" s="5" t="str">
        <f>'Baru NIS'!E39</f>
        <v>102519562 /   0096879664</v>
      </c>
      <c r="F39" s="59" t="str">
        <f>'Baru NIS'!F39</f>
        <v>ZULFA HIKMATUL MAULA</v>
      </c>
      <c r="G39" s="5" t="str">
        <f>'Baru NIS'!G39</f>
        <v>P</v>
      </c>
      <c r="H39" s="5" t="str">
        <f>'Baru NIS'!H39</f>
        <v>X KA 1</v>
      </c>
      <c r="I39" s="5" t="s">
        <v>5672</v>
      </c>
      <c r="J39" s="5" t="s">
        <v>5673</v>
      </c>
      <c r="K39" s="5" t="str">
        <f t="shared" si="1"/>
        <v>PKA</v>
      </c>
    </row>
    <row r="40" spans="1:11" s="53" customFormat="1" x14ac:dyDescent="0.25">
      <c r="A40" s="58" t="str">
        <f t="shared" si="0"/>
        <v>X KA 21</v>
      </c>
      <c r="B40" s="171">
        <f>COUNTIF(H$2:H40,H40)</f>
        <v>1</v>
      </c>
      <c r="C40" s="5">
        <f>'Baru NIS'!C40</f>
        <v>102519563</v>
      </c>
      <c r="D40" s="5" t="str">
        <f>'Baru NIS'!D40</f>
        <v>0099180280</v>
      </c>
      <c r="E40" s="5" t="str">
        <f>'Baru NIS'!E40</f>
        <v>102519563 /   0099180280</v>
      </c>
      <c r="F40" s="59" t="str">
        <f>'Baru NIS'!F40</f>
        <v>ADINDA SAEPUTRI PRATAMA</v>
      </c>
      <c r="G40" s="5" t="str">
        <f>'Baru NIS'!G40</f>
        <v>P</v>
      </c>
      <c r="H40" s="5" t="str">
        <f>'Baru NIS'!H40</f>
        <v>X KA 2</v>
      </c>
      <c r="I40" s="5" t="s">
        <v>5672</v>
      </c>
      <c r="J40" s="5" t="s">
        <v>5673</v>
      </c>
      <c r="K40" s="5" t="str">
        <f t="shared" si="1"/>
        <v>PKA</v>
      </c>
    </row>
    <row r="41" spans="1:11" s="53" customFormat="1" x14ac:dyDescent="0.25">
      <c r="A41" s="58" t="str">
        <f t="shared" si="0"/>
        <v>X KA 22</v>
      </c>
      <c r="B41" s="171">
        <f>COUNTIF(H$2:H41,H41)</f>
        <v>2</v>
      </c>
      <c r="C41" s="5">
        <f>'Baru NIS'!C41</f>
        <v>102519564</v>
      </c>
      <c r="D41" s="5" t="str">
        <f>'Baru NIS'!D41</f>
        <v>0106765674</v>
      </c>
      <c r="E41" s="5" t="str">
        <f>'Baru NIS'!E41</f>
        <v>102519564 /   0106765674</v>
      </c>
      <c r="F41" s="59" t="str">
        <f>'Baru NIS'!F41</f>
        <v>AISHA PUTRI RIANUR AQMAR</v>
      </c>
      <c r="G41" s="5" t="str">
        <f>'Baru NIS'!G41</f>
        <v>P</v>
      </c>
      <c r="H41" s="5" t="str">
        <f>'Baru NIS'!H41</f>
        <v>X KA 2</v>
      </c>
      <c r="I41" s="5" t="s">
        <v>5672</v>
      </c>
      <c r="J41" s="5" t="s">
        <v>5673</v>
      </c>
      <c r="K41" s="5" t="str">
        <f t="shared" si="1"/>
        <v>PKA</v>
      </c>
    </row>
    <row r="42" spans="1:11" s="53" customFormat="1" x14ac:dyDescent="0.25">
      <c r="A42" s="58" t="str">
        <f t="shared" si="0"/>
        <v>X KA 23</v>
      </c>
      <c r="B42" s="171">
        <f>COUNTIF(H$2:H42,H42)</f>
        <v>3</v>
      </c>
      <c r="C42" s="5">
        <f>'Baru NIS'!C42</f>
        <v>102519565</v>
      </c>
      <c r="D42" s="5" t="str">
        <f>'Baru NIS'!D42</f>
        <v>0095402818</v>
      </c>
      <c r="E42" s="5" t="str">
        <f>'Baru NIS'!E42</f>
        <v>102519565 /   0095402818</v>
      </c>
      <c r="F42" s="59" t="str">
        <f>'Baru NIS'!F42</f>
        <v>ALLMIRA AELISA AGUSTINA</v>
      </c>
      <c r="G42" s="5" t="str">
        <f>'Baru NIS'!G42</f>
        <v>P</v>
      </c>
      <c r="H42" s="5" t="str">
        <f>'Baru NIS'!H42</f>
        <v>X KA 2</v>
      </c>
      <c r="I42" s="5" t="s">
        <v>5672</v>
      </c>
      <c r="J42" s="5" t="s">
        <v>5673</v>
      </c>
      <c r="K42" s="5" t="str">
        <f t="shared" si="1"/>
        <v>PKA</v>
      </c>
    </row>
    <row r="43" spans="1:11" s="53" customFormat="1" x14ac:dyDescent="0.25">
      <c r="A43" s="58" t="str">
        <f t="shared" si="0"/>
        <v>X KA 24</v>
      </c>
      <c r="B43" s="171">
        <f>COUNTIF(H$2:H43,H43)</f>
        <v>4</v>
      </c>
      <c r="C43" s="5">
        <f>'Baru NIS'!C43</f>
        <v>102519566</v>
      </c>
      <c r="D43" s="5" t="str">
        <f>'Baru NIS'!D43</f>
        <v>0094245722</v>
      </c>
      <c r="E43" s="5" t="str">
        <f>'Baru NIS'!E43</f>
        <v>102519566 /   0094245722</v>
      </c>
      <c r="F43" s="59" t="str">
        <f>'Baru NIS'!F43</f>
        <v>ARYASATYA FAWWAZ PUTRA PANGESTU</v>
      </c>
      <c r="G43" s="5" t="str">
        <f>'Baru NIS'!G43</f>
        <v>L</v>
      </c>
      <c r="H43" s="5" t="str">
        <f>'Baru NIS'!H43</f>
        <v>X KA 2</v>
      </c>
      <c r="I43" s="5" t="s">
        <v>5672</v>
      </c>
      <c r="J43" s="5" t="s">
        <v>5673</v>
      </c>
      <c r="K43" s="5" t="str">
        <f t="shared" si="1"/>
        <v>LKA</v>
      </c>
    </row>
    <row r="44" spans="1:11" s="53" customFormat="1" x14ac:dyDescent="0.25">
      <c r="A44" s="58" t="str">
        <f t="shared" si="0"/>
        <v>X KA 25</v>
      </c>
      <c r="B44" s="171">
        <f>COUNTIF(H$2:H44,H44)</f>
        <v>5</v>
      </c>
      <c r="C44" s="5">
        <f>'Baru NIS'!C44</f>
        <v>102519567</v>
      </c>
      <c r="D44" s="5" t="str">
        <f>'Baru NIS'!D44</f>
        <v>0104185984</v>
      </c>
      <c r="E44" s="5" t="str">
        <f>'Baru NIS'!E44</f>
        <v>102519567 /   0104185984</v>
      </c>
      <c r="F44" s="59" t="str">
        <f>'Baru NIS'!F44</f>
        <v>ASYIFA NUR ZAHRA</v>
      </c>
      <c r="G44" s="5" t="str">
        <f>'Baru NIS'!G44</f>
        <v>P</v>
      </c>
      <c r="H44" s="5" t="str">
        <f>'Baru NIS'!H44</f>
        <v>X KA 2</v>
      </c>
      <c r="I44" s="5" t="s">
        <v>5672</v>
      </c>
      <c r="J44" s="5" t="s">
        <v>5673</v>
      </c>
      <c r="K44" s="5" t="str">
        <f t="shared" si="1"/>
        <v>PKA</v>
      </c>
    </row>
    <row r="45" spans="1:11" s="53" customFormat="1" x14ac:dyDescent="0.25">
      <c r="A45" s="58" t="str">
        <f t="shared" si="0"/>
        <v>X KA 26</v>
      </c>
      <c r="B45" s="171">
        <f>COUNTIF(H$2:H45,H45)</f>
        <v>6</v>
      </c>
      <c r="C45" s="5">
        <f>'Baru NIS'!C45</f>
        <v>102519568</v>
      </c>
      <c r="D45" s="5" t="str">
        <f>'Baru NIS'!D45</f>
        <v>0101112058</v>
      </c>
      <c r="E45" s="5" t="str">
        <f>'Baru NIS'!E45</f>
        <v>102519568 /   0101112058</v>
      </c>
      <c r="F45" s="59" t="str">
        <f>'Baru NIS'!F45</f>
        <v>AULIYA PUTRI AFIYANTI</v>
      </c>
      <c r="G45" s="5" t="str">
        <f>'Baru NIS'!G45</f>
        <v>P</v>
      </c>
      <c r="H45" s="5" t="str">
        <f>'Baru NIS'!H45</f>
        <v>X KA 2</v>
      </c>
      <c r="I45" s="5" t="s">
        <v>5672</v>
      </c>
      <c r="J45" s="5" t="s">
        <v>5673</v>
      </c>
      <c r="K45" s="5" t="str">
        <f t="shared" si="1"/>
        <v>PKA</v>
      </c>
    </row>
    <row r="46" spans="1:11" s="53" customFormat="1" x14ac:dyDescent="0.25">
      <c r="A46" s="58" t="str">
        <f t="shared" si="0"/>
        <v>X KA 27</v>
      </c>
      <c r="B46" s="171">
        <f>COUNTIF(H$2:H46,H46)</f>
        <v>7</v>
      </c>
      <c r="C46" s="5">
        <f>'Baru NIS'!C46</f>
        <v>102519569</v>
      </c>
      <c r="D46" s="5" t="str">
        <f>'Baru NIS'!D46</f>
        <v>3096564585</v>
      </c>
      <c r="E46" s="5" t="str">
        <f>'Baru NIS'!E46</f>
        <v>102519569 /   3096564585</v>
      </c>
      <c r="F46" s="59" t="str">
        <f>'Baru NIS'!F46</f>
        <v>AURAEL SEILA MUTMAINAH</v>
      </c>
      <c r="G46" s="5" t="str">
        <f>'Baru NIS'!G46</f>
        <v>P</v>
      </c>
      <c r="H46" s="5" t="str">
        <f>'Baru NIS'!H46</f>
        <v>X KA 2</v>
      </c>
      <c r="I46" s="5" t="s">
        <v>5672</v>
      </c>
      <c r="J46" s="5" t="s">
        <v>5673</v>
      </c>
      <c r="K46" s="5" t="str">
        <f t="shared" si="1"/>
        <v>PKA</v>
      </c>
    </row>
    <row r="47" spans="1:11" s="53" customFormat="1" x14ac:dyDescent="0.25">
      <c r="A47" s="58" t="str">
        <f t="shared" si="0"/>
        <v>X KA 28</v>
      </c>
      <c r="B47" s="171">
        <f>COUNTIF(H$2:H47,H47)</f>
        <v>8</v>
      </c>
      <c r="C47" s="5">
        <f>'Baru NIS'!C47</f>
        <v>102519570</v>
      </c>
      <c r="D47" s="5" t="str">
        <f>'Baru NIS'!D47</f>
        <v>0093214471</v>
      </c>
      <c r="E47" s="5" t="str">
        <f>'Baru NIS'!E47</f>
        <v>102519570 /   0093214471</v>
      </c>
      <c r="F47" s="59" t="str">
        <f>'Baru NIS'!F47</f>
        <v>BELA RAMADHANI</v>
      </c>
      <c r="G47" s="5" t="str">
        <f>'Baru NIS'!G47</f>
        <v>P</v>
      </c>
      <c r="H47" s="5" t="str">
        <f>'Baru NIS'!H47</f>
        <v>X KA 2</v>
      </c>
      <c r="I47" s="5" t="s">
        <v>5672</v>
      </c>
      <c r="J47" s="5" t="s">
        <v>5673</v>
      </c>
      <c r="K47" s="5" t="str">
        <f t="shared" si="1"/>
        <v>PKA</v>
      </c>
    </row>
    <row r="48" spans="1:11" s="53" customFormat="1" x14ac:dyDescent="0.25">
      <c r="A48" s="58" t="str">
        <f t="shared" si="0"/>
        <v>X KA 29</v>
      </c>
      <c r="B48" s="171">
        <f>COUNTIF(H$2:H48,H48)</f>
        <v>9</v>
      </c>
      <c r="C48" s="5">
        <f>'Baru NIS'!C48</f>
        <v>102519571</v>
      </c>
      <c r="D48" s="5" t="str">
        <f>'Baru NIS'!D48</f>
        <v>0093888701</v>
      </c>
      <c r="E48" s="5" t="str">
        <f>'Baru NIS'!E48</f>
        <v>102519571 /   0093888701</v>
      </c>
      <c r="F48" s="59" t="str">
        <f>'Baru NIS'!F48</f>
        <v>DEVINA KAYSYA</v>
      </c>
      <c r="G48" s="5" t="str">
        <f>'Baru NIS'!G48</f>
        <v>P</v>
      </c>
      <c r="H48" s="5" t="str">
        <f>'Baru NIS'!H48</f>
        <v>X KA 2</v>
      </c>
      <c r="I48" s="5" t="s">
        <v>5672</v>
      </c>
      <c r="J48" s="5" t="s">
        <v>5673</v>
      </c>
      <c r="K48" s="5" t="str">
        <f t="shared" si="1"/>
        <v>PKA</v>
      </c>
    </row>
    <row r="49" spans="1:11" s="53" customFormat="1" x14ac:dyDescent="0.25">
      <c r="A49" s="58" t="str">
        <f t="shared" si="0"/>
        <v>X KA 210</v>
      </c>
      <c r="B49" s="171">
        <f>COUNTIF(H$2:H49,H49)</f>
        <v>10</v>
      </c>
      <c r="C49" s="5">
        <f>'Baru NIS'!C49</f>
        <v>102519572</v>
      </c>
      <c r="D49" s="5" t="str">
        <f>'Baru NIS'!D49</f>
        <v>0093347836</v>
      </c>
      <c r="E49" s="5" t="str">
        <f>'Baru NIS'!E49</f>
        <v>102519572 /   0093347836</v>
      </c>
      <c r="F49" s="59" t="str">
        <f>'Baru NIS'!F49</f>
        <v>ELVINA VALENCIA JASMINE</v>
      </c>
      <c r="G49" s="5" t="str">
        <f>'Baru NIS'!G49</f>
        <v>P</v>
      </c>
      <c r="H49" s="5" t="str">
        <f>'Baru NIS'!H49</f>
        <v>X KA 2</v>
      </c>
      <c r="I49" s="5" t="s">
        <v>5672</v>
      </c>
      <c r="J49" s="5" t="s">
        <v>5673</v>
      </c>
      <c r="K49" s="5" t="str">
        <f t="shared" si="1"/>
        <v>PKA</v>
      </c>
    </row>
    <row r="50" spans="1:11" s="53" customFormat="1" x14ac:dyDescent="0.25">
      <c r="A50" s="58" t="str">
        <f t="shared" si="0"/>
        <v>X KA 211</v>
      </c>
      <c r="B50" s="171">
        <f>COUNTIF(H$2:H50,H50)</f>
        <v>11</v>
      </c>
      <c r="C50" s="5">
        <f>'Baru NIS'!C50</f>
        <v>102519573</v>
      </c>
      <c r="D50" s="5" t="str">
        <f>'Baru NIS'!D50</f>
        <v>0094277190</v>
      </c>
      <c r="E50" s="5" t="str">
        <f>'Baru NIS'!E50</f>
        <v>102519573 /   0094277190</v>
      </c>
      <c r="F50" s="59" t="str">
        <f>'Baru NIS'!F50</f>
        <v>ERKAN NAUFAL SETIAWAN</v>
      </c>
      <c r="G50" s="5" t="str">
        <f>'Baru NIS'!G50</f>
        <v>L</v>
      </c>
      <c r="H50" s="5" t="str">
        <f>'Baru NIS'!H50</f>
        <v>X KA 2</v>
      </c>
      <c r="I50" s="5" t="s">
        <v>5672</v>
      </c>
      <c r="J50" s="5" t="s">
        <v>5673</v>
      </c>
      <c r="K50" s="5" t="str">
        <f t="shared" si="1"/>
        <v>LKA</v>
      </c>
    </row>
    <row r="51" spans="1:11" s="53" customFormat="1" x14ac:dyDescent="0.25">
      <c r="A51" s="58" t="str">
        <f t="shared" si="0"/>
        <v>X KA 212</v>
      </c>
      <c r="B51" s="171">
        <f>COUNTIF(H$2:H51,H51)</f>
        <v>12</v>
      </c>
      <c r="C51" s="5">
        <f>'Baru NIS'!C51</f>
        <v>102519574</v>
      </c>
      <c r="D51" s="5" t="str">
        <f>'Baru NIS'!D51</f>
        <v>0094171813</v>
      </c>
      <c r="E51" s="5" t="str">
        <f>'Baru NIS'!E51</f>
        <v>102519574 /   0094171813</v>
      </c>
      <c r="F51" s="59" t="str">
        <f>'Baru NIS'!F51</f>
        <v>FATHIA ADZRA LATIFAH</v>
      </c>
      <c r="G51" s="5" t="str">
        <f>'Baru NIS'!G51</f>
        <v>P</v>
      </c>
      <c r="H51" s="5" t="str">
        <f>'Baru NIS'!H51</f>
        <v>X KA 2</v>
      </c>
      <c r="I51" s="5" t="s">
        <v>5672</v>
      </c>
      <c r="J51" s="5" t="s">
        <v>5673</v>
      </c>
      <c r="K51" s="5" t="str">
        <f t="shared" si="1"/>
        <v>PKA</v>
      </c>
    </row>
    <row r="52" spans="1:11" s="53" customFormat="1" x14ac:dyDescent="0.25">
      <c r="A52" s="58" t="str">
        <f t="shared" si="0"/>
        <v>X KA 213</v>
      </c>
      <c r="B52" s="171">
        <f>COUNTIF(H$2:H52,H52)</f>
        <v>13</v>
      </c>
      <c r="C52" s="5">
        <f>'Baru NIS'!C52</f>
        <v>102519575</v>
      </c>
      <c r="D52" s="5" t="str">
        <f>'Baru NIS'!D52</f>
        <v>0103371172</v>
      </c>
      <c r="E52" s="5" t="str">
        <f>'Baru NIS'!E52</f>
        <v>102519575 /   0103371172</v>
      </c>
      <c r="F52" s="59" t="str">
        <f>'Baru NIS'!F52</f>
        <v>FERA MAULIDA SAKHI</v>
      </c>
      <c r="G52" s="5" t="str">
        <f>'Baru NIS'!G52</f>
        <v>P</v>
      </c>
      <c r="H52" s="5" t="str">
        <f>'Baru NIS'!H52</f>
        <v>X KA 2</v>
      </c>
      <c r="I52" s="5" t="s">
        <v>5672</v>
      </c>
      <c r="J52" s="5" t="s">
        <v>5673</v>
      </c>
      <c r="K52" s="5" t="str">
        <f t="shared" si="1"/>
        <v>PKA</v>
      </c>
    </row>
    <row r="53" spans="1:11" s="53" customFormat="1" x14ac:dyDescent="0.25">
      <c r="A53" s="58" t="str">
        <f t="shared" si="0"/>
        <v>X KA 214</v>
      </c>
      <c r="B53" s="171">
        <f>COUNTIF(H$2:H53,H53)</f>
        <v>14</v>
      </c>
      <c r="C53" s="5">
        <f>'Baru NIS'!C53</f>
        <v>102519576</v>
      </c>
      <c r="D53" s="5" t="str">
        <f>'Baru NIS'!D53</f>
        <v>0109837686</v>
      </c>
      <c r="E53" s="5" t="str">
        <f>'Baru NIS'!E53</f>
        <v>102519576 /   0109837686</v>
      </c>
      <c r="F53" s="59" t="str">
        <f>'Baru NIS'!F53</f>
        <v>GEMA ABDUL FATTAH</v>
      </c>
      <c r="G53" s="5" t="str">
        <f>'Baru NIS'!G53</f>
        <v>L</v>
      </c>
      <c r="H53" s="5" t="str">
        <f>'Baru NIS'!H53</f>
        <v>X KA 2</v>
      </c>
      <c r="I53" s="5" t="s">
        <v>5672</v>
      </c>
      <c r="J53" s="5" t="s">
        <v>5673</v>
      </c>
      <c r="K53" s="5" t="str">
        <f t="shared" si="1"/>
        <v>LKA</v>
      </c>
    </row>
    <row r="54" spans="1:11" s="53" customFormat="1" x14ac:dyDescent="0.25">
      <c r="A54" s="58" t="str">
        <f t="shared" si="0"/>
        <v>X KA 215</v>
      </c>
      <c r="B54" s="171">
        <f>COUNTIF(H$2:H54,H54)</f>
        <v>15</v>
      </c>
      <c r="C54" s="5">
        <f>'Baru NIS'!C54</f>
        <v>102519577</v>
      </c>
      <c r="D54" s="5" t="str">
        <f>'Baru NIS'!D54</f>
        <v>0107888386</v>
      </c>
      <c r="E54" s="5" t="str">
        <f>'Baru NIS'!E54</f>
        <v>102519577 /   0107888386</v>
      </c>
      <c r="F54" s="59" t="str">
        <f>'Baru NIS'!F54</f>
        <v>GENDIS NAYLA NUGROHO</v>
      </c>
      <c r="G54" s="5" t="str">
        <f>'Baru NIS'!G54</f>
        <v>P</v>
      </c>
      <c r="H54" s="5" t="str">
        <f>'Baru NIS'!H54</f>
        <v>X KA 2</v>
      </c>
      <c r="I54" s="5" t="s">
        <v>5672</v>
      </c>
      <c r="J54" s="5" t="s">
        <v>5673</v>
      </c>
      <c r="K54" s="5" t="str">
        <f t="shared" si="1"/>
        <v>PKA</v>
      </c>
    </row>
    <row r="55" spans="1:11" s="53" customFormat="1" x14ac:dyDescent="0.25">
      <c r="A55" s="58" t="str">
        <f t="shared" si="0"/>
        <v>X KA 216</v>
      </c>
      <c r="B55" s="171">
        <f>COUNTIF(H$2:H55,H55)</f>
        <v>16</v>
      </c>
      <c r="C55" s="5">
        <f>'Baru NIS'!C55</f>
        <v>102519578</v>
      </c>
      <c r="D55" s="5" t="str">
        <f>'Baru NIS'!D55</f>
        <v>0098509677</v>
      </c>
      <c r="E55" s="5" t="str">
        <f>'Baru NIS'!E55</f>
        <v>102519578 /   0098509677</v>
      </c>
      <c r="F55" s="59" t="str">
        <f>'Baru NIS'!F55</f>
        <v>IMAYESI</v>
      </c>
      <c r="G55" s="5" t="str">
        <f>'Baru NIS'!G55</f>
        <v>P</v>
      </c>
      <c r="H55" s="5" t="str">
        <f>'Baru NIS'!H55</f>
        <v>X KA 2</v>
      </c>
      <c r="I55" s="5" t="s">
        <v>5672</v>
      </c>
      <c r="J55" s="5" t="s">
        <v>5673</v>
      </c>
      <c r="K55" s="5" t="str">
        <f t="shared" si="1"/>
        <v>PKA</v>
      </c>
    </row>
    <row r="56" spans="1:11" s="53" customFormat="1" x14ac:dyDescent="0.25">
      <c r="A56" s="58" t="str">
        <f t="shared" si="0"/>
        <v>X KA 217</v>
      </c>
      <c r="B56" s="171">
        <f>COUNTIF(H$2:H56,H56)</f>
        <v>17</v>
      </c>
      <c r="C56" s="5">
        <f>'Baru NIS'!C56</f>
        <v>102519579</v>
      </c>
      <c r="D56" s="5" t="str">
        <f>'Baru NIS'!D56</f>
        <v>0101334010</v>
      </c>
      <c r="E56" s="5" t="str">
        <f>'Baru NIS'!E56</f>
        <v>102519579 /   0101334010</v>
      </c>
      <c r="F56" s="59" t="str">
        <f>'Baru NIS'!F56</f>
        <v>INTAN PUSPITASARI</v>
      </c>
      <c r="G56" s="5" t="str">
        <f>'Baru NIS'!G56</f>
        <v>P</v>
      </c>
      <c r="H56" s="5" t="str">
        <f>'Baru NIS'!H56</f>
        <v>X KA 2</v>
      </c>
      <c r="I56" s="5" t="s">
        <v>5672</v>
      </c>
      <c r="J56" s="5" t="s">
        <v>5673</v>
      </c>
      <c r="K56" s="5" t="str">
        <f t="shared" si="1"/>
        <v>PKA</v>
      </c>
    </row>
    <row r="57" spans="1:11" s="53" customFormat="1" x14ac:dyDescent="0.25">
      <c r="A57" s="58" t="str">
        <f t="shared" si="0"/>
        <v>X KA 218</v>
      </c>
      <c r="B57" s="171">
        <f>COUNTIF(H$2:H57,H57)</f>
        <v>18</v>
      </c>
      <c r="C57" s="5">
        <f>'Baru NIS'!C57</f>
        <v>102519580</v>
      </c>
      <c r="D57" s="5" t="str">
        <f>'Baru NIS'!D57</f>
        <v>0096773379</v>
      </c>
      <c r="E57" s="5" t="str">
        <f>'Baru NIS'!E57</f>
        <v>102519580 /   0096773379</v>
      </c>
      <c r="F57" s="59" t="str">
        <f>'Baru NIS'!F57</f>
        <v>KANIA DWI OKTARIANI</v>
      </c>
      <c r="G57" s="5" t="str">
        <f>'Baru NIS'!G57</f>
        <v>P</v>
      </c>
      <c r="H57" s="5" t="str">
        <f>'Baru NIS'!H57</f>
        <v>X KA 2</v>
      </c>
      <c r="I57" s="5" t="s">
        <v>5672</v>
      </c>
      <c r="J57" s="5" t="s">
        <v>5673</v>
      </c>
      <c r="K57" s="5" t="str">
        <f t="shared" si="1"/>
        <v>PKA</v>
      </c>
    </row>
    <row r="58" spans="1:11" s="53" customFormat="1" x14ac:dyDescent="0.25">
      <c r="A58" s="58" t="str">
        <f t="shared" si="0"/>
        <v>X KA 219</v>
      </c>
      <c r="B58" s="171">
        <f>COUNTIF(H$2:H58,H58)</f>
        <v>19</v>
      </c>
      <c r="C58" s="5">
        <f>'Baru NIS'!C58</f>
        <v>102519581</v>
      </c>
      <c r="D58" s="5" t="str">
        <f>'Baru NIS'!D58</f>
        <v>0099011455</v>
      </c>
      <c r="E58" s="5" t="str">
        <f>'Baru NIS'!E58</f>
        <v>102519581 /   0099011455</v>
      </c>
      <c r="F58" s="59" t="str">
        <f>'Baru NIS'!F58</f>
        <v>KAREENA NOVAYANI SOLIHAH</v>
      </c>
      <c r="G58" s="5" t="str">
        <f>'Baru NIS'!G58</f>
        <v>P</v>
      </c>
      <c r="H58" s="5" t="str">
        <f>'Baru NIS'!H58</f>
        <v>X KA 2</v>
      </c>
      <c r="I58" s="5" t="s">
        <v>5672</v>
      </c>
      <c r="J58" s="5" t="s">
        <v>5673</v>
      </c>
      <c r="K58" s="5" t="str">
        <f t="shared" si="1"/>
        <v>PKA</v>
      </c>
    </row>
    <row r="59" spans="1:11" s="53" customFormat="1" x14ac:dyDescent="0.25">
      <c r="A59" s="58" t="str">
        <f t="shared" si="0"/>
        <v>X KA 220</v>
      </c>
      <c r="B59" s="171">
        <f>COUNTIF(H$2:H59,H59)</f>
        <v>20</v>
      </c>
      <c r="C59" s="5">
        <f>'Baru NIS'!C59</f>
        <v>102519582</v>
      </c>
      <c r="D59" s="5" t="str">
        <f>'Baru NIS'!D59</f>
        <v>0091241571</v>
      </c>
      <c r="E59" s="5" t="str">
        <f>'Baru NIS'!E59</f>
        <v>102519582 /   0091241571</v>
      </c>
      <c r="F59" s="59" t="str">
        <f>'Baru NIS'!F59</f>
        <v>KEYLA RAHMA SEPTRIANI</v>
      </c>
      <c r="G59" s="5" t="str">
        <f>'Baru NIS'!G59</f>
        <v>P</v>
      </c>
      <c r="H59" s="5" t="str">
        <f>'Baru NIS'!H59</f>
        <v>X KA 2</v>
      </c>
      <c r="I59" s="5" t="s">
        <v>5672</v>
      </c>
      <c r="J59" s="5" t="s">
        <v>5673</v>
      </c>
      <c r="K59" s="5" t="str">
        <f t="shared" si="1"/>
        <v>PKA</v>
      </c>
    </row>
    <row r="60" spans="1:11" s="53" customFormat="1" x14ac:dyDescent="0.25">
      <c r="A60" s="58" t="str">
        <f t="shared" si="0"/>
        <v>X KA 221</v>
      </c>
      <c r="B60" s="171">
        <f>COUNTIF(H$2:H60,H60)</f>
        <v>21</v>
      </c>
      <c r="C60" s="5">
        <f>'Baru NIS'!C60</f>
        <v>102519583</v>
      </c>
      <c r="D60" s="5" t="str">
        <f>'Baru NIS'!D60</f>
        <v>0107094496</v>
      </c>
      <c r="E60" s="5" t="str">
        <f>'Baru NIS'!E60</f>
        <v>102519583 /   0107094496</v>
      </c>
      <c r="F60" s="59" t="str">
        <f>'Baru NIS'!F60</f>
        <v>MAWAR YUSI ZHULIYANTI</v>
      </c>
      <c r="G60" s="5" t="str">
        <f>'Baru NIS'!G60</f>
        <v>P</v>
      </c>
      <c r="H60" s="5" t="str">
        <f>'Baru NIS'!H60</f>
        <v>X KA 2</v>
      </c>
      <c r="I60" s="5" t="s">
        <v>5672</v>
      </c>
      <c r="J60" s="5" t="s">
        <v>5673</v>
      </c>
      <c r="K60" s="5" t="str">
        <f t="shared" si="1"/>
        <v>PKA</v>
      </c>
    </row>
    <row r="61" spans="1:11" s="53" customFormat="1" x14ac:dyDescent="0.25">
      <c r="A61" s="58" t="str">
        <f t="shared" si="0"/>
        <v>X KA 222</v>
      </c>
      <c r="B61" s="171">
        <f>COUNTIF(H$2:H61,H61)</f>
        <v>22</v>
      </c>
      <c r="C61" s="5">
        <f>'Baru NIS'!C61</f>
        <v>102519584</v>
      </c>
      <c r="D61" s="5" t="str">
        <f>'Baru NIS'!D61</f>
        <v>0107613744</v>
      </c>
      <c r="E61" s="5" t="str">
        <f>'Baru NIS'!E61</f>
        <v>102519584 /   0107613744</v>
      </c>
      <c r="F61" s="59" t="str">
        <f>'Baru NIS'!F61</f>
        <v>MOHAMAD AZZAM HADRIAN</v>
      </c>
      <c r="G61" s="5" t="str">
        <f>'Baru NIS'!G61</f>
        <v>L</v>
      </c>
      <c r="H61" s="5" t="str">
        <f>'Baru NIS'!H61</f>
        <v>X KA 2</v>
      </c>
      <c r="I61" s="5" t="s">
        <v>5672</v>
      </c>
      <c r="J61" s="5" t="s">
        <v>5673</v>
      </c>
      <c r="K61" s="5" t="str">
        <f t="shared" si="1"/>
        <v>LKA</v>
      </c>
    </row>
    <row r="62" spans="1:11" s="53" customFormat="1" x14ac:dyDescent="0.25">
      <c r="A62" s="58" t="str">
        <f t="shared" si="0"/>
        <v>X KA 223</v>
      </c>
      <c r="B62" s="171">
        <f>COUNTIF(H$2:H62,H62)</f>
        <v>23</v>
      </c>
      <c r="C62" s="5">
        <f>'Baru NIS'!C62</f>
        <v>102519585</v>
      </c>
      <c r="D62" s="5" t="str">
        <f>'Baru NIS'!D62</f>
        <v>0093347342</v>
      </c>
      <c r="E62" s="5" t="str">
        <f>'Baru NIS'!E62</f>
        <v>102519585 /   0093347342</v>
      </c>
      <c r="F62" s="59" t="str">
        <f>'Baru NIS'!F62</f>
        <v>MUHAMMAD ALFARIZI KOMARA</v>
      </c>
      <c r="G62" s="5" t="str">
        <f>'Baru NIS'!G62</f>
        <v>L</v>
      </c>
      <c r="H62" s="5" t="str">
        <f>'Baru NIS'!H62</f>
        <v>X KA 2</v>
      </c>
      <c r="I62" s="5" t="s">
        <v>5672</v>
      </c>
      <c r="J62" s="5" t="s">
        <v>5673</v>
      </c>
      <c r="K62" s="5" t="str">
        <f t="shared" si="1"/>
        <v>LKA</v>
      </c>
    </row>
    <row r="63" spans="1:11" s="53" customFormat="1" x14ac:dyDescent="0.25">
      <c r="A63" s="58" t="str">
        <f t="shared" si="0"/>
        <v>X KA 224</v>
      </c>
      <c r="B63" s="171">
        <f>COUNTIF(H$2:H63,H63)</f>
        <v>24</v>
      </c>
      <c r="C63" s="5">
        <f>'Baru NIS'!C63</f>
        <v>102519586</v>
      </c>
      <c r="D63" s="5" t="str">
        <f>'Baru NIS'!D63</f>
        <v>0093634483</v>
      </c>
      <c r="E63" s="5" t="str">
        <f>'Baru NIS'!E63</f>
        <v>102519586 /   0093634483</v>
      </c>
      <c r="F63" s="59" t="str">
        <f>'Baru NIS'!F63</f>
        <v>MUHAMMAD GILANG RAMADHAN</v>
      </c>
      <c r="G63" s="5" t="str">
        <f>'Baru NIS'!G63</f>
        <v>L</v>
      </c>
      <c r="H63" s="5" t="str">
        <f>'Baru NIS'!H63</f>
        <v>X KA 2</v>
      </c>
      <c r="I63" s="5" t="s">
        <v>5672</v>
      </c>
      <c r="J63" s="5" t="s">
        <v>5673</v>
      </c>
      <c r="K63" s="5" t="str">
        <f t="shared" si="1"/>
        <v>LKA</v>
      </c>
    </row>
    <row r="64" spans="1:11" s="53" customFormat="1" x14ac:dyDescent="0.25">
      <c r="A64" s="58" t="str">
        <f t="shared" si="0"/>
        <v>X KA 225</v>
      </c>
      <c r="B64" s="171">
        <f>COUNTIF(H$2:H64,H64)</f>
        <v>25</v>
      </c>
      <c r="C64" s="5">
        <f>'Baru NIS'!C64</f>
        <v>102519587</v>
      </c>
      <c r="D64" s="5" t="str">
        <f>'Baru NIS'!D64</f>
        <v>0091423127</v>
      </c>
      <c r="E64" s="5" t="str">
        <f>'Baru NIS'!E64</f>
        <v>102519587 /   0091423127</v>
      </c>
      <c r="F64" s="59" t="str">
        <f>'Baru NIS'!F64</f>
        <v>MUHAMMAD ILHAM RAMADHAN</v>
      </c>
      <c r="G64" s="5" t="str">
        <f>'Baru NIS'!G64</f>
        <v>L</v>
      </c>
      <c r="H64" s="5" t="str">
        <f>'Baru NIS'!H64</f>
        <v>X KA 2</v>
      </c>
      <c r="I64" s="5" t="s">
        <v>5672</v>
      </c>
      <c r="J64" s="5" t="s">
        <v>5673</v>
      </c>
      <c r="K64" s="5" t="str">
        <f t="shared" si="1"/>
        <v>LKA</v>
      </c>
    </row>
    <row r="65" spans="1:11" s="53" customFormat="1" x14ac:dyDescent="0.25">
      <c r="A65" s="58" t="str">
        <f t="shared" si="0"/>
        <v>X KA 226</v>
      </c>
      <c r="B65" s="171">
        <f>COUNTIF(H$2:H65,H65)</f>
        <v>26</v>
      </c>
      <c r="C65" s="5">
        <f>'Baru NIS'!C65</f>
        <v>102519588</v>
      </c>
      <c r="D65" s="5">
        <f>'Baru NIS'!D65</f>
        <v>0</v>
      </c>
      <c r="E65" s="5" t="str">
        <f>'Baru NIS'!E65</f>
        <v>102519588 /   0</v>
      </c>
      <c r="F65" s="59" t="str">
        <f>'Baru NIS'!F65</f>
        <v>MUHAMMAD ILYAS</v>
      </c>
      <c r="G65" s="5" t="str">
        <f>'Baru NIS'!G65</f>
        <v>L</v>
      </c>
      <c r="H65" s="5" t="str">
        <f>'Baru NIS'!H65</f>
        <v>X KA 2</v>
      </c>
      <c r="I65" s="5" t="s">
        <v>5672</v>
      </c>
      <c r="J65" s="5" t="s">
        <v>5673</v>
      </c>
      <c r="K65" s="5" t="str">
        <f t="shared" si="1"/>
        <v>LKA</v>
      </c>
    </row>
    <row r="66" spans="1:11" s="53" customFormat="1" x14ac:dyDescent="0.25">
      <c r="A66" s="58" t="str">
        <f t="shared" ref="A66:A129" si="2">H66&amp;B66</f>
        <v>X KA 227</v>
      </c>
      <c r="B66" s="171">
        <f>COUNTIF(H$2:H66,H66)</f>
        <v>27</v>
      </c>
      <c r="C66" s="5">
        <f>'Baru NIS'!C66</f>
        <v>102519589</v>
      </c>
      <c r="D66" s="5" t="str">
        <f>'Baru NIS'!D66</f>
        <v>0098960363</v>
      </c>
      <c r="E66" s="5" t="str">
        <f>'Baru NIS'!E66</f>
        <v>102519589 /   0098960363</v>
      </c>
      <c r="F66" s="59" t="str">
        <f>'Baru NIS'!F66</f>
        <v>MUHAMMAD RADITYA ALFARAZEL SULTON</v>
      </c>
      <c r="G66" s="5" t="str">
        <f>'Baru NIS'!G66</f>
        <v>L</v>
      </c>
      <c r="H66" s="5" t="str">
        <f>'Baru NIS'!H66</f>
        <v>X KA 2</v>
      </c>
      <c r="I66" s="5" t="s">
        <v>5672</v>
      </c>
      <c r="J66" s="5" t="s">
        <v>5673</v>
      </c>
      <c r="K66" s="5" t="str">
        <f t="shared" ref="K66:K129" si="3">G66&amp;J66</f>
        <v>LKA</v>
      </c>
    </row>
    <row r="67" spans="1:11" s="53" customFormat="1" x14ac:dyDescent="0.25">
      <c r="A67" s="58" t="str">
        <f t="shared" si="2"/>
        <v>X KA 228</v>
      </c>
      <c r="B67" s="171">
        <f>COUNTIF(H$2:H67,H67)</f>
        <v>28</v>
      </c>
      <c r="C67" s="5">
        <f>'Baru NIS'!C67</f>
        <v>102519590</v>
      </c>
      <c r="D67" s="5" t="str">
        <f>'Baru NIS'!D67</f>
        <v>0091205573</v>
      </c>
      <c r="E67" s="5" t="str">
        <f>'Baru NIS'!E67</f>
        <v>102519590 /   0091205573</v>
      </c>
      <c r="F67" s="59" t="str">
        <f>'Baru NIS'!F67</f>
        <v>MUHAMMAD ZIYAD ARYA SUNDAYA</v>
      </c>
      <c r="G67" s="5" t="str">
        <f>'Baru NIS'!G67</f>
        <v>L</v>
      </c>
      <c r="H67" s="5" t="str">
        <f>'Baru NIS'!H67</f>
        <v>X KA 2</v>
      </c>
      <c r="I67" s="5" t="s">
        <v>5672</v>
      </c>
      <c r="J67" s="5" t="s">
        <v>5673</v>
      </c>
      <c r="K67" s="5" t="str">
        <f t="shared" si="3"/>
        <v>LKA</v>
      </c>
    </row>
    <row r="68" spans="1:11" s="53" customFormat="1" x14ac:dyDescent="0.25">
      <c r="A68" s="58" t="str">
        <f t="shared" si="2"/>
        <v>X KA 229</v>
      </c>
      <c r="B68" s="171">
        <f>COUNTIF(H$2:H68,H68)</f>
        <v>29</v>
      </c>
      <c r="C68" s="5">
        <f>'Baru NIS'!C68</f>
        <v>102519591</v>
      </c>
      <c r="D68" s="5" t="str">
        <f>'Baru NIS'!D68</f>
        <v>0104435384</v>
      </c>
      <c r="E68" s="5" t="str">
        <f>'Baru NIS'!E68</f>
        <v>102519591 /   0104435384</v>
      </c>
      <c r="F68" s="59" t="str">
        <f>'Baru NIS'!F68</f>
        <v>NEYSA ZHARIFA ANEIRA</v>
      </c>
      <c r="G68" s="5" t="str">
        <f>'Baru NIS'!G68</f>
        <v>P</v>
      </c>
      <c r="H68" s="5" t="str">
        <f>'Baru NIS'!H68</f>
        <v>X KA 2</v>
      </c>
      <c r="I68" s="5" t="s">
        <v>5672</v>
      </c>
      <c r="J68" s="5" t="s">
        <v>5673</v>
      </c>
      <c r="K68" s="5" t="str">
        <f t="shared" si="3"/>
        <v>PKA</v>
      </c>
    </row>
    <row r="69" spans="1:11" s="53" customFormat="1" x14ac:dyDescent="0.25">
      <c r="A69" s="58" t="str">
        <f t="shared" si="2"/>
        <v>X KA 230</v>
      </c>
      <c r="B69" s="171">
        <f>COUNTIF(H$2:H69,H69)</f>
        <v>30</v>
      </c>
      <c r="C69" s="5">
        <f>'Baru NIS'!C69</f>
        <v>102519592</v>
      </c>
      <c r="D69" s="5" t="str">
        <f>'Baru NIS'!D69</f>
        <v>0097789543</v>
      </c>
      <c r="E69" s="5" t="str">
        <f>'Baru NIS'!E69</f>
        <v>102519592 /   0097789543</v>
      </c>
      <c r="F69" s="59" t="str">
        <f>'Baru NIS'!F69</f>
        <v>NUR HAUNA ANINDITA</v>
      </c>
      <c r="G69" s="5" t="str">
        <f>'Baru NIS'!G69</f>
        <v>P</v>
      </c>
      <c r="H69" s="5" t="str">
        <f>'Baru NIS'!H69</f>
        <v>X KA 2</v>
      </c>
      <c r="I69" s="5" t="s">
        <v>5672</v>
      </c>
      <c r="J69" s="5" t="s">
        <v>5673</v>
      </c>
      <c r="K69" s="5" t="str">
        <f t="shared" si="3"/>
        <v>PKA</v>
      </c>
    </row>
    <row r="70" spans="1:11" s="53" customFormat="1" x14ac:dyDescent="0.25">
      <c r="A70" s="58" t="str">
        <f t="shared" si="2"/>
        <v>X KA 231</v>
      </c>
      <c r="B70" s="171">
        <f>COUNTIF(H$2:H70,H70)</f>
        <v>31</v>
      </c>
      <c r="C70" s="5">
        <f>'Baru NIS'!C70</f>
        <v>102519593</v>
      </c>
      <c r="D70" s="5" t="str">
        <f>'Baru NIS'!D70</f>
        <v>0091135785</v>
      </c>
      <c r="E70" s="5" t="str">
        <f>'Baru NIS'!E70</f>
        <v>102519593 /   0091135785</v>
      </c>
      <c r="F70" s="59" t="str">
        <f>'Baru NIS'!F70</f>
        <v>RAFIE DWI ARDHANI</v>
      </c>
      <c r="G70" s="5" t="str">
        <f>'Baru NIS'!G70</f>
        <v>L</v>
      </c>
      <c r="H70" s="5" t="str">
        <f>'Baru NIS'!H70</f>
        <v>X KA 2</v>
      </c>
      <c r="I70" s="5" t="s">
        <v>5672</v>
      </c>
      <c r="J70" s="5" t="s">
        <v>5673</v>
      </c>
      <c r="K70" s="5" t="str">
        <f t="shared" si="3"/>
        <v>LKA</v>
      </c>
    </row>
    <row r="71" spans="1:11" s="53" customFormat="1" x14ac:dyDescent="0.25">
      <c r="A71" s="58" t="str">
        <f t="shared" si="2"/>
        <v>X KA 232</v>
      </c>
      <c r="B71" s="171">
        <f>COUNTIF(H$2:H71,H71)</f>
        <v>32</v>
      </c>
      <c r="C71" s="5">
        <f>'Baru NIS'!C71</f>
        <v>102519594</v>
      </c>
      <c r="D71" s="5" t="str">
        <f>'Baru NIS'!D71</f>
        <v>0105413853</v>
      </c>
      <c r="E71" s="5" t="str">
        <f>'Baru NIS'!E71</f>
        <v>102519594 /   0105413853</v>
      </c>
      <c r="F71" s="59" t="str">
        <f>'Baru NIS'!F71</f>
        <v>RASYA AYASKARA MORELLO</v>
      </c>
      <c r="G71" s="5" t="str">
        <f>'Baru NIS'!G71</f>
        <v>L</v>
      </c>
      <c r="H71" s="5" t="str">
        <f>'Baru NIS'!H71</f>
        <v>X KA 2</v>
      </c>
      <c r="I71" s="5" t="s">
        <v>5672</v>
      </c>
      <c r="J71" s="5" t="s">
        <v>5673</v>
      </c>
      <c r="K71" s="5" t="str">
        <f t="shared" si="3"/>
        <v>LKA</v>
      </c>
    </row>
    <row r="72" spans="1:11" s="53" customFormat="1" x14ac:dyDescent="0.25">
      <c r="A72" s="58" t="str">
        <f t="shared" si="2"/>
        <v>X KA 233</v>
      </c>
      <c r="B72" s="171">
        <f>COUNTIF(H$2:H72,H72)</f>
        <v>33</v>
      </c>
      <c r="C72" s="5">
        <f>'Baru NIS'!C72</f>
        <v>102519595</v>
      </c>
      <c r="D72" s="5" t="str">
        <f>'Baru NIS'!D72</f>
        <v>0099437692</v>
      </c>
      <c r="E72" s="5" t="str">
        <f>'Baru NIS'!E72</f>
        <v>102519595 /   0099437692</v>
      </c>
      <c r="F72" s="59" t="str">
        <f>'Baru NIS'!F72</f>
        <v>REZKY FADILAH</v>
      </c>
      <c r="G72" s="5" t="str">
        <f>'Baru NIS'!G72</f>
        <v>L</v>
      </c>
      <c r="H72" s="5" t="str">
        <f>'Baru NIS'!H72</f>
        <v>X KA 2</v>
      </c>
      <c r="I72" s="5" t="s">
        <v>5672</v>
      </c>
      <c r="J72" s="5" t="s">
        <v>5673</v>
      </c>
      <c r="K72" s="5" t="str">
        <f t="shared" si="3"/>
        <v>LKA</v>
      </c>
    </row>
    <row r="73" spans="1:11" s="53" customFormat="1" x14ac:dyDescent="0.25">
      <c r="A73" s="58" t="str">
        <f t="shared" si="2"/>
        <v>X KA 234</v>
      </c>
      <c r="B73" s="171">
        <f>COUNTIF(H$2:H73,H73)</f>
        <v>34</v>
      </c>
      <c r="C73" s="5">
        <f>'Baru NIS'!C73</f>
        <v>102519596</v>
      </c>
      <c r="D73" s="5" t="str">
        <f>'Baru NIS'!D73</f>
        <v>0091322913</v>
      </c>
      <c r="E73" s="5" t="str">
        <f>'Baru NIS'!E73</f>
        <v>102519596 /   0091322913</v>
      </c>
      <c r="F73" s="59" t="str">
        <f>'Baru NIS'!F73</f>
        <v>RIDWAN PATHUR ROHMAN</v>
      </c>
      <c r="G73" s="5" t="str">
        <f>'Baru NIS'!G73</f>
        <v>L</v>
      </c>
      <c r="H73" s="5" t="str">
        <f>'Baru NIS'!H73</f>
        <v>X KA 2</v>
      </c>
      <c r="I73" s="5" t="s">
        <v>5672</v>
      </c>
      <c r="J73" s="5" t="s">
        <v>5673</v>
      </c>
      <c r="K73" s="5" t="str">
        <f t="shared" si="3"/>
        <v>LKA</v>
      </c>
    </row>
    <row r="74" spans="1:11" s="53" customFormat="1" x14ac:dyDescent="0.25">
      <c r="A74" s="58" t="str">
        <f t="shared" si="2"/>
        <v>X KA 235</v>
      </c>
      <c r="B74" s="171">
        <f>COUNTIF(H$2:H74,H74)</f>
        <v>35</v>
      </c>
      <c r="C74" s="5">
        <f>'Baru NIS'!C74</f>
        <v>102519597</v>
      </c>
      <c r="D74" s="5" t="str">
        <f>'Baru NIS'!D74</f>
        <v>0094657337</v>
      </c>
      <c r="E74" s="5" t="str">
        <f>'Baru NIS'!E74</f>
        <v>102519597 /   0094657337</v>
      </c>
      <c r="F74" s="59" t="str">
        <f>'Baru NIS'!F74</f>
        <v>SAFIRA TRIANDINI SAKTI</v>
      </c>
      <c r="G74" s="5" t="str">
        <f>'Baru NIS'!G74</f>
        <v>P</v>
      </c>
      <c r="H74" s="5" t="str">
        <f>'Baru NIS'!H74</f>
        <v>X KA 2</v>
      </c>
      <c r="I74" s="5" t="s">
        <v>5672</v>
      </c>
      <c r="J74" s="5" t="s">
        <v>5673</v>
      </c>
      <c r="K74" s="5" t="str">
        <f t="shared" si="3"/>
        <v>PKA</v>
      </c>
    </row>
    <row r="75" spans="1:11" s="53" customFormat="1" x14ac:dyDescent="0.25">
      <c r="A75" s="58" t="str">
        <f t="shared" si="2"/>
        <v>X KA 236</v>
      </c>
      <c r="B75" s="171">
        <f>COUNTIF(H$2:H75,H75)</f>
        <v>36</v>
      </c>
      <c r="C75" s="5">
        <f>'Baru NIS'!C75</f>
        <v>102519598</v>
      </c>
      <c r="D75" s="5" t="str">
        <f>'Baru NIS'!D75</f>
        <v>0101880869</v>
      </c>
      <c r="E75" s="5" t="str">
        <f>'Baru NIS'!E75</f>
        <v>102519598 /   0101880869</v>
      </c>
      <c r="F75" s="59" t="str">
        <f>'Baru NIS'!F75</f>
        <v>SHIFA'U ZAHRA</v>
      </c>
      <c r="G75" s="5" t="str">
        <f>'Baru NIS'!G75</f>
        <v>P</v>
      </c>
      <c r="H75" s="5" t="str">
        <f>'Baru NIS'!H75</f>
        <v>X KA 2</v>
      </c>
      <c r="I75" s="5" t="s">
        <v>5672</v>
      </c>
      <c r="J75" s="5" t="s">
        <v>5673</v>
      </c>
      <c r="K75" s="5" t="str">
        <f t="shared" si="3"/>
        <v>PKA</v>
      </c>
    </row>
    <row r="76" spans="1:11" s="53" customFormat="1" x14ac:dyDescent="0.25">
      <c r="A76" s="58" t="str">
        <f t="shared" si="2"/>
        <v>X KA 237</v>
      </c>
      <c r="B76" s="171">
        <f>COUNTIF(H$2:H76,H76)</f>
        <v>37</v>
      </c>
      <c r="C76" s="5">
        <f>'Baru NIS'!C76</f>
        <v>102519599</v>
      </c>
      <c r="D76" s="5" t="str">
        <f>'Baru NIS'!D76</f>
        <v>0093633149</v>
      </c>
      <c r="E76" s="5" t="str">
        <f>'Baru NIS'!E76</f>
        <v>102519599 /   0093633149</v>
      </c>
      <c r="F76" s="59" t="str">
        <f>'Baru NIS'!F76</f>
        <v>SYEILLA CANTIKA MUTHMAINAH</v>
      </c>
      <c r="G76" s="5" t="str">
        <f>'Baru NIS'!G76</f>
        <v>P</v>
      </c>
      <c r="H76" s="5" t="str">
        <f>'Baru NIS'!H76</f>
        <v>X KA 2</v>
      </c>
      <c r="I76" s="5" t="s">
        <v>5672</v>
      </c>
      <c r="J76" s="5" t="s">
        <v>5673</v>
      </c>
      <c r="K76" s="5" t="str">
        <f t="shared" si="3"/>
        <v>PKA</v>
      </c>
    </row>
    <row r="77" spans="1:11" s="53" customFormat="1" x14ac:dyDescent="0.25">
      <c r="A77" s="58" t="str">
        <f t="shared" si="2"/>
        <v>X KA 238</v>
      </c>
      <c r="B77" s="171">
        <f>COUNTIF(H$2:H77,H77)</f>
        <v>38</v>
      </c>
      <c r="C77" s="5">
        <f>'Baru NIS'!C77</f>
        <v>102519600</v>
      </c>
      <c r="D77" s="5" t="str">
        <f>'Baru NIS'!D77</f>
        <v>0107585237</v>
      </c>
      <c r="E77" s="5" t="str">
        <f>'Baru NIS'!E77</f>
        <v>102519600 /   0107585237</v>
      </c>
      <c r="F77" s="59" t="str">
        <f>'Baru NIS'!F77</f>
        <v>ZULFANI ALEA PUTRI</v>
      </c>
      <c r="G77" s="5" t="str">
        <f>'Baru NIS'!G77</f>
        <v>P</v>
      </c>
      <c r="H77" s="5" t="str">
        <f>'Baru NIS'!H77</f>
        <v>X KA 2</v>
      </c>
      <c r="I77" s="5" t="s">
        <v>5672</v>
      </c>
      <c r="J77" s="5" t="s">
        <v>5673</v>
      </c>
      <c r="K77" s="5" t="str">
        <f t="shared" si="3"/>
        <v>PKA</v>
      </c>
    </row>
    <row r="78" spans="1:11" s="53" customFormat="1" x14ac:dyDescent="0.25">
      <c r="A78" s="58" t="str">
        <f t="shared" si="2"/>
        <v>X KA 31</v>
      </c>
      <c r="B78" s="171">
        <f>COUNTIF(H$2:H78,H78)</f>
        <v>1</v>
      </c>
      <c r="C78" s="5">
        <f>'Baru NIS'!C78</f>
        <v>102519601</v>
      </c>
      <c r="D78" s="5" t="str">
        <f>'Baru NIS'!D78</f>
        <v>0098965430</v>
      </c>
      <c r="E78" s="5" t="str">
        <f>'Baru NIS'!E78</f>
        <v>102519601 /   0098965430</v>
      </c>
      <c r="F78" s="59" t="str">
        <f>'Baru NIS'!F78</f>
        <v>ADINDA SITI ZUMAIRAH</v>
      </c>
      <c r="G78" s="5" t="str">
        <f>'Baru NIS'!G78</f>
        <v>P</v>
      </c>
      <c r="H78" s="5" t="str">
        <f>'Baru NIS'!H78</f>
        <v>X KA 3</v>
      </c>
      <c r="I78" s="5" t="s">
        <v>5672</v>
      </c>
      <c r="J78" s="5" t="s">
        <v>5673</v>
      </c>
      <c r="K78" s="5" t="str">
        <f t="shared" si="3"/>
        <v>PKA</v>
      </c>
    </row>
    <row r="79" spans="1:11" s="53" customFormat="1" x14ac:dyDescent="0.25">
      <c r="A79" s="58" t="str">
        <f t="shared" si="2"/>
        <v>X KA 32</v>
      </c>
      <c r="B79" s="171">
        <f>COUNTIF(H$2:H79,H79)</f>
        <v>2</v>
      </c>
      <c r="C79" s="5">
        <f>'Baru NIS'!C79</f>
        <v>102519602</v>
      </c>
      <c r="D79" s="5" t="str">
        <f>'Baru NIS'!D79</f>
        <v>0088948338</v>
      </c>
      <c r="E79" s="5" t="str">
        <f>'Baru NIS'!E79</f>
        <v>102519602 /   0088948338</v>
      </c>
      <c r="F79" s="59" t="str">
        <f>'Baru NIS'!F79</f>
        <v>AGRA SATRIA NOVAL NUGRAHA</v>
      </c>
      <c r="G79" s="5" t="str">
        <f>'Baru NIS'!G79</f>
        <v>L</v>
      </c>
      <c r="H79" s="5" t="str">
        <f>'Baru NIS'!H79</f>
        <v>X KA 3</v>
      </c>
      <c r="I79" s="5" t="s">
        <v>5672</v>
      </c>
      <c r="J79" s="5" t="s">
        <v>5673</v>
      </c>
      <c r="K79" s="5" t="str">
        <f t="shared" si="3"/>
        <v>LKA</v>
      </c>
    </row>
    <row r="80" spans="1:11" s="53" customFormat="1" x14ac:dyDescent="0.25">
      <c r="A80" s="58" t="str">
        <f t="shared" si="2"/>
        <v>X KA 33</v>
      </c>
      <c r="B80" s="171">
        <f>COUNTIF(H$2:H80,H80)</f>
        <v>3</v>
      </c>
      <c r="C80" s="5">
        <f>'Baru NIS'!C80</f>
        <v>102519603</v>
      </c>
      <c r="D80" s="5" t="str">
        <f>'Baru NIS'!D80</f>
        <v>0096003284</v>
      </c>
      <c r="E80" s="5" t="str">
        <f>'Baru NIS'!E80</f>
        <v>102519603 /   0096003284</v>
      </c>
      <c r="F80" s="59" t="str">
        <f>'Baru NIS'!F80</f>
        <v>ALTDEL NAAZNEEN APRILLA</v>
      </c>
      <c r="G80" s="5" t="str">
        <f>'Baru NIS'!G80</f>
        <v>P</v>
      </c>
      <c r="H80" s="5" t="str">
        <f>'Baru NIS'!H80</f>
        <v>X KA 3</v>
      </c>
      <c r="I80" s="5" t="s">
        <v>5672</v>
      </c>
      <c r="J80" s="5" t="s">
        <v>5673</v>
      </c>
      <c r="K80" s="5" t="str">
        <f t="shared" si="3"/>
        <v>PKA</v>
      </c>
    </row>
    <row r="81" spans="1:11" s="53" customFormat="1" x14ac:dyDescent="0.25">
      <c r="A81" s="58" t="str">
        <f t="shared" si="2"/>
        <v>X KA 34</v>
      </c>
      <c r="B81" s="171">
        <f>COUNTIF(H$2:H81,H81)</f>
        <v>4</v>
      </c>
      <c r="C81" s="5">
        <f>'Baru NIS'!C81</f>
        <v>102519604</v>
      </c>
      <c r="D81" s="5" t="str">
        <f>'Baru NIS'!D81</f>
        <v>0096824481</v>
      </c>
      <c r="E81" s="5" t="str">
        <f>'Baru NIS'!E81</f>
        <v>102519604 /   0096824481</v>
      </c>
      <c r="F81" s="59" t="str">
        <f>'Baru NIS'!F81</f>
        <v>AULIA KHOEROTUNNISA NURYANI</v>
      </c>
      <c r="G81" s="5" t="str">
        <f>'Baru NIS'!G81</f>
        <v>P</v>
      </c>
      <c r="H81" s="5" t="str">
        <f>'Baru NIS'!H81</f>
        <v>X KA 3</v>
      </c>
      <c r="I81" s="5" t="s">
        <v>5672</v>
      </c>
      <c r="J81" s="5" t="s">
        <v>5673</v>
      </c>
      <c r="K81" s="5" t="str">
        <f t="shared" si="3"/>
        <v>PKA</v>
      </c>
    </row>
    <row r="82" spans="1:11" s="53" customFormat="1" x14ac:dyDescent="0.25">
      <c r="A82" s="58" t="str">
        <f t="shared" si="2"/>
        <v>X KA 35</v>
      </c>
      <c r="B82" s="171">
        <f>COUNTIF(H$2:H82,H82)</f>
        <v>5</v>
      </c>
      <c r="C82" s="5">
        <f>'Baru NIS'!C82</f>
        <v>102519605</v>
      </c>
      <c r="D82" s="5" t="str">
        <f>'Baru NIS'!D82</f>
        <v>0105404598</v>
      </c>
      <c r="E82" s="5" t="str">
        <f>'Baru NIS'!E82</f>
        <v>102519605 /   0105404598</v>
      </c>
      <c r="F82" s="59" t="str">
        <f>'Baru NIS'!F82</f>
        <v>AVRILIA INDRIANI</v>
      </c>
      <c r="G82" s="5" t="str">
        <f>'Baru NIS'!G82</f>
        <v>P</v>
      </c>
      <c r="H82" s="5" t="str">
        <f>'Baru NIS'!H82</f>
        <v>X KA 3</v>
      </c>
      <c r="I82" s="5" t="s">
        <v>5672</v>
      </c>
      <c r="J82" s="5" t="s">
        <v>5673</v>
      </c>
      <c r="K82" s="5" t="str">
        <f t="shared" si="3"/>
        <v>PKA</v>
      </c>
    </row>
    <row r="83" spans="1:11" s="53" customFormat="1" x14ac:dyDescent="0.25">
      <c r="A83" s="58" t="str">
        <f t="shared" si="2"/>
        <v>X KA 36</v>
      </c>
      <c r="B83" s="171">
        <f>COUNTIF(H$2:H83,H83)</f>
        <v>6</v>
      </c>
      <c r="C83" s="5">
        <f>'Baru NIS'!C83</f>
        <v>102519606</v>
      </c>
      <c r="D83" s="5" t="str">
        <f>'Baru NIS'!D83</f>
        <v>0096302436</v>
      </c>
      <c r="E83" s="5" t="str">
        <f>'Baru NIS'!E83</f>
        <v>102519606 /   0096302436</v>
      </c>
      <c r="F83" s="59" t="str">
        <f>'Baru NIS'!F83</f>
        <v>AZZARQO NAJMALAILA</v>
      </c>
      <c r="G83" s="5" t="str">
        <f>'Baru NIS'!G83</f>
        <v>P</v>
      </c>
      <c r="H83" s="5" t="str">
        <f>'Baru NIS'!H83</f>
        <v>X KA 3</v>
      </c>
      <c r="I83" s="5" t="s">
        <v>5672</v>
      </c>
      <c r="J83" s="5" t="s">
        <v>5673</v>
      </c>
      <c r="K83" s="5" t="str">
        <f t="shared" si="3"/>
        <v>PKA</v>
      </c>
    </row>
    <row r="84" spans="1:11" s="53" customFormat="1" x14ac:dyDescent="0.25">
      <c r="A84" s="58" t="str">
        <f t="shared" si="2"/>
        <v>X KA 37</v>
      </c>
      <c r="B84" s="171">
        <f>COUNTIF(H$2:H84,H84)</f>
        <v>7</v>
      </c>
      <c r="C84" s="5">
        <f>'Baru NIS'!C84</f>
        <v>102519607</v>
      </c>
      <c r="D84" s="5" t="str">
        <f>'Baru NIS'!D84</f>
        <v>0098884018</v>
      </c>
      <c r="E84" s="5" t="str">
        <f>'Baru NIS'!E84</f>
        <v>102519607 /   0098884018</v>
      </c>
      <c r="F84" s="59" t="str">
        <f>'Baru NIS'!F84</f>
        <v>BAHAGIA SVETLANA AISHA FARHANA</v>
      </c>
      <c r="G84" s="5" t="str">
        <f>'Baru NIS'!G84</f>
        <v>P</v>
      </c>
      <c r="H84" s="5" t="str">
        <f>'Baru NIS'!H84</f>
        <v>X KA 3</v>
      </c>
      <c r="I84" s="5" t="s">
        <v>5672</v>
      </c>
      <c r="J84" s="5" t="s">
        <v>5673</v>
      </c>
      <c r="K84" s="5" t="str">
        <f t="shared" si="3"/>
        <v>PKA</v>
      </c>
    </row>
    <row r="85" spans="1:11" s="53" customFormat="1" x14ac:dyDescent="0.25">
      <c r="A85" s="58" t="str">
        <f t="shared" si="2"/>
        <v>X KA 38</v>
      </c>
      <c r="B85" s="171">
        <f>COUNTIF(H$2:H85,H85)</f>
        <v>8</v>
      </c>
      <c r="C85" s="5">
        <f>'Baru NIS'!C85</f>
        <v>102519608</v>
      </c>
      <c r="D85" s="5" t="str">
        <f>'Baru NIS'!D85</f>
        <v>0108173807</v>
      </c>
      <c r="E85" s="5" t="str">
        <f>'Baru NIS'!E85</f>
        <v>102519608 /   0108173807</v>
      </c>
      <c r="F85" s="59" t="str">
        <f>'Baru NIS'!F85</f>
        <v>BUNGA AURA NUR HASANAH</v>
      </c>
      <c r="G85" s="5" t="str">
        <f>'Baru NIS'!G85</f>
        <v>P</v>
      </c>
      <c r="H85" s="5" t="str">
        <f>'Baru NIS'!H85</f>
        <v>X KA 3</v>
      </c>
      <c r="I85" s="5" t="s">
        <v>5672</v>
      </c>
      <c r="J85" s="5" t="s">
        <v>5673</v>
      </c>
      <c r="K85" s="5" t="str">
        <f t="shared" si="3"/>
        <v>PKA</v>
      </c>
    </row>
    <row r="86" spans="1:11" s="53" customFormat="1" x14ac:dyDescent="0.25">
      <c r="A86" s="58" t="str">
        <f t="shared" si="2"/>
        <v>X KA 39</v>
      </c>
      <c r="B86" s="171">
        <f>COUNTIF(H$2:H86,H86)</f>
        <v>9</v>
      </c>
      <c r="C86" s="5">
        <f>'Baru NIS'!C86</f>
        <v>102519609</v>
      </c>
      <c r="D86" s="5">
        <f>'Baru NIS'!D86</f>
        <v>0</v>
      </c>
      <c r="E86" s="5" t="str">
        <f>'Baru NIS'!E86</f>
        <v>102519609 /   0</v>
      </c>
      <c r="F86" s="59" t="str">
        <f>'Baru NIS'!F86</f>
        <v>DELLA SANTI</v>
      </c>
      <c r="G86" s="5" t="str">
        <f>'Baru NIS'!G86</f>
        <v>P</v>
      </c>
      <c r="H86" s="5" t="str">
        <f>'Baru NIS'!H86</f>
        <v>X KA 3</v>
      </c>
      <c r="I86" s="5" t="s">
        <v>5672</v>
      </c>
      <c r="J86" s="5" t="s">
        <v>5673</v>
      </c>
      <c r="K86" s="5" t="str">
        <f t="shared" si="3"/>
        <v>PKA</v>
      </c>
    </row>
    <row r="87" spans="1:11" s="53" customFormat="1" x14ac:dyDescent="0.25">
      <c r="A87" s="58" t="str">
        <f t="shared" si="2"/>
        <v>X KA 310</v>
      </c>
      <c r="B87" s="171">
        <f>COUNTIF(H$2:H87,H87)</f>
        <v>10</v>
      </c>
      <c r="C87" s="5">
        <f>'Baru NIS'!C87</f>
        <v>102519610</v>
      </c>
      <c r="D87" s="5" t="str">
        <f>'Baru NIS'!D87</f>
        <v>0092513749</v>
      </c>
      <c r="E87" s="5" t="str">
        <f>'Baru NIS'!E87</f>
        <v>102519610 /   0092513749</v>
      </c>
      <c r="F87" s="59" t="str">
        <f>'Baru NIS'!F87</f>
        <v>DIAN CITRA SAYYIDINA</v>
      </c>
      <c r="G87" s="5" t="str">
        <f>'Baru NIS'!G87</f>
        <v>P</v>
      </c>
      <c r="H87" s="5" t="str">
        <f>'Baru NIS'!H87</f>
        <v>X KA 3</v>
      </c>
      <c r="I87" s="5" t="s">
        <v>5672</v>
      </c>
      <c r="J87" s="5" t="s">
        <v>5673</v>
      </c>
      <c r="K87" s="5" t="str">
        <f t="shared" si="3"/>
        <v>PKA</v>
      </c>
    </row>
    <row r="88" spans="1:11" s="53" customFormat="1" x14ac:dyDescent="0.25">
      <c r="A88" s="58" t="str">
        <f t="shared" si="2"/>
        <v>X KA 311</v>
      </c>
      <c r="B88" s="171">
        <f>COUNTIF(H$2:H88,H88)</f>
        <v>11</v>
      </c>
      <c r="C88" s="5">
        <f>'Baru NIS'!C88</f>
        <v>102519611</v>
      </c>
      <c r="D88" s="5" t="str">
        <f>'Baru NIS'!D88</f>
        <v>3097236145</v>
      </c>
      <c r="E88" s="5" t="str">
        <f>'Baru NIS'!E88</f>
        <v>102519611 /   3097236145</v>
      </c>
      <c r="F88" s="59" t="str">
        <f>'Baru NIS'!F88</f>
        <v>FADILLAH</v>
      </c>
      <c r="G88" s="5" t="str">
        <f>'Baru NIS'!G88</f>
        <v>P</v>
      </c>
      <c r="H88" s="5" t="str">
        <f>'Baru NIS'!H88</f>
        <v>X KA 3</v>
      </c>
      <c r="I88" s="5" t="s">
        <v>5672</v>
      </c>
      <c r="J88" s="5" t="s">
        <v>5673</v>
      </c>
      <c r="K88" s="5" t="str">
        <f t="shared" si="3"/>
        <v>PKA</v>
      </c>
    </row>
    <row r="89" spans="1:11" s="53" customFormat="1" x14ac:dyDescent="0.25">
      <c r="A89" s="58" t="str">
        <f t="shared" si="2"/>
        <v>X KA 312</v>
      </c>
      <c r="B89" s="171">
        <f>COUNTIF(H$2:H89,H89)</f>
        <v>12</v>
      </c>
      <c r="C89" s="5">
        <f>'Baru NIS'!C89</f>
        <v>102519612</v>
      </c>
      <c r="D89" s="5" t="str">
        <f>'Baru NIS'!D89</f>
        <v>0108082657</v>
      </c>
      <c r="E89" s="5" t="str">
        <f>'Baru NIS'!E89</f>
        <v>102519612 /   0108082657</v>
      </c>
      <c r="F89" s="59" t="str">
        <f>'Baru NIS'!F89</f>
        <v>FITRIA SYAFA NURRAHMAH</v>
      </c>
      <c r="G89" s="5" t="str">
        <f>'Baru NIS'!G89</f>
        <v>P</v>
      </c>
      <c r="H89" s="5" t="str">
        <f>'Baru NIS'!H89</f>
        <v>X KA 3</v>
      </c>
      <c r="I89" s="5" t="s">
        <v>5672</v>
      </c>
      <c r="J89" s="5" t="s">
        <v>5673</v>
      </c>
      <c r="K89" s="5" t="str">
        <f t="shared" si="3"/>
        <v>PKA</v>
      </c>
    </row>
    <row r="90" spans="1:11" s="53" customFormat="1" x14ac:dyDescent="0.25">
      <c r="A90" s="58" t="str">
        <f t="shared" si="2"/>
        <v>X KA 313</v>
      </c>
      <c r="B90" s="171">
        <f>COUNTIF(H$2:H90,H90)</f>
        <v>13</v>
      </c>
      <c r="C90" s="5">
        <f>'Baru NIS'!C90</f>
        <v>102519613</v>
      </c>
      <c r="D90" s="5" t="str">
        <f>'Baru NIS'!D90</f>
        <v>0103107288</v>
      </c>
      <c r="E90" s="5" t="str">
        <f>'Baru NIS'!E90</f>
        <v>102519613 /   0103107288</v>
      </c>
      <c r="F90" s="59" t="str">
        <f>'Baru NIS'!F90</f>
        <v>GHATY ASTRY PUTRYAN</v>
      </c>
      <c r="G90" s="5" t="str">
        <f>'Baru NIS'!G90</f>
        <v>P</v>
      </c>
      <c r="H90" s="5" t="str">
        <f>'Baru NIS'!H90</f>
        <v>X KA 3</v>
      </c>
      <c r="I90" s="5" t="s">
        <v>5672</v>
      </c>
      <c r="J90" s="5" t="s">
        <v>5673</v>
      </c>
      <c r="K90" s="5" t="str">
        <f t="shared" si="3"/>
        <v>PKA</v>
      </c>
    </row>
    <row r="91" spans="1:11" s="53" customFormat="1" x14ac:dyDescent="0.25">
      <c r="A91" s="58" t="str">
        <f t="shared" si="2"/>
        <v>X KA 314</v>
      </c>
      <c r="B91" s="171">
        <f>COUNTIF(H$2:H91,H91)</f>
        <v>14</v>
      </c>
      <c r="C91" s="5">
        <f>'Baru NIS'!C91</f>
        <v>102519614</v>
      </c>
      <c r="D91" s="5" t="str">
        <f>'Baru NIS'!D91</f>
        <v>0106234035</v>
      </c>
      <c r="E91" s="5" t="str">
        <f>'Baru NIS'!E91</f>
        <v>102519614 /   0106234035</v>
      </c>
      <c r="F91" s="59" t="str">
        <f>'Baru NIS'!F91</f>
        <v>GICELA NERA APRILIA</v>
      </c>
      <c r="G91" s="5" t="str">
        <f>'Baru NIS'!G91</f>
        <v>P</v>
      </c>
      <c r="H91" s="5" t="str">
        <f>'Baru NIS'!H91</f>
        <v>X KA 3</v>
      </c>
      <c r="I91" s="5" t="s">
        <v>5672</v>
      </c>
      <c r="J91" s="5" t="s">
        <v>5673</v>
      </c>
      <c r="K91" s="5" t="str">
        <f t="shared" si="3"/>
        <v>PKA</v>
      </c>
    </row>
    <row r="92" spans="1:11" s="53" customFormat="1" x14ac:dyDescent="0.25">
      <c r="A92" s="58" t="str">
        <f t="shared" si="2"/>
        <v>X KA 315</v>
      </c>
      <c r="B92" s="171">
        <f>COUNTIF(H$2:H92,H92)</f>
        <v>15</v>
      </c>
      <c r="C92" s="5">
        <f>'Baru NIS'!C92</f>
        <v>102519615</v>
      </c>
      <c r="D92" s="5">
        <f>'Baru NIS'!D92</f>
        <v>0</v>
      </c>
      <c r="E92" s="5" t="str">
        <f>'Baru NIS'!E92</f>
        <v>102519615 /   0</v>
      </c>
      <c r="F92" s="59" t="str">
        <f>'Baru NIS'!F92</f>
        <v>IMAN RAMADANI</v>
      </c>
      <c r="G92" s="5" t="str">
        <f>'Baru NIS'!G92</f>
        <v>L</v>
      </c>
      <c r="H92" s="5" t="str">
        <f>'Baru NIS'!H92</f>
        <v>X KA 3</v>
      </c>
      <c r="I92" s="5" t="s">
        <v>5672</v>
      </c>
      <c r="J92" s="5" t="s">
        <v>5673</v>
      </c>
      <c r="K92" s="5" t="str">
        <f t="shared" si="3"/>
        <v>LKA</v>
      </c>
    </row>
    <row r="93" spans="1:11" s="53" customFormat="1" x14ac:dyDescent="0.25">
      <c r="A93" s="58" t="str">
        <f t="shared" si="2"/>
        <v>X KA 316</v>
      </c>
      <c r="B93" s="171">
        <f>COUNTIF(H$2:H93,H93)</f>
        <v>16</v>
      </c>
      <c r="C93" s="5">
        <f>'Baru NIS'!C93</f>
        <v>102519616</v>
      </c>
      <c r="D93" s="5" t="str">
        <f>'Baru NIS'!D93</f>
        <v>0108780804</v>
      </c>
      <c r="E93" s="5" t="str">
        <f>'Baru NIS'!E93</f>
        <v>102519616 /   0108780804</v>
      </c>
      <c r="F93" s="59" t="str">
        <f>'Baru NIS'!F93</f>
        <v>JESSICA CHARISMA AVRILIA SIRAIT</v>
      </c>
      <c r="G93" s="5" t="str">
        <f>'Baru NIS'!G93</f>
        <v>P</v>
      </c>
      <c r="H93" s="5" t="str">
        <f>'Baru NIS'!H93</f>
        <v>X KA 3</v>
      </c>
      <c r="I93" s="5" t="s">
        <v>5672</v>
      </c>
      <c r="J93" s="5" t="s">
        <v>5673</v>
      </c>
      <c r="K93" s="5" t="str">
        <f t="shared" si="3"/>
        <v>PKA</v>
      </c>
    </row>
    <row r="94" spans="1:11" s="53" customFormat="1" x14ac:dyDescent="0.25">
      <c r="A94" s="58" t="str">
        <f t="shared" si="2"/>
        <v>X KA 317</v>
      </c>
      <c r="B94" s="171">
        <f>COUNTIF(H$2:H94,H94)</f>
        <v>17</v>
      </c>
      <c r="C94" s="5">
        <f>'Baru NIS'!C94</f>
        <v>102519617</v>
      </c>
      <c r="D94" s="5" t="str">
        <f>'Baru NIS'!D94</f>
        <v>0092231355</v>
      </c>
      <c r="E94" s="5" t="str">
        <f>'Baru NIS'!E94</f>
        <v>102519617 /   0092231355</v>
      </c>
      <c r="F94" s="59" t="str">
        <f>'Baru NIS'!F94</f>
        <v>KATRINA NUR KAMILA NISA</v>
      </c>
      <c r="G94" s="5" t="str">
        <f>'Baru NIS'!G94</f>
        <v>P</v>
      </c>
      <c r="H94" s="5" t="str">
        <f>'Baru NIS'!H94</f>
        <v>X KA 3</v>
      </c>
      <c r="I94" s="5" t="s">
        <v>5672</v>
      </c>
      <c r="J94" s="5" t="s">
        <v>5673</v>
      </c>
      <c r="K94" s="5" t="str">
        <f t="shared" si="3"/>
        <v>PKA</v>
      </c>
    </row>
    <row r="95" spans="1:11" s="53" customFormat="1" x14ac:dyDescent="0.25">
      <c r="A95" s="58" t="str">
        <f t="shared" si="2"/>
        <v>X KA 318</v>
      </c>
      <c r="B95" s="171">
        <f>COUNTIF(H$2:H95,H95)</f>
        <v>18</v>
      </c>
      <c r="C95" s="5">
        <f>'Baru NIS'!C95</f>
        <v>102519618</v>
      </c>
      <c r="D95" s="5" t="str">
        <f>'Baru NIS'!D95</f>
        <v>0099753272</v>
      </c>
      <c r="E95" s="5" t="str">
        <f>'Baru NIS'!E95</f>
        <v>102519618 /   0099753272</v>
      </c>
      <c r="F95" s="59" t="str">
        <f>'Baru NIS'!F95</f>
        <v>KELVIN RAHMADHANI</v>
      </c>
      <c r="G95" s="5" t="str">
        <f>'Baru NIS'!G95</f>
        <v>L</v>
      </c>
      <c r="H95" s="5" t="str">
        <f>'Baru NIS'!H95</f>
        <v>X KA 3</v>
      </c>
      <c r="I95" s="5" t="s">
        <v>5672</v>
      </c>
      <c r="J95" s="5" t="s">
        <v>5673</v>
      </c>
      <c r="K95" s="5" t="str">
        <f t="shared" si="3"/>
        <v>LKA</v>
      </c>
    </row>
    <row r="96" spans="1:11" s="53" customFormat="1" x14ac:dyDescent="0.25">
      <c r="A96" s="58" t="str">
        <f t="shared" si="2"/>
        <v>X KA 319</v>
      </c>
      <c r="B96" s="171">
        <f>COUNTIF(H$2:H96,H96)</f>
        <v>19</v>
      </c>
      <c r="C96" s="5">
        <f>'Baru NIS'!C96</f>
        <v>102519619</v>
      </c>
      <c r="D96" s="5" t="str">
        <f>'Baru NIS'!D96</f>
        <v>0103461903</v>
      </c>
      <c r="E96" s="5" t="str">
        <f>'Baru NIS'!E96</f>
        <v>102519619 /   0103461903</v>
      </c>
      <c r="F96" s="59" t="str">
        <f>'Baru NIS'!F96</f>
        <v>KHOERUL ZIDNI AL IKHSAN</v>
      </c>
      <c r="G96" s="5" t="str">
        <f>'Baru NIS'!G96</f>
        <v>L</v>
      </c>
      <c r="H96" s="5" t="str">
        <f>'Baru NIS'!H96</f>
        <v>X KA 3</v>
      </c>
      <c r="I96" s="5" t="s">
        <v>5672</v>
      </c>
      <c r="J96" s="5" t="s">
        <v>5673</v>
      </c>
      <c r="K96" s="5" t="str">
        <f t="shared" si="3"/>
        <v>LKA</v>
      </c>
    </row>
    <row r="97" spans="1:11" s="53" customFormat="1" x14ac:dyDescent="0.25">
      <c r="A97" s="58" t="str">
        <f t="shared" si="2"/>
        <v>X KA 320</v>
      </c>
      <c r="B97" s="171">
        <f>COUNTIF(H$2:H97,H97)</f>
        <v>20</v>
      </c>
      <c r="C97" s="5">
        <f>'Baru NIS'!C97</f>
        <v>102519620</v>
      </c>
      <c r="D97" s="5" t="str">
        <f>'Baru NIS'!D97</f>
        <v>0095351588</v>
      </c>
      <c r="E97" s="5" t="str">
        <f>'Baru NIS'!E97</f>
        <v>102519620 /   0095351588</v>
      </c>
      <c r="F97" s="59" t="str">
        <f>'Baru NIS'!F97</f>
        <v>LANI PERMANA</v>
      </c>
      <c r="G97" s="5" t="str">
        <f>'Baru NIS'!G97</f>
        <v>P</v>
      </c>
      <c r="H97" s="5" t="str">
        <f>'Baru NIS'!H97</f>
        <v>X KA 3</v>
      </c>
      <c r="I97" s="5" t="s">
        <v>5672</v>
      </c>
      <c r="J97" s="5" t="s">
        <v>5673</v>
      </c>
      <c r="K97" s="5" t="str">
        <f t="shared" si="3"/>
        <v>PKA</v>
      </c>
    </row>
    <row r="98" spans="1:11" s="53" customFormat="1" x14ac:dyDescent="0.25">
      <c r="A98" s="58" t="str">
        <f t="shared" si="2"/>
        <v>X KA 321</v>
      </c>
      <c r="B98" s="171">
        <f>COUNTIF(H$2:H98,H98)</f>
        <v>21</v>
      </c>
      <c r="C98" s="5">
        <f>'Baru NIS'!C98</f>
        <v>102519621</v>
      </c>
      <c r="D98" s="5" t="str">
        <f>'Baru NIS'!D98</f>
        <v>0092251465</v>
      </c>
      <c r="E98" s="5" t="str">
        <f>'Baru NIS'!E98</f>
        <v>102519621 /   0092251465</v>
      </c>
      <c r="F98" s="59" t="str">
        <f>'Baru NIS'!F98</f>
        <v>MELINDA SHAQILA PUTRI</v>
      </c>
      <c r="G98" s="5" t="str">
        <f>'Baru NIS'!G98</f>
        <v>P</v>
      </c>
      <c r="H98" s="5" t="str">
        <f>'Baru NIS'!H98</f>
        <v>X KA 3</v>
      </c>
      <c r="I98" s="5" t="s">
        <v>5672</v>
      </c>
      <c r="J98" s="5" t="s">
        <v>5673</v>
      </c>
      <c r="K98" s="5" t="str">
        <f t="shared" si="3"/>
        <v>PKA</v>
      </c>
    </row>
    <row r="99" spans="1:11" s="53" customFormat="1" x14ac:dyDescent="0.25">
      <c r="A99" s="58" t="str">
        <f t="shared" si="2"/>
        <v>X KA 322</v>
      </c>
      <c r="B99" s="171">
        <f>COUNTIF(H$2:H99,H99)</f>
        <v>22</v>
      </c>
      <c r="C99" s="5">
        <f>'Baru NIS'!C99</f>
        <v>102519622</v>
      </c>
      <c r="D99" s="5" t="str">
        <f>'Baru NIS'!D99</f>
        <v>0099326880</v>
      </c>
      <c r="E99" s="5" t="str">
        <f>'Baru NIS'!E99</f>
        <v>102519622 /   0099326880</v>
      </c>
      <c r="F99" s="59" t="str">
        <f>'Baru NIS'!F99</f>
        <v>MOCHAMAD FEBRIAN ALFARIDZKI</v>
      </c>
      <c r="G99" s="5" t="str">
        <f>'Baru NIS'!G99</f>
        <v>L</v>
      </c>
      <c r="H99" s="5" t="str">
        <f>'Baru NIS'!H99</f>
        <v>X KA 3</v>
      </c>
      <c r="I99" s="5" t="s">
        <v>5672</v>
      </c>
      <c r="J99" s="5" t="s">
        <v>5673</v>
      </c>
      <c r="K99" s="5" t="str">
        <f t="shared" si="3"/>
        <v>LKA</v>
      </c>
    </row>
    <row r="100" spans="1:11" s="53" customFormat="1" x14ac:dyDescent="0.25">
      <c r="A100" s="58" t="str">
        <f t="shared" si="2"/>
        <v>X KA 323</v>
      </c>
      <c r="B100" s="171">
        <f>COUNTIF(H$2:H100,H100)</f>
        <v>23</v>
      </c>
      <c r="C100" s="5">
        <f>'Baru NIS'!C100</f>
        <v>102519623</v>
      </c>
      <c r="D100" s="5" t="str">
        <f>'Baru NIS'!D100</f>
        <v>0108146969</v>
      </c>
      <c r="E100" s="5" t="str">
        <f>'Baru NIS'!E100</f>
        <v>102519623 /   0108146969</v>
      </c>
      <c r="F100" s="59" t="str">
        <f>'Baru NIS'!F100</f>
        <v>MUHAMAD RIZKY FIRDAUS</v>
      </c>
      <c r="G100" s="5" t="str">
        <f>'Baru NIS'!G100</f>
        <v>L</v>
      </c>
      <c r="H100" s="5" t="str">
        <f>'Baru NIS'!H100</f>
        <v>X KA 3</v>
      </c>
      <c r="I100" s="5" t="s">
        <v>5672</v>
      </c>
      <c r="J100" s="5" t="s">
        <v>5673</v>
      </c>
      <c r="K100" s="5" t="str">
        <f t="shared" si="3"/>
        <v>LKA</v>
      </c>
    </row>
    <row r="101" spans="1:11" s="53" customFormat="1" x14ac:dyDescent="0.25">
      <c r="A101" s="58" t="str">
        <f t="shared" si="2"/>
        <v>X KA 324</v>
      </c>
      <c r="B101" s="171">
        <f>COUNTIF(H$2:H101,H101)</f>
        <v>24</v>
      </c>
      <c r="C101" s="5">
        <f>'Baru NIS'!C101</f>
        <v>102519624</v>
      </c>
      <c r="D101" s="5" t="str">
        <f>'Baru NIS'!D101</f>
        <v>0083553020</v>
      </c>
      <c r="E101" s="5" t="str">
        <f>'Baru NIS'!E101</f>
        <v>102519624 /   0083553020</v>
      </c>
      <c r="F101" s="59" t="str">
        <f>'Baru NIS'!F101</f>
        <v>MUHAMAD YUDA PRATAMA</v>
      </c>
      <c r="G101" s="5" t="str">
        <f>'Baru NIS'!G101</f>
        <v>L</v>
      </c>
      <c r="H101" s="5" t="str">
        <f>'Baru NIS'!H101</f>
        <v>X KA 3</v>
      </c>
      <c r="I101" s="5" t="s">
        <v>5672</v>
      </c>
      <c r="J101" s="5" t="s">
        <v>5673</v>
      </c>
      <c r="K101" s="5" t="str">
        <f t="shared" si="3"/>
        <v>LKA</v>
      </c>
    </row>
    <row r="102" spans="1:11" s="53" customFormat="1" x14ac:dyDescent="0.25">
      <c r="A102" s="58" t="str">
        <f t="shared" si="2"/>
        <v>X KA 325</v>
      </c>
      <c r="B102" s="171">
        <f>COUNTIF(H$2:H102,H102)</f>
        <v>25</v>
      </c>
      <c r="C102" s="5">
        <f>'Baru NIS'!C102</f>
        <v>102519625</v>
      </c>
      <c r="D102" s="5" t="str">
        <f>'Baru NIS'!D102</f>
        <v>0091012636</v>
      </c>
      <c r="E102" s="5" t="str">
        <f>'Baru NIS'!E102</f>
        <v>102519625 /   0091012636</v>
      </c>
      <c r="F102" s="59" t="str">
        <f>'Baru NIS'!F102</f>
        <v>MUHAMMAD HIKAM ALHALIM</v>
      </c>
      <c r="G102" s="5" t="str">
        <f>'Baru NIS'!G102</f>
        <v>L</v>
      </c>
      <c r="H102" s="5" t="str">
        <f>'Baru NIS'!H102</f>
        <v>X KA 3</v>
      </c>
      <c r="I102" s="5" t="s">
        <v>5672</v>
      </c>
      <c r="J102" s="5" t="s">
        <v>5673</v>
      </c>
      <c r="K102" s="5" t="str">
        <f t="shared" si="3"/>
        <v>LKA</v>
      </c>
    </row>
    <row r="103" spans="1:11" s="53" customFormat="1" x14ac:dyDescent="0.25">
      <c r="A103" s="58" t="str">
        <f t="shared" si="2"/>
        <v>X KA 326</v>
      </c>
      <c r="B103" s="171">
        <f>COUNTIF(H$2:H103,H103)</f>
        <v>26</v>
      </c>
      <c r="C103" s="5">
        <f>'Baru NIS'!C103</f>
        <v>102519626</v>
      </c>
      <c r="D103" s="5" t="str">
        <f>'Baru NIS'!D103</f>
        <v>0098929004</v>
      </c>
      <c r="E103" s="5" t="str">
        <f>'Baru NIS'!E103</f>
        <v>102519626 /   0098929004</v>
      </c>
      <c r="F103" s="59" t="str">
        <f>'Baru NIS'!F103</f>
        <v>MUHAMMAD JAHFAL ABDURROUF</v>
      </c>
      <c r="G103" s="5" t="str">
        <f>'Baru NIS'!G103</f>
        <v>L</v>
      </c>
      <c r="H103" s="5" t="str">
        <f>'Baru NIS'!H103</f>
        <v>X KA 3</v>
      </c>
      <c r="I103" s="5" t="s">
        <v>5672</v>
      </c>
      <c r="J103" s="5" t="s">
        <v>5673</v>
      </c>
      <c r="K103" s="5" t="str">
        <f t="shared" si="3"/>
        <v>LKA</v>
      </c>
    </row>
    <row r="104" spans="1:11" s="53" customFormat="1" x14ac:dyDescent="0.25">
      <c r="A104" s="58" t="str">
        <f t="shared" si="2"/>
        <v>X KA 327</v>
      </c>
      <c r="B104" s="171">
        <f>COUNTIF(H$2:H104,H104)</f>
        <v>27</v>
      </c>
      <c r="C104" s="5">
        <f>'Baru NIS'!C104</f>
        <v>102519627</v>
      </c>
      <c r="D104" s="5" t="str">
        <f>'Baru NIS'!D104</f>
        <v>0107863983</v>
      </c>
      <c r="E104" s="5" t="str">
        <f>'Baru NIS'!E104</f>
        <v>102519627 /   0107863983</v>
      </c>
      <c r="F104" s="59" t="str">
        <f>'Baru NIS'!F104</f>
        <v>NADIFFA NUR KAMIL</v>
      </c>
      <c r="G104" s="5" t="str">
        <f>'Baru NIS'!G104</f>
        <v>P</v>
      </c>
      <c r="H104" s="5" t="str">
        <f>'Baru NIS'!H104</f>
        <v>X KA 3</v>
      </c>
      <c r="I104" s="5" t="s">
        <v>5672</v>
      </c>
      <c r="J104" s="5" t="s">
        <v>5673</v>
      </c>
      <c r="K104" s="5" t="str">
        <f t="shared" si="3"/>
        <v>PKA</v>
      </c>
    </row>
    <row r="105" spans="1:11" s="53" customFormat="1" x14ac:dyDescent="0.25">
      <c r="A105" s="58" t="str">
        <f t="shared" si="2"/>
        <v>X KA 328</v>
      </c>
      <c r="B105" s="171">
        <f>COUNTIF(H$2:H105,H105)</f>
        <v>28</v>
      </c>
      <c r="C105" s="5">
        <f>'Baru NIS'!C105</f>
        <v>102519628</v>
      </c>
      <c r="D105" s="5" t="str">
        <f>'Baru NIS'!D105</f>
        <v>0104666281</v>
      </c>
      <c r="E105" s="5" t="str">
        <f>'Baru NIS'!E105</f>
        <v>102519628 /   0104666281</v>
      </c>
      <c r="F105" s="59" t="str">
        <f>'Baru NIS'!F105</f>
        <v>NADRIL SIDIK HIKMATULOH</v>
      </c>
      <c r="G105" s="5" t="str">
        <f>'Baru NIS'!G105</f>
        <v>L</v>
      </c>
      <c r="H105" s="5" t="str">
        <f>'Baru NIS'!H105</f>
        <v>X KA 3</v>
      </c>
      <c r="I105" s="5" t="s">
        <v>5672</v>
      </c>
      <c r="J105" s="5" t="s">
        <v>5673</v>
      </c>
      <c r="K105" s="5" t="str">
        <f t="shared" si="3"/>
        <v>LKA</v>
      </c>
    </row>
    <row r="106" spans="1:11" s="53" customFormat="1" x14ac:dyDescent="0.25">
      <c r="A106" s="58" t="str">
        <f t="shared" si="2"/>
        <v>X KA 329</v>
      </c>
      <c r="B106" s="171">
        <f>COUNTIF(H$2:H106,H106)</f>
        <v>29</v>
      </c>
      <c r="C106" s="5">
        <f>'Baru NIS'!C106</f>
        <v>102519629</v>
      </c>
      <c r="D106" s="5" t="str">
        <f>'Baru NIS'!D106</f>
        <v>3096228230</v>
      </c>
      <c r="E106" s="5" t="str">
        <f>'Baru NIS'!E106</f>
        <v>102519629 /   3096228230</v>
      </c>
      <c r="F106" s="59" t="str">
        <f>'Baru NIS'!F106</f>
        <v>NAUFAL OCTAVIANSYAH</v>
      </c>
      <c r="G106" s="5" t="str">
        <f>'Baru NIS'!G106</f>
        <v>L</v>
      </c>
      <c r="H106" s="5" t="str">
        <f>'Baru NIS'!H106</f>
        <v>X KA 3</v>
      </c>
      <c r="I106" s="5" t="s">
        <v>5672</v>
      </c>
      <c r="J106" s="5" t="s">
        <v>5673</v>
      </c>
      <c r="K106" s="5" t="str">
        <f t="shared" si="3"/>
        <v>LKA</v>
      </c>
    </row>
    <row r="107" spans="1:11" s="53" customFormat="1" x14ac:dyDescent="0.25">
      <c r="A107" s="58" t="str">
        <f t="shared" si="2"/>
        <v>X KA 330</v>
      </c>
      <c r="B107" s="171">
        <f>COUNTIF(H$2:H107,H107)</f>
        <v>30</v>
      </c>
      <c r="C107" s="5">
        <f>'Baru NIS'!C107</f>
        <v>102519630</v>
      </c>
      <c r="D107" s="5" t="str">
        <f>'Baru NIS'!D107</f>
        <v>0103099759</v>
      </c>
      <c r="E107" s="5" t="str">
        <f>'Baru NIS'!E107</f>
        <v>102519630 /   0103099759</v>
      </c>
      <c r="F107" s="59" t="str">
        <f>'Baru NIS'!F107</f>
        <v>POPPY ADELIA FHATARANI</v>
      </c>
      <c r="G107" s="5" t="str">
        <f>'Baru NIS'!G107</f>
        <v>P</v>
      </c>
      <c r="H107" s="5" t="str">
        <f>'Baru NIS'!H107</f>
        <v>X KA 3</v>
      </c>
      <c r="I107" s="5" t="s">
        <v>5672</v>
      </c>
      <c r="J107" s="5" t="s">
        <v>5673</v>
      </c>
      <c r="K107" s="5" t="str">
        <f t="shared" si="3"/>
        <v>PKA</v>
      </c>
    </row>
    <row r="108" spans="1:11" s="53" customFormat="1" x14ac:dyDescent="0.25">
      <c r="A108" s="58" t="str">
        <f t="shared" si="2"/>
        <v>X KA 331</v>
      </c>
      <c r="B108" s="171">
        <f>COUNTIF(H$2:H108,H108)</f>
        <v>31</v>
      </c>
      <c r="C108" s="5">
        <f>'Baru NIS'!C108</f>
        <v>102519631</v>
      </c>
      <c r="D108" s="5" t="str">
        <f>'Baru NIS'!D108</f>
        <v>0096026696</v>
      </c>
      <c r="E108" s="5" t="str">
        <f>'Baru NIS'!E108</f>
        <v>102519631 /   0096026696</v>
      </c>
      <c r="F108" s="59" t="str">
        <f>'Baru NIS'!F108</f>
        <v>PUTRI AULYA</v>
      </c>
      <c r="G108" s="5" t="str">
        <f>'Baru NIS'!G108</f>
        <v>P</v>
      </c>
      <c r="H108" s="5" t="str">
        <f>'Baru NIS'!H108</f>
        <v>X KA 3</v>
      </c>
      <c r="I108" s="5" t="s">
        <v>5672</v>
      </c>
      <c r="J108" s="5" t="s">
        <v>5673</v>
      </c>
      <c r="K108" s="5" t="str">
        <f t="shared" si="3"/>
        <v>PKA</v>
      </c>
    </row>
    <row r="109" spans="1:11" s="53" customFormat="1" x14ac:dyDescent="0.25">
      <c r="A109" s="58" t="str">
        <f t="shared" si="2"/>
        <v>X KA 332</v>
      </c>
      <c r="B109" s="171">
        <f>COUNTIF(H$2:H109,H109)</f>
        <v>32</v>
      </c>
      <c r="C109" s="5">
        <f>'Baru NIS'!C109</f>
        <v>102519632</v>
      </c>
      <c r="D109" s="5" t="str">
        <f>'Baru NIS'!D109</f>
        <v>0109419111</v>
      </c>
      <c r="E109" s="5" t="str">
        <f>'Baru NIS'!E109</f>
        <v>102519632 /   0109419111</v>
      </c>
      <c r="F109" s="59" t="str">
        <f>'Baru NIS'!F109</f>
        <v>RAMA HAFIDZHAN HERLANGGA  IRZA</v>
      </c>
      <c r="G109" s="5" t="str">
        <f>'Baru NIS'!G109</f>
        <v>L</v>
      </c>
      <c r="H109" s="5" t="str">
        <f>'Baru NIS'!H109</f>
        <v>X KA 3</v>
      </c>
      <c r="I109" s="5" t="s">
        <v>5672</v>
      </c>
      <c r="J109" s="5" t="s">
        <v>5673</v>
      </c>
      <c r="K109" s="5" t="str">
        <f t="shared" si="3"/>
        <v>LKA</v>
      </c>
    </row>
    <row r="110" spans="1:11" s="53" customFormat="1" x14ac:dyDescent="0.25">
      <c r="A110" s="58" t="str">
        <f t="shared" si="2"/>
        <v>X KA 333</v>
      </c>
      <c r="B110" s="171">
        <f>COUNTIF(H$2:H110,H110)</f>
        <v>33</v>
      </c>
      <c r="C110" s="5">
        <f>'Baru NIS'!C110</f>
        <v>102519633</v>
      </c>
      <c r="D110" s="5" t="str">
        <f>'Baru NIS'!D110</f>
        <v>0087684621</v>
      </c>
      <c r="E110" s="5" t="str">
        <f>'Baru NIS'!E110</f>
        <v>102519633 /   0087684621</v>
      </c>
      <c r="F110" s="59" t="str">
        <f>'Baru NIS'!F110</f>
        <v>RIZKI PUTRA SARIPULOH</v>
      </c>
      <c r="G110" s="5" t="str">
        <f>'Baru NIS'!G110</f>
        <v>L</v>
      </c>
      <c r="H110" s="5" t="str">
        <f>'Baru NIS'!H110</f>
        <v>X KA 3</v>
      </c>
      <c r="I110" s="5" t="s">
        <v>5672</v>
      </c>
      <c r="J110" s="5" t="s">
        <v>5673</v>
      </c>
      <c r="K110" s="5" t="str">
        <f t="shared" si="3"/>
        <v>LKA</v>
      </c>
    </row>
    <row r="111" spans="1:11" s="53" customFormat="1" x14ac:dyDescent="0.25">
      <c r="A111" s="58" t="str">
        <f t="shared" si="2"/>
        <v>X KA 334</v>
      </c>
      <c r="B111" s="171">
        <f>COUNTIF(H$2:H111,H111)</f>
        <v>34</v>
      </c>
      <c r="C111" s="5">
        <f>'Baru NIS'!C111</f>
        <v>102519634</v>
      </c>
      <c r="D111" s="5" t="str">
        <f>'Baru NIS'!D111</f>
        <v>0107555740</v>
      </c>
      <c r="E111" s="5" t="str">
        <f>'Baru NIS'!E111</f>
        <v>102519634 /   0107555740</v>
      </c>
      <c r="F111" s="59" t="str">
        <f>'Baru NIS'!F111</f>
        <v>SAFNA ZAHIRA ALIANSYAH</v>
      </c>
      <c r="G111" s="5" t="str">
        <f>'Baru NIS'!G111</f>
        <v>P</v>
      </c>
      <c r="H111" s="5" t="str">
        <f>'Baru NIS'!H111</f>
        <v>X KA 3</v>
      </c>
      <c r="I111" s="5" t="s">
        <v>5672</v>
      </c>
      <c r="J111" s="5" t="s">
        <v>5673</v>
      </c>
      <c r="K111" s="5" t="str">
        <f t="shared" si="3"/>
        <v>PKA</v>
      </c>
    </row>
    <row r="112" spans="1:11" s="53" customFormat="1" x14ac:dyDescent="0.25">
      <c r="A112" s="58" t="str">
        <f t="shared" si="2"/>
        <v>X KA 335</v>
      </c>
      <c r="B112" s="171">
        <f>COUNTIF(H$2:H112,H112)</f>
        <v>35</v>
      </c>
      <c r="C112" s="5">
        <f>'Baru NIS'!C112</f>
        <v>102519635</v>
      </c>
      <c r="D112" s="5" t="str">
        <f>'Baru NIS'!D112</f>
        <v>0092746027</v>
      </c>
      <c r="E112" s="5" t="str">
        <f>'Baru NIS'!E112</f>
        <v>102519635 /   0092746027</v>
      </c>
      <c r="F112" s="59" t="str">
        <f>'Baru NIS'!F112</f>
        <v>SALMAN MOCHAMMAD FAISHAL</v>
      </c>
      <c r="G112" s="5" t="str">
        <f>'Baru NIS'!G112</f>
        <v>L</v>
      </c>
      <c r="H112" s="5" t="str">
        <f>'Baru NIS'!H112</f>
        <v>X KA 3</v>
      </c>
      <c r="I112" s="5" t="s">
        <v>5672</v>
      </c>
      <c r="J112" s="5" t="s">
        <v>5673</v>
      </c>
      <c r="K112" s="5" t="str">
        <f t="shared" si="3"/>
        <v>LKA</v>
      </c>
    </row>
    <row r="113" spans="1:11" s="53" customFormat="1" x14ac:dyDescent="0.25">
      <c r="A113" s="58" t="str">
        <f t="shared" si="2"/>
        <v>X KA 336</v>
      </c>
      <c r="B113" s="171">
        <f>COUNTIF(H$2:H113,H113)</f>
        <v>36</v>
      </c>
      <c r="C113" s="5">
        <f>'Baru NIS'!C113</f>
        <v>102519636</v>
      </c>
      <c r="D113" s="5" t="str">
        <f>'Baru NIS'!D113</f>
        <v>0096880275</v>
      </c>
      <c r="E113" s="5" t="str">
        <f>'Baru NIS'!E113</f>
        <v>102519636 /   0096880275</v>
      </c>
      <c r="F113" s="59" t="str">
        <f>'Baru NIS'!F113</f>
        <v>SASCIA WULANDARI</v>
      </c>
      <c r="G113" s="5" t="str">
        <f>'Baru NIS'!G113</f>
        <v>P</v>
      </c>
      <c r="H113" s="5" t="str">
        <f>'Baru NIS'!H113</f>
        <v>X KA 3</v>
      </c>
      <c r="I113" s="5" t="s">
        <v>5672</v>
      </c>
      <c r="J113" s="5" t="s">
        <v>5673</v>
      </c>
      <c r="K113" s="5" t="str">
        <f t="shared" si="3"/>
        <v>PKA</v>
      </c>
    </row>
    <row r="114" spans="1:11" s="53" customFormat="1" x14ac:dyDescent="0.25">
      <c r="A114" s="58" t="str">
        <f t="shared" si="2"/>
        <v>X KA 337</v>
      </c>
      <c r="B114" s="171">
        <f>COUNTIF(H$2:H114,H114)</f>
        <v>37</v>
      </c>
      <c r="C114" s="5">
        <f>'Baru NIS'!C114</f>
        <v>102519637</v>
      </c>
      <c r="D114" s="5" t="str">
        <f>'Baru NIS'!D114</f>
        <v>0093469475</v>
      </c>
      <c r="E114" s="5" t="str">
        <f>'Baru NIS'!E114</f>
        <v>102519637 /   0093469475</v>
      </c>
      <c r="F114" s="59" t="str">
        <f>'Baru NIS'!F114</f>
        <v>SYARIFANADYA</v>
      </c>
      <c r="G114" s="5" t="str">
        <f>'Baru NIS'!G114</f>
        <v>P</v>
      </c>
      <c r="H114" s="5" t="str">
        <f>'Baru NIS'!H114</f>
        <v>X KA 3</v>
      </c>
      <c r="I114" s="5" t="s">
        <v>5672</v>
      </c>
      <c r="J114" s="5" t="s">
        <v>5673</v>
      </c>
      <c r="K114" s="5" t="str">
        <f t="shared" si="3"/>
        <v>PKA</v>
      </c>
    </row>
    <row r="115" spans="1:11" s="53" customFormat="1" x14ac:dyDescent="0.25">
      <c r="A115" s="58" t="str">
        <f t="shared" si="2"/>
        <v>X KA 338</v>
      </c>
      <c r="B115" s="171">
        <f>COUNTIF(H$2:H115,H115)</f>
        <v>38</v>
      </c>
      <c r="C115" s="5">
        <f>'Baru NIS'!C115</f>
        <v>102519638</v>
      </c>
      <c r="D115" s="5" t="str">
        <f>'Baru NIS'!D115</f>
        <v>0092735910</v>
      </c>
      <c r="E115" s="5" t="str">
        <f>'Baru NIS'!E115</f>
        <v>102519638 /   0092735910</v>
      </c>
      <c r="F115" s="59" t="str">
        <f>'Baru NIS'!F115</f>
        <v>VIVIE VIRELLA SANTOSO</v>
      </c>
      <c r="G115" s="5" t="str">
        <f>'Baru NIS'!G115</f>
        <v>P</v>
      </c>
      <c r="H115" s="5" t="str">
        <f>'Baru NIS'!H115</f>
        <v>X KA 3</v>
      </c>
      <c r="I115" s="5" t="s">
        <v>5672</v>
      </c>
      <c r="J115" s="5" t="s">
        <v>5673</v>
      </c>
      <c r="K115" s="5" t="str">
        <f t="shared" si="3"/>
        <v>PKA</v>
      </c>
    </row>
    <row r="116" spans="1:11" s="53" customFormat="1" x14ac:dyDescent="0.25">
      <c r="A116" s="58" t="str">
        <f t="shared" si="2"/>
        <v>X KA 41</v>
      </c>
      <c r="B116" s="171">
        <f>COUNTIF(H$2:H116,H116)</f>
        <v>1</v>
      </c>
      <c r="C116" s="5">
        <f>'Baru NIS'!C116</f>
        <v>102519639</v>
      </c>
      <c r="D116" s="5" t="str">
        <f>'Baru NIS'!D116</f>
        <v>0092132678</v>
      </c>
      <c r="E116" s="5" t="str">
        <f>'Baru NIS'!E116</f>
        <v>102519639 /   0092132678</v>
      </c>
      <c r="F116" s="59" t="str">
        <f>'Baru NIS'!F116</f>
        <v>ADENA ARYADIN PUTRA</v>
      </c>
      <c r="G116" s="5" t="str">
        <f>'Baru NIS'!G116</f>
        <v>L</v>
      </c>
      <c r="H116" s="5" t="str">
        <f>'Baru NIS'!H116</f>
        <v>X KA 4</v>
      </c>
      <c r="I116" s="5" t="s">
        <v>5672</v>
      </c>
      <c r="J116" s="5" t="s">
        <v>5673</v>
      </c>
      <c r="K116" s="5" t="str">
        <f t="shared" si="3"/>
        <v>LKA</v>
      </c>
    </row>
    <row r="117" spans="1:11" s="53" customFormat="1" x14ac:dyDescent="0.25">
      <c r="A117" s="58" t="str">
        <f t="shared" si="2"/>
        <v>X KA 42</v>
      </c>
      <c r="B117" s="171">
        <f>COUNTIF(H$2:H117,H117)</f>
        <v>2</v>
      </c>
      <c r="C117" s="5">
        <f>'Baru NIS'!C117</f>
        <v>102519640</v>
      </c>
      <c r="D117" s="5" t="str">
        <f>'Baru NIS'!D117</f>
        <v>0102799422</v>
      </c>
      <c r="E117" s="5" t="str">
        <f>'Baru NIS'!E117</f>
        <v>102519640 /   0102799422</v>
      </c>
      <c r="F117" s="59" t="str">
        <f>'Baru NIS'!F117</f>
        <v>AIYLA APRILIYA</v>
      </c>
      <c r="G117" s="5" t="str">
        <f>'Baru NIS'!G117</f>
        <v>P</v>
      </c>
      <c r="H117" s="5" t="str">
        <f>'Baru NIS'!H117</f>
        <v>X KA 4</v>
      </c>
      <c r="I117" s="5" t="s">
        <v>5672</v>
      </c>
      <c r="J117" s="5" t="s">
        <v>5673</v>
      </c>
      <c r="K117" s="5" t="str">
        <f t="shared" si="3"/>
        <v>PKA</v>
      </c>
    </row>
    <row r="118" spans="1:11" s="53" customFormat="1" x14ac:dyDescent="0.25">
      <c r="A118" s="58" t="str">
        <f t="shared" si="2"/>
        <v>X KA 43</v>
      </c>
      <c r="B118" s="171">
        <f>COUNTIF(H$2:H118,H118)</f>
        <v>3</v>
      </c>
      <c r="C118" s="5">
        <f>'Baru NIS'!C118</f>
        <v>102519641</v>
      </c>
      <c r="D118" s="5" t="str">
        <f>'Baru NIS'!D118</f>
        <v>3102046267</v>
      </c>
      <c r="E118" s="5" t="str">
        <f>'Baru NIS'!E118</f>
        <v>102519641 /   3102046267</v>
      </c>
      <c r="F118" s="59" t="str">
        <f>'Baru NIS'!F118</f>
        <v>AMEEIRA FAEZIA ZAHWA</v>
      </c>
      <c r="G118" s="5" t="str">
        <f>'Baru NIS'!G118</f>
        <v>P</v>
      </c>
      <c r="H118" s="5" t="str">
        <f>'Baru NIS'!H118</f>
        <v>X KA 4</v>
      </c>
      <c r="I118" s="5" t="s">
        <v>5672</v>
      </c>
      <c r="J118" s="5" t="s">
        <v>5673</v>
      </c>
      <c r="K118" s="5" t="str">
        <f t="shared" si="3"/>
        <v>PKA</v>
      </c>
    </row>
    <row r="119" spans="1:11" s="53" customFormat="1" x14ac:dyDescent="0.25">
      <c r="A119" s="58" t="str">
        <f t="shared" si="2"/>
        <v>X KA 44</v>
      </c>
      <c r="B119" s="171">
        <f>COUNTIF(H$2:H119,H119)</f>
        <v>4</v>
      </c>
      <c r="C119" s="5">
        <f>'Baru NIS'!C119</f>
        <v>102519642</v>
      </c>
      <c r="D119" s="5">
        <f>'Baru NIS'!D119</f>
        <v>0</v>
      </c>
      <c r="E119" s="5" t="str">
        <f>'Baru NIS'!E119</f>
        <v>102519642 /   0</v>
      </c>
      <c r="F119" s="59" t="str">
        <f>'Baru NIS'!F119</f>
        <v>ASA GHASIYAH</v>
      </c>
      <c r="G119" s="5" t="str">
        <f>'Baru NIS'!G119</f>
        <v>P</v>
      </c>
      <c r="H119" s="5" t="str">
        <f>'Baru NIS'!H119</f>
        <v>X KA 4</v>
      </c>
      <c r="I119" s="5" t="s">
        <v>5672</v>
      </c>
      <c r="J119" s="5" t="s">
        <v>5673</v>
      </c>
      <c r="K119" s="5" t="str">
        <f t="shared" si="3"/>
        <v>PKA</v>
      </c>
    </row>
    <row r="120" spans="1:11" s="53" customFormat="1" x14ac:dyDescent="0.25">
      <c r="A120" s="58" t="str">
        <f t="shared" si="2"/>
        <v>X KA 45</v>
      </c>
      <c r="B120" s="171">
        <f>COUNTIF(H$2:H120,H120)</f>
        <v>5</v>
      </c>
      <c r="C120" s="5">
        <f>'Baru NIS'!C120</f>
        <v>102519643</v>
      </c>
      <c r="D120" s="5" t="str">
        <f>'Baru NIS'!D120</f>
        <v>0098798478</v>
      </c>
      <c r="E120" s="5" t="str">
        <f>'Baru NIS'!E120</f>
        <v>102519643 /   0098798478</v>
      </c>
      <c r="F120" s="59" t="str">
        <f>'Baru NIS'!F120</f>
        <v>AZAZHIRA TAZRIYAH</v>
      </c>
      <c r="G120" s="5" t="str">
        <f>'Baru NIS'!G120</f>
        <v>P</v>
      </c>
      <c r="H120" s="5" t="str">
        <f>'Baru NIS'!H120</f>
        <v>X KA 4</v>
      </c>
      <c r="I120" s="5" t="s">
        <v>5672</v>
      </c>
      <c r="J120" s="5" t="s">
        <v>5673</v>
      </c>
      <c r="K120" s="5" t="str">
        <f t="shared" si="3"/>
        <v>PKA</v>
      </c>
    </row>
    <row r="121" spans="1:11" s="53" customFormat="1" x14ac:dyDescent="0.25">
      <c r="A121" s="58" t="str">
        <f t="shared" si="2"/>
        <v>X KA 46</v>
      </c>
      <c r="B121" s="171">
        <f>COUNTIF(H$2:H121,H121)</f>
        <v>6</v>
      </c>
      <c r="C121" s="5">
        <f>'Baru NIS'!C121</f>
        <v>102519644</v>
      </c>
      <c r="D121" s="5" t="str">
        <f>'Baru NIS'!D121</f>
        <v>0091161399</v>
      </c>
      <c r="E121" s="5" t="str">
        <f>'Baru NIS'!E121</f>
        <v>102519644 /   0091161399</v>
      </c>
      <c r="F121" s="59" t="str">
        <f>'Baru NIS'!F121</f>
        <v>BERYL ALVARO JULIANSYAH</v>
      </c>
      <c r="G121" s="5" t="str">
        <f>'Baru NIS'!G121</f>
        <v>L</v>
      </c>
      <c r="H121" s="5" t="str">
        <f>'Baru NIS'!H121</f>
        <v>X KA 4</v>
      </c>
      <c r="I121" s="5" t="s">
        <v>5672</v>
      </c>
      <c r="J121" s="5" t="s">
        <v>5673</v>
      </c>
      <c r="K121" s="5" t="str">
        <f t="shared" si="3"/>
        <v>LKA</v>
      </c>
    </row>
    <row r="122" spans="1:11" s="53" customFormat="1" x14ac:dyDescent="0.25">
      <c r="A122" s="58" t="str">
        <f t="shared" si="2"/>
        <v>X KA 47</v>
      </c>
      <c r="B122" s="171">
        <f>COUNTIF(H$2:H122,H122)</f>
        <v>7</v>
      </c>
      <c r="C122" s="5">
        <f>'Baru NIS'!C122</f>
        <v>102519645</v>
      </c>
      <c r="D122" s="5" t="str">
        <f>'Baru NIS'!D122</f>
        <v>0094421048</v>
      </c>
      <c r="E122" s="5" t="str">
        <f>'Baru NIS'!E122</f>
        <v>102519645 /   0094421048</v>
      </c>
      <c r="F122" s="59" t="str">
        <f>'Baru NIS'!F122</f>
        <v>CHANTIKA AMALIA FAIRUNISA</v>
      </c>
      <c r="G122" s="5" t="str">
        <f>'Baru NIS'!G122</f>
        <v>P</v>
      </c>
      <c r="H122" s="5" t="str">
        <f>'Baru NIS'!H122</f>
        <v>X KA 4</v>
      </c>
      <c r="I122" s="5" t="s">
        <v>5672</v>
      </c>
      <c r="J122" s="5" t="s">
        <v>5673</v>
      </c>
      <c r="K122" s="5" t="str">
        <f t="shared" si="3"/>
        <v>PKA</v>
      </c>
    </row>
    <row r="123" spans="1:11" s="53" customFormat="1" x14ac:dyDescent="0.25">
      <c r="A123" s="58" t="str">
        <f t="shared" si="2"/>
        <v>X KA 48</v>
      </c>
      <c r="B123" s="171">
        <f>COUNTIF(H$2:H123,H123)</f>
        <v>8</v>
      </c>
      <c r="C123" s="5">
        <f>'Baru NIS'!C123</f>
        <v>102519646</v>
      </c>
      <c r="D123" s="5" t="str">
        <f>'Baru NIS'!D123</f>
        <v>0095417292</v>
      </c>
      <c r="E123" s="5" t="str">
        <f>'Baru NIS'!E123</f>
        <v>102519646 /   0095417292</v>
      </c>
      <c r="F123" s="59" t="str">
        <f>'Baru NIS'!F123</f>
        <v>CLEONISA AZKA WIBAWA</v>
      </c>
      <c r="G123" s="5" t="str">
        <f>'Baru NIS'!G123</f>
        <v>P</v>
      </c>
      <c r="H123" s="5" t="str">
        <f>'Baru NIS'!H123</f>
        <v>X KA 4</v>
      </c>
      <c r="I123" s="5" t="s">
        <v>5672</v>
      </c>
      <c r="J123" s="5" t="s">
        <v>5673</v>
      </c>
      <c r="K123" s="5" t="str">
        <f t="shared" si="3"/>
        <v>PKA</v>
      </c>
    </row>
    <row r="124" spans="1:11" s="53" customFormat="1" x14ac:dyDescent="0.25">
      <c r="A124" s="58" t="str">
        <f t="shared" si="2"/>
        <v>X KA 49</v>
      </c>
      <c r="B124" s="171">
        <f>COUNTIF(H$2:H124,H124)</f>
        <v>9</v>
      </c>
      <c r="C124" s="5">
        <f>'Baru NIS'!C124</f>
        <v>102519647</v>
      </c>
      <c r="D124" s="5" t="str">
        <f>'Baru NIS'!D124</f>
        <v>0092514261</v>
      </c>
      <c r="E124" s="5" t="str">
        <f>'Baru NIS'!E124</f>
        <v>102519647 /   0092514261</v>
      </c>
      <c r="F124" s="59" t="str">
        <f>'Baru NIS'!F124</f>
        <v>DHENAS RAYHAN FAHREZI</v>
      </c>
      <c r="G124" s="5" t="str">
        <f>'Baru NIS'!G124</f>
        <v>L</v>
      </c>
      <c r="H124" s="5" t="str">
        <f>'Baru NIS'!H124</f>
        <v>X KA 4</v>
      </c>
      <c r="I124" s="5" t="s">
        <v>5672</v>
      </c>
      <c r="J124" s="5" t="s">
        <v>5673</v>
      </c>
      <c r="K124" s="5" t="str">
        <f t="shared" si="3"/>
        <v>LKA</v>
      </c>
    </row>
    <row r="125" spans="1:11" s="53" customFormat="1" x14ac:dyDescent="0.25">
      <c r="A125" s="58" t="str">
        <f t="shared" si="2"/>
        <v>X KA 410</v>
      </c>
      <c r="B125" s="171">
        <f>COUNTIF(H$2:H125,H125)</f>
        <v>10</v>
      </c>
      <c r="C125" s="5">
        <f>'Baru NIS'!C125</f>
        <v>102519648</v>
      </c>
      <c r="D125" s="5" t="str">
        <f>'Baru NIS'!D125</f>
        <v>0108142704</v>
      </c>
      <c r="E125" s="5" t="str">
        <f>'Baru NIS'!E125</f>
        <v>102519648 /   0108142704</v>
      </c>
      <c r="F125" s="59" t="str">
        <f>'Baru NIS'!F125</f>
        <v>DIVANA RABBINA PUTRI</v>
      </c>
      <c r="G125" s="5" t="str">
        <f>'Baru NIS'!G125</f>
        <v>P</v>
      </c>
      <c r="H125" s="5" t="str">
        <f>'Baru NIS'!H125</f>
        <v>X KA 4</v>
      </c>
      <c r="I125" s="5" t="s">
        <v>5672</v>
      </c>
      <c r="J125" s="5" t="s">
        <v>5673</v>
      </c>
      <c r="K125" s="5" t="str">
        <f t="shared" si="3"/>
        <v>PKA</v>
      </c>
    </row>
    <row r="126" spans="1:11" s="53" customFormat="1" x14ac:dyDescent="0.25">
      <c r="A126" s="58" t="str">
        <f t="shared" si="2"/>
        <v>X KA 411</v>
      </c>
      <c r="B126" s="171">
        <f>COUNTIF(H$2:H126,H126)</f>
        <v>11</v>
      </c>
      <c r="C126" s="5">
        <f>'Baru NIS'!C126</f>
        <v>102519649</v>
      </c>
      <c r="D126" s="5" t="str">
        <f>'Baru NIS'!D126</f>
        <v>0101365266</v>
      </c>
      <c r="E126" s="5" t="str">
        <f>'Baru NIS'!E126</f>
        <v>102519649 /   0101365266</v>
      </c>
      <c r="F126" s="59" t="str">
        <f>'Baru NIS'!F126</f>
        <v>FADILLAH DWI PRATIWI</v>
      </c>
      <c r="G126" s="5" t="str">
        <f>'Baru NIS'!G126</f>
        <v>P</v>
      </c>
      <c r="H126" s="5" t="str">
        <f>'Baru NIS'!H126</f>
        <v>X KA 4</v>
      </c>
      <c r="I126" s="5" t="s">
        <v>5672</v>
      </c>
      <c r="J126" s="5" t="s">
        <v>5673</v>
      </c>
      <c r="K126" s="5" t="str">
        <f t="shared" si="3"/>
        <v>PKA</v>
      </c>
    </row>
    <row r="127" spans="1:11" s="53" customFormat="1" x14ac:dyDescent="0.25">
      <c r="A127" s="58" t="str">
        <f t="shared" si="2"/>
        <v>X KA 412</v>
      </c>
      <c r="B127" s="171">
        <f>COUNTIF(H$2:H127,H127)</f>
        <v>12</v>
      </c>
      <c r="C127" s="5">
        <f>'Baru NIS'!C127</f>
        <v>102519650</v>
      </c>
      <c r="D127" s="5" t="str">
        <f>'Baru NIS'!D127</f>
        <v>0094219855</v>
      </c>
      <c r="E127" s="5" t="str">
        <f>'Baru NIS'!E127</f>
        <v>102519650 /   0094219855</v>
      </c>
      <c r="F127" s="59" t="str">
        <f>'Baru NIS'!F127</f>
        <v>GALANG SANGKARA</v>
      </c>
      <c r="G127" s="5" t="str">
        <f>'Baru NIS'!G127</f>
        <v>L</v>
      </c>
      <c r="H127" s="5" t="str">
        <f>'Baru NIS'!H127</f>
        <v>X KA 4</v>
      </c>
      <c r="I127" s="5" t="s">
        <v>5672</v>
      </c>
      <c r="J127" s="5" t="s">
        <v>5673</v>
      </c>
      <c r="K127" s="5" t="str">
        <f t="shared" si="3"/>
        <v>LKA</v>
      </c>
    </row>
    <row r="128" spans="1:11" s="53" customFormat="1" x14ac:dyDescent="0.25">
      <c r="A128" s="58" t="str">
        <f t="shared" si="2"/>
        <v>X KA 413</v>
      </c>
      <c r="B128" s="171">
        <f>COUNTIF(H$2:H128,H128)</f>
        <v>13</v>
      </c>
      <c r="C128" s="5">
        <f>'Baru NIS'!C128</f>
        <v>102519651</v>
      </c>
      <c r="D128" s="5" t="str">
        <f>'Baru NIS'!D128</f>
        <v>0108728560</v>
      </c>
      <c r="E128" s="5" t="str">
        <f>'Baru NIS'!E128</f>
        <v>102519651 /   0108728560</v>
      </c>
      <c r="F128" s="59" t="str">
        <f>'Baru NIS'!F128</f>
        <v>GHAUS LUTFI HAKIM</v>
      </c>
      <c r="G128" s="5" t="str">
        <f>'Baru NIS'!G128</f>
        <v>L</v>
      </c>
      <c r="H128" s="5" t="str">
        <f>'Baru NIS'!H128</f>
        <v>X KA 4</v>
      </c>
      <c r="I128" s="5" t="s">
        <v>5672</v>
      </c>
      <c r="J128" s="5" t="s">
        <v>5673</v>
      </c>
      <c r="K128" s="5" t="str">
        <f t="shared" si="3"/>
        <v>LKA</v>
      </c>
    </row>
    <row r="129" spans="1:11" s="53" customFormat="1" x14ac:dyDescent="0.25">
      <c r="A129" s="58" t="str">
        <f t="shared" si="2"/>
        <v>X KA 414</v>
      </c>
      <c r="B129" s="171">
        <f>COUNTIF(H$2:H129,H129)</f>
        <v>14</v>
      </c>
      <c r="C129" s="5">
        <f>'Baru NIS'!C129</f>
        <v>102519652</v>
      </c>
      <c r="D129" s="5" t="str">
        <f>'Baru NIS'!D129</f>
        <v>0093707369</v>
      </c>
      <c r="E129" s="5" t="str">
        <f>'Baru NIS'!E129</f>
        <v>102519652 /   0093707369</v>
      </c>
      <c r="F129" s="59" t="str">
        <f>'Baru NIS'!F129</f>
        <v>HAFIIDH RAMADHAN PUTRA</v>
      </c>
      <c r="G129" s="5" t="str">
        <f>'Baru NIS'!G129</f>
        <v>L</v>
      </c>
      <c r="H129" s="5" t="str">
        <f>'Baru NIS'!H129</f>
        <v>X KA 4</v>
      </c>
      <c r="I129" s="5" t="s">
        <v>5672</v>
      </c>
      <c r="J129" s="5" t="s">
        <v>5673</v>
      </c>
      <c r="K129" s="5" t="str">
        <f t="shared" si="3"/>
        <v>LKA</v>
      </c>
    </row>
    <row r="130" spans="1:11" s="53" customFormat="1" x14ac:dyDescent="0.25">
      <c r="A130" s="58" t="str">
        <f t="shared" ref="A130:A193" si="4">H130&amp;B130</f>
        <v>X KA 415</v>
      </c>
      <c r="B130" s="171">
        <f>COUNTIF(H$2:H130,H130)</f>
        <v>15</v>
      </c>
      <c r="C130" s="5">
        <f>'Baru NIS'!C130</f>
        <v>102519653</v>
      </c>
      <c r="D130" s="5" t="str">
        <f>'Baru NIS'!D130</f>
        <v>0101341034</v>
      </c>
      <c r="E130" s="5" t="str">
        <f>'Baru NIS'!E130</f>
        <v>102519653 /   0101341034</v>
      </c>
      <c r="F130" s="59" t="str">
        <f>'Baru NIS'!F130</f>
        <v>JINAN AZ-ZAHRA</v>
      </c>
      <c r="G130" s="5" t="str">
        <f>'Baru NIS'!G130</f>
        <v>P</v>
      </c>
      <c r="H130" s="5" t="str">
        <f>'Baru NIS'!H130</f>
        <v>X KA 4</v>
      </c>
      <c r="I130" s="5" t="s">
        <v>5672</v>
      </c>
      <c r="J130" s="5" t="s">
        <v>5673</v>
      </c>
      <c r="K130" s="5" t="str">
        <f t="shared" ref="K130:K193" si="5">G130&amp;J130</f>
        <v>PKA</v>
      </c>
    </row>
    <row r="131" spans="1:11" s="53" customFormat="1" x14ac:dyDescent="0.25">
      <c r="A131" s="58" t="str">
        <f t="shared" si="4"/>
        <v>X KA 416</v>
      </c>
      <c r="B131" s="171">
        <f>COUNTIF(H$2:H131,H131)</f>
        <v>16</v>
      </c>
      <c r="C131" s="5">
        <f>'Baru NIS'!C131</f>
        <v>102519654</v>
      </c>
      <c r="D131" s="5" t="str">
        <f>'Baru NIS'!D131</f>
        <v>0098721132</v>
      </c>
      <c r="E131" s="5" t="str">
        <f>'Baru NIS'!E131</f>
        <v>102519654 /   0098721132</v>
      </c>
      <c r="F131" s="59" t="str">
        <f>'Baru NIS'!F131</f>
        <v>JOHAR TAUFIQ</v>
      </c>
      <c r="G131" s="5" t="str">
        <f>'Baru NIS'!G131</f>
        <v>L</v>
      </c>
      <c r="H131" s="5" t="str">
        <f>'Baru NIS'!H131</f>
        <v>X KA 4</v>
      </c>
      <c r="I131" s="5" t="s">
        <v>5672</v>
      </c>
      <c r="J131" s="5" t="s">
        <v>5673</v>
      </c>
      <c r="K131" s="5" t="str">
        <f t="shared" si="5"/>
        <v>LKA</v>
      </c>
    </row>
    <row r="132" spans="1:11" s="53" customFormat="1" x14ac:dyDescent="0.25">
      <c r="A132" s="58" t="str">
        <f t="shared" si="4"/>
        <v>X KA 417</v>
      </c>
      <c r="B132" s="171">
        <f>COUNTIF(H$2:H132,H132)</f>
        <v>17</v>
      </c>
      <c r="C132" s="5">
        <f>'Baru NIS'!C132</f>
        <v>102519655</v>
      </c>
      <c r="D132" s="5" t="str">
        <f>'Baru NIS'!D132</f>
        <v>0097216819</v>
      </c>
      <c r="E132" s="5" t="str">
        <f>'Baru NIS'!E132</f>
        <v>102519655 /   0097216819</v>
      </c>
      <c r="F132" s="59" t="str">
        <f>'Baru NIS'!F132</f>
        <v>KHANIA DEWI</v>
      </c>
      <c r="G132" s="5" t="str">
        <f>'Baru NIS'!G132</f>
        <v>P</v>
      </c>
      <c r="H132" s="5" t="str">
        <f>'Baru NIS'!H132</f>
        <v>X KA 4</v>
      </c>
      <c r="I132" s="5" t="s">
        <v>5672</v>
      </c>
      <c r="J132" s="5" t="s">
        <v>5673</v>
      </c>
      <c r="K132" s="5" t="str">
        <f t="shared" si="5"/>
        <v>PKA</v>
      </c>
    </row>
    <row r="133" spans="1:11" s="53" customFormat="1" x14ac:dyDescent="0.25">
      <c r="A133" s="58" t="str">
        <f t="shared" si="4"/>
        <v>X KA 418</v>
      </c>
      <c r="B133" s="171">
        <f>COUNTIF(H$2:H133,H133)</f>
        <v>18</v>
      </c>
      <c r="C133" s="5">
        <f>'Baru NIS'!C133</f>
        <v>102519656</v>
      </c>
      <c r="D133" s="5" t="str">
        <f>'Baru NIS'!D133</f>
        <v>0092139460</v>
      </c>
      <c r="E133" s="5" t="str">
        <f>'Baru NIS'!E133</f>
        <v>102519656 /   0092139460</v>
      </c>
      <c r="F133" s="59" t="str">
        <f>'Baru NIS'!F133</f>
        <v>KHANSA LAYLA RAMADHAN</v>
      </c>
      <c r="G133" s="5" t="str">
        <f>'Baru NIS'!G133</f>
        <v>P</v>
      </c>
      <c r="H133" s="5" t="str">
        <f>'Baru NIS'!H133</f>
        <v>X KA 4</v>
      </c>
      <c r="I133" s="5" t="s">
        <v>5672</v>
      </c>
      <c r="J133" s="5" t="s">
        <v>5673</v>
      </c>
      <c r="K133" s="5" t="str">
        <f t="shared" si="5"/>
        <v>PKA</v>
      </c>
    </row>
    <row r="134" spans="1:11" s="53" customFormat="1" x14ac:dyDescent="0.25">
      <c r="A134" s="58" t="str">
        <f t="shared" si="4"/>
        <v>X KA 419</v>
      </c>
      <c r="B134" s="171">
        <f>COUNTIF(H$2:H134,H134)</f>
        <v>19</v>
      </c>
      <c r="C134" s="5">
        <f>'Baru NIS'!C134</f>
        <v>102519657</v>
      </c>
      <c r="D134" s="5" t="str">
        <f>'Baru NIS'!D134</f>
        <v>0105838745</v>
      </c>
      <c r="E134" s="5" t="str">
        <f>'Baru NIS'!E134</f>
        <v>102519657 /   0105838745</v>
      </c>
      <c r="F134" s="59" t="str">
        <f>'Baru NIS'!F134</f>
        <v>LULA CAESSARIA AZZAHRA</v>
      </c>
      <c r="G134" s="5" t="str">
        <f>'Baru NIS'!G134</f>
        <v>P</v>
      </c>
      <c r="H134" s="5" t="str">
        <f>'Baru NIS'!H134</f>
        <v>X KA 4</v>
      </c>
      <c r="I134" s="5" t="s">
        <v>5672</v>
      </c>
      <c r="J134" s="5" t="s">
        <v>5673</v>
      </c>
      <c r="K134" s="5" t="str">
        <f t="shared" si="5"/>
        <v>PKA</v>
      </c>
    </row>
    <row r="135" spans="1:11" s="53" customFormat="1" x14ac:dyDescent="0.25">
      <c r="A135" s="58" t="str">
        <f t="shared" si="4"/>
        <v>X KA 420</v>
      </c>
      <c r="B135" s="171">
        <f>COUNTIF(H$2:H135,H135)</f>
        <v>20</v>
      </c>
      <c r="C135" s="5">
        <f>'Baru NIS'!C135</f>
        <v>102519658</v>
      </c>
      <c r="D135" s="5" t="str">
        <f>'Baru NIS'!D135</f>
        <v>0103541677</v>
      </c>
      <c r="E135" s="5" t="str">
        <f>'Baru NIS'!E135</f>
        <v>102519658 /   0103541677</v>
      </c>
      <c r="F135" s="59" t="str">
        <f>'Baru NIS'!F135</f>
        <v>MICHELLE APRIANIE PUTRI SONJAYA</v>
      </c>
      <c r="G135" s="5" t="str">
        <f>'Baru NIS'!G135</f>
        <v>P</v>
      </c>
      <c r="H135" s="5" t="str">
        <f>'Baru NIS'!H135</f>
        <v>X KA 4</v>
      </c>
      <c r="I135" s="5" t="s">
        <v>5672</v>
      </c>
      <c r="J135" s="5" t="s">
        <v>5673</v>
      </c>
      <c r="K135" s="5" t="str">
        <f t="shared" si="5"/>
        <v>PKA</v>
      </c>
    </row>
    <row r="136" spans="1:11" s="53" customFormat="1" x14ac:dyDescent="0.25">
      <c r="A136" s="58" t="str">
        <f t="shared" si="4"/>
        <v>X KA 421</v>
      </c>
      <c r="B136" s="171">
        <f>COUNTIF(H$2:H136,H136)</f>
        <v>21</v>
      </c>
      <c r="C136" s="5">
        <f>'Baru NIS'!C136</f>
        <v>102519659</v>
      </c>
      <c r="D136" s="5" t="str">
        <f>'Baru NIS'!D136</f>
        <v>0098479396</v>
      </c>
      <c r="E136" s="5" t="str">
        <f>'Baru NIS'!E136</f>
        <v>102519659 /   0098479396</v>
      </c>
      <c r="F136" s="59" t="str">
        <f>'Baru NIS'!F136</f>
        <v>MUHAMMAD ANDRA NUGRAHA</v>
      </c>
      <c r="G136" s="5" t="str">
        <f>'Baru NIS'!G136</f>
        <v>L</v>
      </c>
      <c r="H136" s="5" t="str">
        <f>'Baru NIS'!H136</f>
        <v>X KA 4</v>
      </c>
      <c r="I136" s="5" t="s">
        <v>5672</v>
      </c>
      <c r="J136" s="5" t="s">
        <v>5673</v>
      </c>
      <c r="K136" s="5" t="str">
        <f t="shared" si="5"/>
        <v>LKA</v>
      </c>
    </row>
    <row r="137" spans="1:11" s="53" customFormat="1" x14ac:dyDescent="0.25">
      <c r="A137" s="58" t="str">
        <f t="shared" si="4"/>
        <v>X KA 422</v>
      </c>
      <c r="B137" s="171">
        <f>COUNTIF(H$2:H137,H137)</f>
        <v>22</v>
      </c>
      <c r="C137" s="5">
        <f>'Baru NIS'!C137</f>
        <v>102519660</v>
      </c>
      <c r="D137" s="5" t="str">
        <f>'Baru NIS'!D137</f>
        <v>0102229715</v>
      </c>
      <c r="E137" s="5" t="str">
        <f>'Baru NIS'!E137</f>
        <v>102519660 /   0102229715</v>
      </c>
      <c r="F137" s="59" t="str">
        <f>'Baru NIS'!F137</f>
        <v>MUHAMMAD HASBI SAEFULLOH</v>
      </c>
      <c r="G137" s="5" t="str">
        <f>'Baru NIS'!G137</f>
        <v>L</v>
      </c>
      <c r="H137" s="5" t="str">
        <f>'Baru NIS'!H137</f>
        <v>X KA 4</v>
      </c>
      <c r="I137" s="5" t="s">
        <v>5672</v>
      </c>
      <c r="J137" s="5" t="s">
        <v>5673</v>
      </c>
      <c r="K137" s="5" t="str">
        <f t="shared" si="5"/>
        <v>LKA</v>
      </c>
    </row>
    <row r="138" spans="1:11" s="53" customFormat="1" x14ac:dyDescent="0.25">
      <c r="A138" s="58" t="str">
        <f t="shared" si="4"/>
        <v>X KA 423</v>
      </c>
      <c r="B138" s="171">
        <f>COUNTIF(H$2:H138,H138)</f>
        <v>23</v>
      </c>
      <c r="C138" s="5">
        <f>'Baru NIS'!C138</f>
        <v>102519661</v>
      </c>
      <c r="D138" s="5" t="str">
        <f>'Baru NIS'!D138</f>
        <v>3100350874</v>
      </c>
      <c r="E138" s="5" t="str">
        <f>'Baru NIS'!E138</f>
        <v>102519661 /   3100350874</v>
      </c>
      <c r="F138" s="59" t="str">
        <f>'Baru NIS'!F138</f>
        <v>MUHAMMAD KENZIE ARSYAD PILIANG</v>
      </c>
      <c r="G138" s="5" t="str">
        <f>'Baru NIS'!G138</f>
        <v>L</v>
      </c>
      <c r="H138" s="5" t="str">
        <f>'Baru NIS'!H138</f>
        <v>X KA 4</v>
      </c>
      <c r="I138" s="5" t="s">
        <v>5672</v>
      </c>
      <c r="J138" s="5" t="s">
        <v>5673</v>
      </c>
      <c r="K138" s="5" t="str">
        <f t="shared" si="5"/>
        <v>LKA</v>
      </c>
    </row>
    <row r="139" spans="1:11" s="53" customFormat="1" x14ac:dyDescent="0.25">
      <c r="A139" s="58" t="str">
        <f t="shared" si="4"/>
        <v>X KA 424</v>
      </c>
      <c r="B139" s="171">
        <f>COUNTIF(H$2:H139,H139)</f>
        <v>24</v>
      </c>
      <c r="C139" s="5">
        <f>'Baru NIS'!C139</f>
        <v>102519662</v>
      </c>
      <c r="D139" s="5" t="str">
        <f>'Baru NIS'!D139</f>
        <v>3107677341</v>
      </c>
      <c r="E139" s="5" t="str">
        <f>'Baru NIS'!E139</f>
        <v>102519662 /   3107677341</v>
      </c>
      <c r="F139" s="59" t="str">
        <f>'Baru NIS'!F139</f>
        <v>NABILA INGIT SUKMAWATI</v>
      </c>
      <c r="G139" s="5" t="str">
        <f>'Baru NIS'!G139</f>
        <v>P</v>
      </c>
      <c r="H139" s="5" t="str">
        <f>'Baru NIS'!H139</f>
        <v>X KA 4</v>
      </c>
      <c r="I139" s="5" t="s">
        <v>5672</v>
      </c>
      <c r="J139" s="5" t="s">
        <v>5673</v>
      </c>
      <c r="K139" s="5" t="str">
        <f t="shared" si="5"/>
        <v>PKA</v>
      </c>
    </row>
    <row r="140" spans="1:11" s="53" customFormat="1" x14ac:dyDescent="0.25">
      <c r="A140" s="58" t="str">
        <f t="shared" si="4"/>
        <v>X KA 425</v>
      </c>
      <c r="B140" s="171">
        <f>COUNTIF(H$2:H140,H140)</f>
        <v>25</v>
      </c>
      <c r="C140" s="5">
        <f>'Baru NIS'!C140</f>
        <v>102519663</v>
      </c>
      <c r="D140" s="5" t="str">
        <f>'Baru NIS'!D140</f>
        <v>3093307456</v>
      </c>
      <c r="E140" s="5" t="str">
        <f>'Baru NIS'!E140</f>
        <v>102519663 /   3093307456</v>
      </c>
      <c r="F140" s="59" t="str">
        <f>'Baru NIS'!F140</f>
        <v>NEVITA ZAHRA</v>
      </c>
      <c r="G140" s="5" t="str">
        <f>'Baru NIS'!G140</f>
        <v>P</v>
      </c>
      <c r="H140" s="5" t="str">
        <f>'Baru NIS'!H140</f>
        <v>X KA 4</v>
      </c>
      <c r="I140" s="5" t="s">
        <v>5672</v>
      </c>
      <c r="J140" s="5" t="s">
        <v>5673</v>
      </c>
      <c r="K140" s="5" t="str">
        <f t="shared" si="5"/>
        <v>PKA</v>
      </c>
    </row>
    <row r="141" spans="1:11" s="53" customFormat="1" x14ac:dyDescent="0.25">
      <c r="A141" s="58" t="str">
        <f t="shared" si="4"/>
        <v>X KA 426</v>
      </c>
      <c r="B141" s="171">
        <f>COUNTIF(H$2:H141,H141)</f>
        <v>26</v>
      </c>
      <c r="C141" s="5">
        <f>'Baru NIS'!C141</f>
        <v>102519664</v>
      </c>
      <c r="D141" s="5" t="str">
        <f>'Baru NIS'!D141</f>
        <v>0109926646</v>
      </c>
      <c r="E141" s="5" t="str">
        <f>'Baru NIS'!E141</f>
        <v>102519664 /   0109926646</v>
      </c>
      <c r="F141" s="59" t="str">
        <f>'Baru NIS'!F141</f>
        <v>NUR AFNI MAULIDA</v>
      </c>
      <c r="G141" s="5" t="str">
        <f>'Baru NIS'!G141</f>
        <v>P</v>
      </c>
      <c r="H141" s="5" t="str">
        <f>'Baru NIS'!H141</f>
        <v>X KA 4</v>
      </c>
      <c r="I141" s="5" t="s">
        <v>5672</v>
      </c>
      <c r="J141" s="5" t="s">
        <v>5673</v>
      </c>
      <c r="K141" s="5" t="str">
        <f t="shared" si="5"/>
        <v>PKA</v>
      </c>
    </row>
    <row r="142" spans="1:11" s="53" customFormat="1" x14ac:dyDescent="0.25">
      <c r="A142" s="58" t="str">
        <f t="shared" si="4"/>
        <v>X KA 427</v>
      </c>
      <c r="B142" s="171">
        <f>COUNTIF(H$2:H142,H142)</f>
        <v>27</v>
      </c>
      <c r="C142" s="5">
        <f>'Baru NIS'!C142</f>
        <v>102519665</v>
      </c>
      <c r="D142" s="5" t="str">
        <f>'Baru NIS'!D142</f>
        <v>0098274743</v>
      </c>
      <c r="E142" s="5" t="str">
        <f>'Baru NIS'!E142</f>
        <v>102519665 /   0098274743</v>
      </c>
      <c r="F142" s="59" t="str">
        <f>'Baru NIS'!F142</f>
        <v>PUTRI AZKA HANDAYANI</v>
      </c>
      <c r="G142" s="5" t="str">
        <f>'Baru NIS'!G142</f>
        <v>P</v>
      </c>
      <c r="H142" s="5" t="str">
        <f>'Baru NIS'!H142</f>
        <v>X KA 4</v>
      </c>
      <c r="I142" s="5" t="s">
        <v>5672</v>
      </c>
      <c r="J142" s="5" t="s">
        <v>5673</v>
      </c>
      <c r="K142" s="5" t="str">
        <f t="shared" si="5"/>
        <v>PKA</v>
      </c>
    </row>
    <row r="143" spans="1:11" s="53" customFormat="1" x14ac:dyDescent="0.25">
      <c r="A143" s="58" t="str">
        <f t="shared" si="4"/>
        <v>X KA 428</v>
      </c>
      <c r="B143" s="171">
        <f>COUNTIF(H$2:H143,H143)</f>
        <v>28</v>
      </c>
      <c r="C143" s="5">
        <f>'Baru NIS'!C143</f>
        <v>102519666</v>
      </c>
      <c r="D143" s="5" t="str">
        <f>'Baru NIS'!D143</f>
        <v>0109879796</v>
      </c>
      <c r="E143" s="5" t="str">
        <f>'Baru NIS'!E143</f>
        <v>102519666 /   0109879796</v>
      </c>
      <c r="F143" s="59" t="str">
        <f>'Baru NIS'!F143</f>
        <v>RAGIL TRIADI JULIAN</v>
      </c>
      <c r="G143" s="5" t="str">
        <f>'Baru NIS'!G143</f>
        <v>L</v>
      </c>
      <c r="H143" s="5" t="str">
        <f>'Baru NIS'!H143</f>
        <v>X KA 4</v>
      </c>
      <c r="I143" s="5" t="s">
        <v>5672</v>
      </c>
      <c r="J143" s="5" t="s">
        <v>5673</v>
      </c>
      <c r="K143" s="5" t="str">
        <f t="shared" si="5"/>
        <v>LKA</v>
      </c>
    </row>
    <row r="144" spans="1:11" s="53" customFormat="1" x14ac:dyDescent="0.25">
      <c r="A144" s="58" t="str">
        <f t="shared" si="4"/>
        <v>X KA 429</v>
      </c>
      <c r="B144" s="171">
        <f>COUNTIF(H$2:H144,H144)</f>
        <v>29</v>
      </c>
      <c r="C144" s="5">
        <f>'Baru NIS'!C144</f>
        <v>102519667</v>
      </c>
      <c r="D144" s="5" t="str">
        <f>'Baru NIS'!D144</f>
        <v>0107457275</v>
      </c>
      <c r="E144" s="5" t="str">
        <f>'Baru NIS'!E144</f>
        <v>102519667 /   0107457275</v>
      </c>
      <c r="F144" s="59" t="str">
        <f>'Baru NIS'!F144</f>
        <v>RAHMA NISPIA</v>
      </c>
      <c r="G144" s="5" t="str">
        <f>'Baru NIS'!G144</f>
        <v>P</v>
      </c>
      <c r="H144" s="5" t="str">
        <f>'Baru NIS'!H144</f>
        <v>X KA 4</v>
      </c>
      <c r="I144" s="5" t="s">
        <v>5672</v>
      </c>
      <c r="J144" s="5" t="s">
        <v>5673</v>
      </c>
      <c r="K144" s="5" t="str">
        <f t="shared" si="5"/>
        <v>PKA</v>
      </c>
    </row>
    <row r="145" spans="1:11" s="53" customFormat="1" x14ac:dyDescent="0.25">
      <c r="A145" s="58" t="str">
        <f t="shared" si="4"/>
        <v>X KA 430</v>
      </c>
      <c r="B145" s="171">
        <f>COUNTIF(H$2:H145,H145)</f>
        <v>30</v>
      </c>
      <c r="C145" s="5">
        <f>'Baru NIS'!C145</f>
        <v>102519668</v>
      </c>
      <c r="D145" s="5" t="str">
        <f>'Baru NIS'!D145</f>
        <v>0097595425</v>
      </c>
      <c r="E145" s="5" t="str">
        <f>'Baru NIS'!E145</f>
        <v>102519668 /   0097595425</v>
      </c>
      <c r="F145" s="59" t="str">
        <f>'Baru NIS'!F145</f>
        <v>RASYA ADI PUTRA</v>
      </c>
      <c r="G145" s="5" t="str">
        <f>'Baru NIS'!G145</f>
        <v>L</v>
      </c>
      <c r="H145" s="5" t="str">
        <f>'Baru NIS'!H145</f>
        <v>X KA 4</v>
      </c>
      <c r="I145" s="5" t="s">
        <v>5672</v>
      </c>
      <c r="J145" s="5" t="s">
        <v>5673</v>
      </c>
      <c r="K145" s="5" t="str">
        <f t="shared" si="5"/>
        <v>LKA</v>
      </c>
    </row>
    <row r="146" spans="1:11" s="53" customFormat="1" x14ac:dyDescent="0.25">
      <c r="A146" s="58" t="str">
        <f t="shared" si="4"/>
        <v>X KA 431</v>
      </c>
      <c r="B146" s="171">
        <f>COUNTIF(H$2:H146,H146)</f>
        <v>31</v>
      </c>
      <c r="C146" s="5">
        <f>'Baru NIS'!C146</f>
        <v>102519669</v>
      </c>
      <c r="D146" s="5" t="str">
        <f>'Baru NIS'!D146</f>
        <v>0105925226</v>
      </c>
      <c r="E146" s="5" t="str">
        <f>'Baru NIS'!E146</f>
        <v>102519669 /   0105925226</v>
      </c>
      <c r="F146" s="59" t="str">
        <f>'Baru NIS'!F146</f>
        <v>SALAMPESSY FIRMAN CHATERAY</v>
      </c>
      <c r="G146" s="5" t="str">
        <f>'Baru NIS'!G146</f>
        <v>L</v>
      </c>
      <c r="H146" s="5" t="str">
        <f>'Baru NIS'!H146</f>
        <v>X KA 4</v>
      </c>
      <c r="I146" s="5" t="s">
        <v>5672</v>
      </c>
      <c r="J146" s="5" t="s">
        <v>5673</v>
      </c>
      <c r="K146" s="5" t="str">
        <f t="shared" si="5"/>
        <v>LKA</v>
      </c>
    </row>
    <row r="147" spans="1:11" s="53" customFormat="1" x14ac:dyDescent="0.25">
      <c r="A147" s="58" t="str">
        <f t="shared" si="4"/>
        <v>X KA 432</v>
      </c>
      <c r="B147" s="171">
        <f>COUNTIF(H$2:H147,H147)</f>
        <v>32</v>
      </c>
      <c r="C147" s="5">
        <f>'Baru NIS'!C147</f>
        <v>102519670</v>
      </c>
      <c r="D147" s="5" t="str">
        <f>'Baru NIS'!D147</f>
        <v>0098380073</v>
      </c>
      <c r="E147" s="5" t="str">
        <f>'Baru NIS'!E147</f>
        <v>102519670 /   0098380073</v>
      </c>
      <c r="F147" s="59" t="str">
        <f>'Baru NIS'!F147</f>
        <v>SEPIYA AULIA RAHMADANI</v>
      </c>
      <c r="G147" s="5" t="str">
        <f>'Baru NIS'!G147</f>
        <v>P</v>
      </c>
      <c r="H147" s="5" t="str">
        <f>'Baru NIS'!H147</f>
        <v>X KA 4</v>
      </c>
      <c r="I147" s="5" t="s">
        <v>5672</v>
      </c>
      <c r="J147" s="5" t="s">
        <v>5673</v>
      </c>
      <c r="K147" s="5" t="str">
        <f t="shared" si="5"/>
        <v>PKA</v>
      </c>
    </row>
    <row r="148" spans="1:11" s="53" customFormat="1" x14ac:dyDescent="0.25">
      <c r="A148" s="58" t="str">
        <f t="shared" si="4"/>
        <v>X KA 433</v>
      </c>
      <c r="B148" s="171">
        <f>COUNTIF(H$2:H148,H148)</f>
        <v>33</v>
      </c>
      <c r="C148" s="5">
        <f>'Baru NIS'!C148</f>
        <v>102519671</v>
      </c>
      <c r="D148" s="5" t="str">
        <f>'Baru NIS'!D148</f>
        <v>0098524442</v>
      </c>
      <c r="E148" s="5" t="str">
        <f>'Baru NIS'!E148</f>
        <v>102519671 /   0098524442</v>
      </c>
      <c r="F148" s="59" t="str">
        <f>'Baru NIS'!F148</f>
        <v>SHALSA RADHA NOVIANTI</v>
      </c>
      <c r="G148" s="5" t="str">
        <f>'Baru NIS'!G148</f>
        <v>P</v>
      </c>
      <c r="H148" s="5" t="str">
        <f>'Baru NIS'!H148</f>
        <v>X KA 4</v>
      </c>
      <c r="I148" s="5" t="s">
        <v>5672</v>
      </c>
      <c r="J148" s="5" t="s">
        <v>5673</v>
      </c>
      <c r="K148" s="5" t="str">
        <f t="shared" si="5"/>
        <v>PKA</v>
      </c>
    </row>
    <row r="149" spans="1:11" s="53" customFormat="1" x14ac:dyDescent="0.25">
      <c r="A149" s="58" t="str">
        <f t="shared" si="4"/>
        <v>X KA 434</v>
      </c>
      <c r="B149" s="171">
        <f>COUNTIF(H$2:H149,H149)</f>
        <v>34</v>
      </c>
      <c r="C149" s="5">
        <f>'Baru NIS'!C149</f>
        <v>102519672</v>
      </c>
      <c r="D149" s="5" t="str">
        <f>'Baru NIS'!D149</f>
        <v>0093779191</v>
      </c>
      <c r="E149" s="5" t="str">
        <f>'Baru NIS'!E149</f>
        <v>102519672 /   0093779191</v>
      </c>
      <c r="F149" s="59" t="str">
        <f>'Baru NIS'!F149</f>
        <v>SHERYL SHEFIRA PRIATNA PUTRI</v>
      </c>
      <c r="G149" s="5" t="str">
        <f>'Baru NIS'!G149</f>
        <v>P</v>
      </c>
      <c r="H149" s="5" t="str">
        <f>'Baru NIS'!H149</f>
        <v>X KA 4</v>
      </c>
      <c r="I149" s="5" t="s">
        <v>5672</v>
      </c>
      <c r="J149" s="5" t="s">
        <v>5673</v>
      </c>
      <c r="K149" s="5" t="str">
        <f t="shared" si="5"/>
        <v>PKA</v>
      </c>
    </row>
    <row r="150" spans="1:11" s="53" customFormat="1" x14ac:dyDescent="0.25">
      <c r="A150" s="58" t="str">
        <f t="shared" si="4"/>
        <v>X KA 435</v>
      </c>
      <c r="B150" s="171">
        <f>COUNTIF(H$2:H150,H150)</f>
        <v>35</v>
      </c>
      <c r="C150" s="5">
        <f>'Baru NIS'!C150</f>
        <v>102519673</v>
      </c>
      <c r="D150" s="5" t="str">
        <f>'Baru NIS'!D150</f>
        <v>0102736697</v>
      </c>
      <c r="E150" s="5" t="str">
        <f>'Baru NIS'!E150</f>
        <v>102519673 /   0102736697</v>
      </c>
      <c r="F150" s="59" t="str">
        <f>'Baru NIS'!F150</f>
        <v>SYAHRAZ RIZQA MUZTAHIDAH</v>
      </c>
      <c r="G150" s="5" t="str">
        <f>'Baru NIS'!G150</f>
        <v>P</v>
      </c>
      <c r="H150" s="5" t="str">
        <f>'Baru NIS'!H150</f>
        <v>X KA 4</v>
      </c>
      <c r="I150" s="5" t="s">
        <v>5672</v>
      </c>
      <c r="J150" s="5" t="s">
        <v>5673</v>
      </c>
      <c r="K150" s="5" t="str">
        <f t="shared" si="5"/>
        <v>PKA</v>
      </c>
    </row>
    <row r="151" spans="1:11" s="53" customFormat="1" x14ac:dyDescent="0.25">
      <c r="A151" s="58" t="str">
        <f t="shared" si="4"/>
        <v>X KA 436</v>
      </c>
      <c r="B151" s="171">
        <f>COUNTIF(H$2:H151,H151)</f>
        <v>36</v>
      </c>
      <c r="C151" s="5">
        <f>'Baru NIS'!C151</f>
        <v>102519674</v>
      </c>
      <c r="D151" s="5" t="str">
        <f>'Baru NIS'!D151</f>
        <v>0096868684</v>
      </c>
      <c r="E151" s="5" t="str">
        <f>'Baru NIS'!E151</f>
        <v>102519674 /   0096868684</v>
      </c>
      <c r="F151" s="59" t="str">
        <f>'Baru NIS'!F151</f>
        <v>SYIFA APRILIA</v>
      </c>
      <c r="G151" s="5" t="str">
        <f>'Baru NIS'!G151</f>
        <v>P</v>
      </c>
      <c r="H151" s="5" t="str">
        <f>'Baru NIS'!H151</f>
        <v>X KA 4</v>
      </c>
      <c r="I151" s="5" t="s">
        <v>5672</v>
      </c>
      <c r="J151" s="5" t="s">
        <v>5673</v>
      </c>
      <c r="K151" s="5" t="str">
        <f t="shared" si="5"/>
        <v>PKA</v>
      </c>
    </row>
    <row r="152" spans="1:11" s="53" customFormat="1" x14ac:dyDescent="0.25">
      <c r="A152" s="58" t="str">
        <f t="shared" si="4"/>
        <v>X KA 437</v>
      </c>
      <c r="B152" s="171">
        <f>COUNTIF(H$2:H152,H152)</f>
        <v>37</v>
      </c>
      <c r="C152" s="5">
        <f>'Baru NIS'!C152</f>
        <v>102519675</v>
      </c>
      <c r="D152" s="5" t="str">
        <f>'Baru NIS'!D152</f>
        <v>0091089769</v>
      </c>
      <c r="E152" s="5" t="str">
        <f>'Baru NIS'!E152</f>
        <v>102519675 /   0091089769</v>
      </c>
      <c r="F152" s="59" t="str">
        <f>'Baru NIS'!F152</f>
        <v>TUBAGUS SIGIT ARIF WIBOWO</v>
      </c>
      <c r="G152" s="5" t="str">
        <f>'Baru NIS'!G152</f>
        <v>L</v>
      </c>
      <c r="H152" s="5" t="str">
        <f>'Baru NIS'!H152</f>
        <v>X KA 4</v>
      </c>
      <c r="I152" s="5" t="s">
        <v>5672</v>
      </c>
      <c r="J152" s="5" t="s">
        <v>5673</v>
      </c>
      <c r="K152" s="5" t="str">
        <f t="shared" si="5"/>
        <v>LKA</v>
      </c>
    </row>
    <row r="153" spans="1:11" s="53" customFormat="1" x14ac:dyDescent="0.25">
      <c r="A153" s="58" t="str">
        <f t="shared" si="4"/>
        <v>X KA 438</v>
      </c>
      <c r="B153" s="171">
        <f>COUNTIF(H$2:H153,H153)</f>
        <v>38</v>
      </c>
      <c r="C153" s="5">
        <f>'Baru NIS'!C153</f>
        <v>102519676</v>
      </c>
      <c r="D153" s="5" t="str">
        <f>'Baru NIS'!D153</f>
        <v>0104648436</v>
      </c>
      <c r="E153" s="5" t="str">
        <f>'Baru NIS'!E153</f>
        <v>102519676 /   0104648436</v>
      </c>
      <c r="F153" s="59" t="str">
        <f>'Baru NIS'!F153</f>
        <v>ZASKY NUR AZIZAH</v>
      </c>
      <c r="G153" s="5" t="str">
        <f>'Baru NIS'!G153</f>
        <v>P</v>
      </c>
      <c r="H153" s="5" t="str">
        <f>'Baru NIS'!H153</f>
        <v>X KA 4</v>
      </c>
      <c r="I153" s="5" t="s">
        <v>5672</v>
      </c>
      <c r="J153" s="5" t="s">
        <v>5673</v>
      </c>
      <c r="K153" s="5" t="str">
        <f t="shared" si="5"/>
        <v>PKA</v>
      </c>
    </row>
    <row r="154" spans="1:11" s="53" customFormat="1" x14ac:dyDescent="0.25">
      <c r="A154" s="58" t="str">
        <f t="shared" si="4"/>
        <v>X KA 51</v>
      </c>
      <c r="B154" s="171">
        <f>COUNTIF(H$2:H154,H154)</f>
        <v>1</v>
      </c>
      <c r="C154" s="5">
        <f>'Baru NIS'!C154</f>
        <v>102519677</v>
      </c>
      <c r="D154" s="5" t="str">
        <f>'Baru NIS'!D154</f>
        <v>0096271969</v>
      </c>
      <c r="E154" s="5" t="str">
        <f>'Baru NIS'!E154</f>
        <v>102519677 /   0096271969</v>
      </c>
      <c r="F154" s="59" t="str">
        <f>'Baru NIS'!F154</f>
        <v>ALIKA PUTRI</v>
      </c>
      <c r="G154" s="5" t="str">
        <f>'Baru NIS'!G154</f>
        <v>P</v>
      </c>
      <c r="H154" s="5" t="str">
        <f>'Baru NIS'!H154</f>
        <v>X KA 5</v>
      </c>
      <c r="I154" s="5" t="s">
        <v>5672</v>
      </c>
      <c r="J154" s="5" t="s">
        <v>5673</v>
      </c>
      <c r="K154" s="5" t="str">
        <f t="shared" si="5"/>
        <v>PKA</v>
      </c>
    </row>
    <row r="155" spans="1:11" s="53" customFormat="1" x14ac:dyDescent="0.25">
      <c r="A155" s="58" t="str">
        <f t="shared" si="4"/>
        <v>X KA 52</v>
      </c>
      <c r="B155" s="171">
        <f>COUNTIF(H$2:H155,H155)</f>
        <v>2</v>
      </c>
      <c r="C155" s="5">
        <f>'Baru NIS'!C155</f>
        <v>102519678</v>
      </c>
      <c r="D155" s="5" t="str">
        <f>'Baru NIS'!D155</f>
        <v>0101738447</v>
      </c>
      <c r="E155" s="5" t="str">
        <f>'Baru NIS'!E155</f>
        <v>102519678 /   0101738447</v>
      </c>
      <c r="F155" s="59" t="str">
        <f>'Baru NIS'!F155</f>
        <v>ANDRA ADITYA NURBANI</v>
      </c>
      <c r="G155" s="5" t="str">
        <f>'Baru NIS'!G155</f>
        <v>L</v>
      </c>
      <c r="H155" s="5" t="str">
        <f>'Baru NIS'!H155</f>
        <v>X KA 5</v>
      </c>
      <c r="I155" s="5" t="s">
        <v>5672</v>
      </c>
      <c r="J155" s="5" t="s">
        <v>5673</v>
      </c>
      <c r="K155" s="5" t="str">
        <f t="shared" si="5"/>
        <v>LKA</v>
      </c>
    </row>
    <row r="156" spans="1:11" s="53" customFormat="1" x14ac:dyDescent="0.25">
      <c r="A156" s="58" t="str">
        <f t="shared" si="4"/>
        <v>X KA 53</v>
      </c>
      <c r="B156" s="171">
        <f>COUNTIF(H$2:H156,H156)</f>
        <v>3</v>
      </c>
      <c r="C156" s="5">
        <f>'Baru NIS'!C156</f>
        <v>102519679</v>
      </c>
      <c r="D156" s="5" t="str">
        <f>'Baru NIS'!D156</f>
        <v>0093276315</v>
      </c>
      <c r="E156" s="5" t="str">
        <f>'Baru NIS'!E156</f>
        <v>102519679 /   0093276315</v>
      </c>
      <c r="F156" s="59" t="str">
        <f>'Baru NIS'!F156</f>
        <v>ANDRIANT BAYU BASKORO</v>
      </c>
      <c r="G156" s="5" t="str">
        <f>'Baru NIS'!G156</f>
        <v>L</v>
      </c>
      <c r="H156" s="5" t="str">
        <f>'Baru NIS'!H156</f>
        <v>X KA 5</v>
      </c>
      <c r="I156" s="5" t="s">
        <v>5672</v>
      </c>
      <c r="J156" s="5" t="s">
        <v>5673</v>
      </c>
      <c r="K156" s="5" t="str">
        <f t="shared" si="5"/>
        <v>LKA</v>
      </c>
    </row>
    <row r="157" spans="1:11" s="53" customFormat="1" x14ac:dyDescent="0.25">
      <c r="A157" s="58" t="str">
        <f t="shared" si="4"/>
        <v>X KA 54</v>
      </c>
      <c r="B157" s="171">
        <f>COUNTIF(H$2:H157,H157)</f>
        <v>4</v>
      </c>
      <c r="C157" s="5">
        <f>'Baru NIS'!C157</f>
        <v>102519680</v>
      </c>
      <c r="D157" s="5" t="str">
        <f>'Baru NIS'!D157</f>
        <v>0102061786</v>
      </c>
      <c r="E157" s="5" t="str">
        <f>'Baru NIS'!E157</f>
        <v>102519680 /   0102061786</v>
      </c>
      <c r="F157" s="59" t="str">
        <f>'Baru NIS'!F157</f>
        <v>ARKA NAYAKA RABBANI</v>
      </c>
      <c r="G157" s="5" t="str">
        <f>'Baru NIS'!G157</f>
        <v>L</v>
      </c>
      <c r="H157" s="5" t="str">
        <f>'Baru NIS'!H157</f>
        <v>X KA 5</v>
      </c>
      <c r="I157" s="5" t="s">
        <v>5672</v>
      </c>
      <c r="J157" s="5" t="s">
        <v>5673</v>
      </c>
      <c r="K157" s="5" t="str">
        <f t="shared" si="5"/>
        <v>LKA</v>
      </c>
    </row>
    <row r="158" spans="1:11" s="53" customFormat="1" x14ac:dyDescent="0.25">
      <c r="A158" s="58" t="str">
        <f t="shared" si="4"/>
        <v>X KA 55</v>
      </c>
      <c r="B158" s="171">
        <f>COUNTIF(H$2:H158,H158)</f>
        <v>5</v>
      </c>
      <c r="C158" s="5">
        <f>'Baru NIS'!C158</f>
        <v>102519681</v>
      </c>
      <c r="D158" s="5" t="str">
        <f>'Baru NIS'!D158</f>
        <v>0104656986</v>
      </c>
      <c r="E158" s="5" t="str">
        <f>'Baru NIS'!E158</f>
        <v>102519681 /   0104656986</v>
      </c>
      <c r="F158" s="59" t="str">
        <f>'Baru NIS'!F158</f>
        <v>AZKIRA HUMAIRAH SOPIAN</v>
      </c>
      <c r="G158" s="5" t="str">
        <f>'Baru NIS'!G158</f>
        <v>P</v>
      </c>
      <c r="H158" s="5" t="str">
        <f>'Baru NIS'!H158</f>
        <v>X KA 5</v>
      </c>
      <c r="I158" s="5" t="s">
        <v>5672</v>
      </c>
      <c r="J158" s="5" t="s">
        <v>5673</v>
      </c>
      <c r="K158" s="5" t="str">
        <f t="shared" si="5"/>
        <v>PKA</v>
      </c>
    </row>
    <row r="159" spans="1:11" s="53" customFormat="1" x14ac:dyDescent="0.25">
      <c r="A159" s="58" t="str">
        <f t="shared" si="4"/>
        <v>X KA 56</v>
      </c>
      <c r="B159" s="171">
        <f>COUNTIF(H$2:H159,H159)</f>
        <v>6</v>
      </c>
      <c r="C159" s="5">
        <f>'Baru NIS'!C159</f>
        <v>102519682</v>
      </c>
      <c r="D159" s="5" t="str">
        <f>'Baru NIS'!D159</f>
        <v>0095290875</v>
      </c>
      <c r="E159" s="5" t="str">
        <f>'Baru NIS'!E159</f>
        <v>102519682 /   0095290875</v>
      </c>
      <c r="F159" s="59" t="str">
        <f>'Baru NIS'!F159</f>
        <v>DHEA IRFANI</v>
      </c>
      <c r="G159" s="5" t="str">
        <f>'Baru NIS'!G159</f>
        <v>P</v>
      </c>
      <c r="H159" s="5" t="str">
        <f>'Baru NIS'!H159</f>
        <v>X KA 5</v>
      </c>
      <c r="I159" s="5" t="s">
        <v>5672</v>
      </c>
      <c r="J159" s="5" t="s">
        <v>5673</v>
      </c>
      <c r="K159" s="5" t="str">
        <f t="shared" si="5"/>
        <v>PKA</v>
      </c>
    </row>
    <row r="160" spans="1:11" s="53" customFormat="1" x14ac:dyDescent="0.25">
      <c r="A160" s="58" t="str">
        <f t="shared" si="4"/>
        <v>X KA 57</v>
      </c>
      <c r="B160" s="171">
        <f>COUNTIF(H$2:H160,H160)</f>
        <v>7</v>
      </c>
      <c r="C160" s="5">
        <f>'Baru NIS'!C160</f>
        <v>102519683</v>
      </c>
      <c r="D160" s="5">
        <f>'Baru NIS'!D160</f>
        <v>0</v>
      </c>
      <c r="E160" s="5" t="str">
        <f>'Baru NIS'!E160</f>
        <v>102519683 /   0</v>
      </c>
      <c r="F160" s="59" t="str">
        <f>'Baru NIS'!F160</f>
        <v>DHEANA ZAINA RAISSA</v>
      </c>
      <c r="G160" s="5" t="str">
        <f>'Baru NIS'!G160</f>
        <v>P</v>
      </c>
      <c r="H160" s="5" t="str">
        <f>'Baru NIS'!H160</f>
        <v>X KA 5</v>
      </c>
      <c r="I160" s="5" t="s">
        <v>5672</v>
      </c>
      <c r="J160" s="5" t="s">
        <v>5673</v>
      </c>
      <c r="K160" s="5" t="str">
        <f t="shared" si="5"/>
        <v>PKA</v>
      </c>
    </row>
    <row r="161" spans="1:11" s="53" customFormat="1" x14ac:dyDescent="0.25">
      <c r="A161" s="58" t="str">
        <f t="shared" si="4"/>
        <v>X KA 58</v>
      </c>
      <c r="B161" s="171">
        <f>COUNTIF(H$2:H161,H161)</f>
        <v>8</v>
      </c>
      <c r="C161" s="5">
        <f>'Baru NIS'!C161</f>
        <v>102519684</v>
      </c>
      <c r="D161" s="5" t="str">
        <f>'Baru NIS'!D161</f>
        <v>0095512649</v>
      </c>
      <c r="E161" s="5" t="str">
        <f>'Baru NIS'!E161</f>
        <v>102519684 /   0095512649</v>
      </c>
      <c r="F161" s="59" t="str">
        <f>'Baru NIS'!F161</f>
        <v>FACHTIRA JULIYANSYAH YULISTIAWAN</v>
      </c>
      <c r="G161" s="5" t="str">
        <f>'Baru NIS'!G161</f>
        <v>L</v>
      </c>
      <c r="H161" s="5" t="str">
        <f>'Baru NIS'!H161</f>
        <v>X KA 5</v>
      </c>
      <c r="I161" s="5" t="s">
        <v>5672</v>
      </c>
      <c r="J161" s="5" t="s">
        <v>5673</v>
      </c>
      <c r="K161" s="5" t="str">
        <f t="shared" si="5"/>
        <v>LKA</v>
      </c>
    </row>
    <row r="162" spans="1:11" s="53" customFormat="1" x14ac:dyDescent="0.25">
      <c r="A162" s="58" t="str">
        <f t="shared" si="4"/>
        <v>X KA 59</v>
      </c>
      <c r="B162" s="171">
        <f>COUNTIF(H$2:H162,H162)</f>
        <v>9</v>
      </c>
      <c r="C162" s="5">
        <f>'Baru NIS'!C162</f>
        <v>102519685</v>
      </c>
      <c r="D162" s="5" t="str">
        <f>'Baru NIS'!D162</f>
        <v>0099154065</v>
      </c>
      <c r="E162" s="5" t="str">
        <f>'Baru NIS'!E162</f>
        <v>102519685 /   0099154065</v>
      </c>
      <c r="F162" s="59" t="str">
        <f>'Baru NIS'!F162</f>
        <v>FAHRI RAMADHAN</v>
      </c>
      <c r="G162" s="5" t="str">
        <f>'Baru NIS'!G162</f>
        <v>L</v>
      </c>
      <c r="H162" s="5" t="str">
        <f>'Baru NIS'!H162</f>
        <v>X KA 5</v>
      </c>
      <c r="I162" s="5" t="s">
        <v>5672</v>
      </c>
      <c r="J162" s="5" t="s">
        <v>5673</v>
      </c>
      <c r="K162" s="5" t="str">
        <f t="shared" si="5"/>
        <v>LKA</v>
      </c>
    </row>
    <row r="163" spans="1:11" s="53" customFormat="1" x14ac:dyDescent="0.25">
      <c r="A163" s="58" t="str">
        <f t="shared" si="4"/>
        <v>X KA 510</v>
      </c>
      <c r="B163" s="171">
        <f>COUNTIF(H$2:H163,H163)</f>
        <v>10</v>
      </c>
      <c r="C163" s="5">
        <f>'Baru NIS'!C163</f>
        <v>102519686</v>
      </c>
      <c r="D163" s="5" t="str">
        <f>'Baru NIS'!D163</f>
        <v>0094145271</v>
      </c>
      <c r="E163" s="5" t="str">
        <f>'Baru NIS'!E163</f>
        <v>102519686 /   0094145271</v>
      </c>
      <c r="F163" s="59" t="str">
        <f>'Baru NIS'!F163</f>
        <v>FATHI RIZKY MADANI</v>
      </c>
      <c r="G163" s="5" t="str">
        <f>'Baru NIS'!G163</f>
        <v>L</v>
      </c>
      <c r="H163" s="5" t="str">
        <f>'Baru NIS'!H163</f>
        <v>X KA 5</v>
      </c>
      <c r="I163" s="5" t="s">
        <v>5672</v>
      </c>
      <c r="J163" s="5" t="s">
        <v>5673</v>
      </c>
      <c r="K163" s="5" t="str">
        <f t="shared" si="5"/>
        <v>LKA</v>
      </c>
    </row>
    <row r="164" spans="1:11" s="53" customFormat="1" x14ac:dyDescent="0.25">
      <c r="A164" s="58" t="str">
        <f t="shared" si="4"/>
        <v>X KA 511</v>
      </c>
      <c r="B164" s="171">
        <f>COUNTIF(H$2:H164,H164)</f>
        <v>11</v>
      </c>
      <c r="C164" s="5">
        <f>'Baru NIS'!C164</f>
        <v>102519687</v>
      </c>
      <c r="D164" s="5" t="str">
        <f>'Baru NIS'!D164</f>
        <v>0108567925</v>
      </c>
      <c r="E164" s="5" t="str">
        <f>'Baru NIS'!E164</f>
        <v>102519687 /   0108567925</v>
      </c>
      <c r="F164" s="59" t="str">
        <f>'Baru NIS'!F164</f>
        <v>FIRMAN NURRAYYAN</v>
      </c>
      <c r="G164" s="5" t="str">
        <f>'Baru NIS'!G164</f>
        <v>L</v>
      </c>
      <c r="H164" s="5" t="str">
        <f>'Baru NIS'!H164</f>
        <v>X KA 5</v>
      </c>
      <c r="I164" s="5" t="s">
        <v>5672</v>
      </c>
      <c r="J164" s="5" t="s">
        <v>5673</v>
      </c>
      <c r="K164" s="5" t="str">
        <f t="shared" si="5"/>
        <v>LKA</v>
      </c>
    </row>
    <row r="165" spans="1:11" s="53" customFormat="1" x14ac:dyDescent="0.25">
      <c r="A165" s="58" t="str">
        <f t="shared" si="4"/>
        <v>X KA 512</v>
      </c>
      <c r="B165" s="171">
        <f>COUNTIF(H$2:H165,H165)</f>
        <v>12</v>
      </c>
      <c r="C165" s="5">
        <f>'Baru NIS'!C165</f>
        <v>102519688</v>
      </c>
      <c r="D165" s="5" t="str">
        <f>'Baru NIS'!D165</f>
        <v>0103249974</v>
      </c>
      <c r="E165" s="5" t="str">
        <f>'Baru NIS'!E165</f>
        <v>102519688 /   0103249974</v>
      </c>
      <c r="F165" s="59" t="str">
        <f>'Baru NIS'!F165</f>
        <v>FRISILIA PUTRI</v>
      </c>
      <c r="G165" s="5" t="str">
        <f>'Baru NIS'!G165</f>
        <v>P</v>
      </c>
      <c r="H165" s="5" t="str">
        <f>'Baru NIS'!H165</f>
        <v>X KA 5</v>
      </c>
      <c r="I165" s="5" t="s">
        <v>5672</v>
      </c>
      <c r="J165" s="5" t="s">
        <v>5673</v>
      </c>
      <c r="K165" s="5" t="str">
        <f t="shared" si="5"/>
        <v>PKA</v>
      </c>
    </row>
    <row r="166" spans="1:11" s="53" customFormat="1" x14ac:dyDescent="0.25">
      <c r="A166" s="58" t="str">
        <f t="shared" si="4"/>
        <v>X KA 513</v>
      </c>
      <c r="B166" s="171">
        <f>COUNTIF(H$2:H166,H166)</f>
        <v>13</v>
      </c>
      <c r="C166" s="5">
        <f>'Baru NIS'!C166</f>
        <v>102519689</v>
      </c>
      <c r="D166" s="5" t="str">
        <f>'Baru NIS'!D166</f>
        <v>0094762588</v>
      </c>
      <c r="E166" s="5" t="str">
        <f>'Baru NIS'!E166</f>
        <v>102519689 /   0094762588</v>
      </c>
      <c r="F166" s="59" t="str">
        <f>'Baru NIS'!F166</f>
        <v>GALIH SAPUTRA</v>
      </c>
      <c r="G166" s="5" t="str">
        <f>'Baru NIS'!G166</f>
        <v>L</v>
      </c>
      <c r="H166" s="5" t="str">
        <f>'Baru NIS'!H166</f>
        <v>X KA 5</v>
      </c>
      <c r="I166" s="5" t="s">
        <v>5672</v>
      </c>
      <c r="J166" s="5" t="s">
        <v>5673</v>
      </c>
      <c r="K166" s="5" t="str">
        <f t="shared" si="5"/>
        <v>LKA</v>
      </c>
    </row>
    <row r="167" spans="1:11" s="53" customFormat="1" x14ac:dyDescent="0.25">
      <c r="A167" s="58" t="str">
        <f t="shared" si="4"/>
        <v>X KA 514</v>
      </c>
      <c r="B167" s="171">
        <f>COUNTIF(H$2:H167,H167)</f>
        <v>14</v>
      </c>
      <c r="C167" s="5">
        <f>'Baru NIS'!C167</f>
        <v>102519690</v>
      </c>
      <c r="D167" s="5" t="str">
        <f>'Baru NIS'!D167</f>
        <v>0102695868</v>
      </c>
      <c r="E167" s="5" t="str">
        <f>'Baru NIS'!E167</f>
        <v>102519690 /   0102695868</v>
      </c>
      <c r="F167" s="59" t="str">
        <f>'Baru NIS'!F167</f>
        <v>HASNA NURUL AZKIYA</v>
      </c>
      <c r="G167" s="5" t="str">
        <f>'Baru NIS'!G167</f>
        <v>P</v>
      </c>
      <c r="H167" s="5" t="str">
        <f>'Baru NIS'!H167</f>
        <v>X KA 5</v>
      </c>
      <c r="I167" s="5" t="s">
        <v>5672</v>
      </c>
      <c r="J167" s="5" t="s">
        <v>5673</v>
      </c>
      <c r="K167" s="5" t="str">
        <f t="shared" si="5"/>
        <v>PKA</v>
      </c>
    </row>
    <row r="168" spans="1:11" s="53" customFormat="1" x14ac:dyDescent="0.25">
      <c r="A168" s="58" t="str">
        <f t="shared" si="4"/>
        <v>X KA 515</v>
      </c>
      <c r="B168" s="171">
        <f>COUNTIF(H$2:H168,H168)</f>
        <v>15</v>
      </c>
      <c r="C168" s="5">
        <f>'Baru NIS'!C168</f>
        <v>102519691</v>
      </c>
      <c r="D168" s="5" t="str">
        <f>'Baru NIS'!D168</f>
        <v>0096461480</v>
      </c>
      <c r="E168" s="5" t="str">
        <f>'Baru NIS'!E168</f>
        <v>102519691 /   0096461480</v>
      </c>
      <c r="F168" s="59" t="str">
        <f>'Baru NIS'!F168</f>
        <v>INDAH FITRIA HARUM</v>
      </c>
      <c r="G168" s="5" t="str">
        <f>'Baru NIS'!G168</f>
        <v>P</v>
      </c>
      <c r="H168" s="5" t="str">
        <f>'Baru NIS'!H168</f>
        <v>X KA 5</v>
      </c>
      <c r="I168" s="5" t="s">
        <v>5672</v>
      </c>
      <c r="J168" s="5" t="s">
        <v>5673</v>
      </c>
      <c r="K168" s="5" t="str">
        <f t="shared" si="5"/>
        <v>PKA</v>
      </c>
    </row>
    <row r="169" spans="1:11" s="53" customFormat="1" x14ac:dyDescent="0.25">
      <c r="A169" s="58" t="str">
        <f t="shared" si="4"/>
        <v>X KA 516</v>
      </c>
      <c r="B169" s="171">
        <f>COUNTIF(H$2:H169,H169)</f>
        <v>16</v>
      </c>
      <c r="C169" s="5">
        <f>'Baru NIS'!C169</f>
        <v>102519692</v>
      </c>
      <c r="D169" s="5" t="str">
        <f>'Baru NIS'!D169</f>
        <v>0102879514</v>
      </c>
      <c r="E169" s="5" t="str">
        <f>'Baru NIS'!E169</f>
        <v>102519692 /   0102879514</v>
      </c>
      <c r="F169" s="59" t="str">
        <f>'Baru NIS'!F169</f>
        <v>KEYLA ADITYA PUTRI</v>
      </c>
      <c r="G169" s="5" t="str">
        <f>'Baru NIS'!G169</f>
        <v>P</v>
      </c>
      <c r="H169" s="5" t="str">
        <f>'Baru NIS'!H169</f>
        <v>X KA 5</v>
      </c>
      <c r="I169" s="5" t="s">
        <v>5672</v>
      </c>
      <c r="J169" s="5" t="s">
        <v>5673</v>
      </c>
      <c r="K169" s="5" t="str">
        <f t="shared" si="5"/>
        <v>PKA</v>
      </c>
    </row>
    <row r="170" spans="1:11" s="53" customFormat="1" x14ac:dyDescent="0.25">
      <c r="A170" s="58" t="str">
        <f t="shared" si="4"/>
        <v>X KA 517</v>
      </c>
      <c r="B170" s="171">
        <f>COUNTIF(H$2:H170,H170)</f>
        <v>17</v>
      </c>
      <c r="C170" s="5">
        <f>'Baru NIS'!C170</f>
        <v>102519693</v>
      </c>
      <c r="D170" s="5" t="str">
        <f>'Baru NIS'!D170</f>
        <v>0098038591</v>
      </c>
      <c r="E170" s="5" t="str">
        <f>'Baru NIS'!E170</f>
        <v>102519693 /   0098038591</v>
      </c>
      <c r="F170" s="59" t="str">
        <f>'Baru NIS'!F170</f>
        <v>KIARA ANGELIA CONDOLIZA</v>
      </c>
      <c r="G170" s="5" t="str">
        <f>'Baru NIS'!G170</f>
        <v>P</v>
      </c>
      <c r="H170" s="5" t="str">
        <f>'Baru NIS'!H170</f>
        <v>X KA 5</v>
      </c>
      <c r="I170" s="5" t="s">
        <v>5672</v>
      </c>
      <c r="J170" s="5" t="s">
        <v>5673</v>
      </c>
      <c r="K170" s="5" t="str">
        <f t="shared" si="5"/>
        <v>PKA</v>
      </c>
    </row>
    <row r="171" spans="1:11" s="53" customFormat="1" x14ac:dyDescent="0.25">
      <c r="A171" s="58" t="str">
        <f t="shared" si="4"/>
        <v>X KA 518</v>
      </c>
      <c r="B171" s="171">
        <f>COUNTIF(H$2:H171,H171)</f>
        <v>18</v>
      </c>
      <c r="C171" s="5">
        <f>'Baru NIS'!C171</f>
        <v>102519694</v>
      </c>
      <c r="D171" s="5" t="str">
        <f>'Baru NIS'!D171</f>
        <v>0101627775</v>
      </c>
      <c r="E171" s="5" t="str">
        <f>'Baru NIS'!E171</f>
        <v>102519694 /   0101627775</v>
      </c>
      <c r="F171" s="59" t="str">
        <f>'Baru NIS'!F171</f>
        <v>LANGIT RAJA ATTALLA CANAECCARA</v>
      </c>
      <c r="G171" s="5" t="str">
        <f>'Baru NIS'!G171</f>
        <v>L</v>
      </c>
      <c r="H171" s="5" t="str">
        <f>'Baru NIS'!H171</f>
        <v>X KA 5</v>
      </c>
      <c r="I171" s="5" t="s">
        <v>5672</v>
      </c>
      <c r="J171" s="5" t="s">
        <v>5673</v>
      </c>
      <c r="K171" s="5" t="str">
        <f t="shared" si="5"/>
        <v>LKA</v>
      </c>
    </row>
    <row r="172" spans="1:11" s="53" customFormat="1" x14ac:dyDescent="0.25">
      <c r="A172" s="58" t="str">
        <f t="shared" si="4"/>
        <v>X KA 519</v>
      </c>
      <c r="B172" s="171">
        <f>COUNTIF(H$2:H172,H172)</f>
        <v>19</v>
      </c>
      <c r="C172" s="5">
        <f>'Baru NIS'!C172</f>
        <v>102519695</v>
      </c>
      <c r="D172" s="5" t="str">
        <f>'Baru NIS'!D172</f>
        <v>0109966707</v>
      </c>
      <c r="E172" s="5" t="str">
        <f>'Baru NIS'!E172</f>
        <v>102519695 /   0109966707</v>
      </c>
      <c r="F172" s="59" t="str">
        <f>'Baru NIS'!F172</f>
        <v>MARSYA LUTVI NUR'AENI</v>
      </c>
      <c r="G172" s="5" t="str">
        <f>'Baru NIS'!G172</f>
        <v>P</v>
      </c>
      <c r="H172" s="5" t="str">
        <f>'Baru NIS'!H172</f>
        <v>X KA 5</v>
      </c>
      <c r="I172" s="5" t="s">
        <v>5672</v>
      </c>
      <c r="J172" s="5" t="s">
        <v>5673</v>
      </c>
      <c r="K172" s="5" t="str">
        <f t="shared" si="5"/>
        <v>PKA</v>
      </c>
    </row>
    <row r="173" spans="1:11" s="53" customFormat="1" x14ac:dyDescent="0.25">
      <c r="A173" s="58" t="str">
        <f t="shared" si="4"/>
        <v>X KA 520</v>
      </c>
      <c r="B173" s="171">
        <f>COUNTIF(H$2:H173,H173)</f>
        <v>20</v>
      </c>
      <c r="C173" s="5">
        <f>'Baru NIS'!C173</f>
        <v>102519696</v>
      </c>
      <c r="D173" s="5" t="str">
        <f>'Baru NIS'!D173</f>
        <v>0108029992</v>
      </c>
      <c r="E173" s="5" t="str">
        <f>'Baru NIS'!E173</f>
        <v>102519696 /   0108029992</v>
      </c>
      <c r="F173" s="59" t="str">
        <f>'Baru NIS'!F173</f>
        <v>MOUZZA KHAILA FATIHA GUNAWAN</v>
      </c>
      <c r="G173" s="5" t="str">
        <f>'Baru NIS'!G173</f>
        <v>P</v>
      </c>
      <c r="H173" s="5" t="str">
        <f>'Baru NIS'!H173</f>
        <v>X KA 5</v>
      </c>
      <c r="I173" s="5" t="s">
        <v>5672</v>
      </c>
      <c r="J173" s="5" t="s">
        <v>5673</v>
      </c>
      <c r="K173" s="5" t="str">
        <f t="shared" si="5"/>
        <v>PKA</v>
      </c>
    </row>
    <row r="174" spans="1:11" s="53" customFormat="1" x14ac:dyDescent="0.25">
      <c r="A174" s="58" t="str">
        <f t="shared" si="4"/>
        <v>X KA 521</v>
      </c>
      <c r="B174" s="171">
        <f>COUNTIF(H$2:H174,H174)</f>
        <v>21</v>
      </c>
      <c r="C174" s="5">
        <f>'Baru NIS'!C174</f>
        <v>102519697</v>
      </c>
      <c r="D174" s="5" t="str">
        <f>'Baru NIS'!D174</f>
        <v>0099850277</v>
      </c>
      <c r="E174" s="5" t="str">
        <f>'Baru NIS'!E174</f>
        <v>102519697 /   0099850277</v>
      </c>
      <c r="F174" s="59" t="str">
        <f>'Baru NIS'!F174</f>
        <v>MUHAMAD RIDWAN</v>
      </c>
      <c r="G174" s="5" t="str">
        <f>'Baru NIS'!G174</f>
        <v>L</v>
      </c>
      <c r="H174" s="5" t="str">
        <f>'Baru NIS'!H174</f>
        <v>X KA 5</v>
      </c>
      <c r="I174" s="5" t="s">
        <v>5672</v>
      </c>
      <c r="J174" s="5" t="s">
        <v>5673</v>
      </c>
      <c r="K174" s="5" t="str">
        <f t="shared" si="5"/>
        <v>LKA</v>
      </c>
    </row>
    <row r="175" spans="1:11" s="53" customFormat="1" x14ac:dyDescent="0.25">
      <c r="A175" s="58" t="str">
        <f t="shared" si="4"/>
        <v>X KA 522</v>
      </c>
      <c r="B175" s="171">
        <f>COUNTIF(H$2:H175,H175)</f>
        <v>22</v>
      </c>
      <c r="C175" s="5">
        <f>'Baru NIS'!C175</f>
        <v>102519698</v>
      </c>
      <c r="D175" s="5" t="str">
        <f>'Baru NIS'!D175</f>
        <v>0108723938</v>
      </c>
      <c r="E175" s="5" t="str">
        <f>'Baru NIS'!E175</f>
        <v>102519698 /   0108723938</v>
      </c>
      <c r="F175" s="59" t="str">
        <f>'Baru NIS'!F175</f>
        <v>MUHAMMAD BERI ALBARAK</v>
      </c>
      <c r="G175" s="5" t="str">
        <f>'Baru NIS'!G175</f>
        <v>L</v>
      </c>
      <c r="H175" s="5" t="str">
        <f>'Baru NIS'!H175</f>
        <v>X KA 5</v>
      </c>
      <c r="I175" s="5" t="s">
        <v>5672</v>
      </c>
      <c r="J175" s="5" t="s">
        <v>5673</v>
      </c>
      <c r="K175" s="5" t="str">
        <f t="shared" si="5"/>
        <v>LKA</v>
      </c>
    </row>
    <row r="176" spans="1:11" s="53" customFormat="1" x14ac:dyDescent="0.25">
      <c r="A176" s="58" t="str">
        <f t="shared" si="4"/>
        <v>X KA 523</v>
      </c>
      <c r="B176" s="171">
        <f>COUNTIF(H$2:H176,H176)</f>
        <v>23</v>
      </c>
      <c r="C176" s="5">
        <f>'Baru NIS'!C176</f>
        <v>102519699</v>
      </c>
      <c r="D176" s="5" t="str">
        <f>'Baru NIS'!D176</f>
        <v>0108067934</v>
      </c>
      <c r="E176" s="5" t="str">
        <f>'Baru NIS'!E176</f>
        <v>102519699 /   0108067934</v>
      </c>
      <c r="F176" s="59" t="str">
        <f>'Baru NIS'!F176</f>
        <v>MUHAMMAD RIDZKI SAPUTRA</v>
      </c>
      <c r="G176" s="5" t="str">
        <f>'Baru NIS'!G176</f>
        <v>L</v>
      </c>
      <c r="H176" s="5" t="str">
        <f>'Baru NIS'!H176</f>
        <v>X KA 5</v>
      </c>
      <c r="I176" s="5" t="s">
        <v>5672</v>
      </c>
      <c r="J176" s="5" t="s">
        <v>5673</v>
      </c>
      <c r="K176" s="5" t="str">
        <f t="shared" si="5"/>
        <v>LKA</v>
      </c>
    </row>
    <row r="177" spans="1:11" s="53" customFormat="1" x14ac:dyDescent="0.25">
      <c r="A177" s="58" t="str">
        <f t="shared" si="4"/>
        <v>X KA 524</v>
      </c>
      <c r="B177" s="171">
        <f>COUNTIF(H$2:H177,H177)</f>
        <v>24</v>
      </c>
      <c r="C177" s="5">
        <f>'Baru NIS'!C177</f>
        <v>102519700</v>
      </c>
      <c r="D177" s="5" t="str">
        <f>'Baru NIS'!D177</f>
        <v>0101099727</v>
      </c>
      <c r="E177" s="5" t="str">
        <f>'Baru NIS'!E177</f>
        <v>102519700 /   0101099727</v>
      </c>
      <c r="F177" s="59" t="str">
        <f>'Baru NIS'!F177</f>
        <v>NAIFA LASHIRA RACHMAN</v>
      </c>
      <c r="G177" s="5" t="str">
        <f>'Baru NIS'!G177</f>
        <v>P</v>
      </c>
      <c r="H177" s="5" t="str">
        <f>'Baru NIS'!H177</f>
        <v>X KA 5</v>
      </c>
      <c r="I177" s="5" t="s">
        <v>5672</v>
      </c>
      <c r="J177" s="5" t="s">
        <v>5673</v>
      </c>
      <c r="K177" s="5" t="str">
        <f t="shared" si="5"/>
        <v>PKA</v>
      </c>
    </row>
    <row r="178" spans="1:11" s="53" customFormat="1" x14ac:dyDescent="0.25">
      <c r="A178" s="58" t="str">
        <f t="shared" si="4"/>
        <v>X KA 525</v>
      </c>
      <c r="B178" s="171">
        <f>COUNTIF(H$2:H178,H178)</f>
        <v>25</v>
      </c>
      <c r="C178" s="5">
        <f>'Baru NIS'!C178</f>
        <v>102519701</v>
      </c>
      <c r="D178" s="5" t="str">
        <f>'Baru NIS'!D178</f>
        <v>0095628548</v>
      </c>
      <c r="E178" s="5" t="str">
        <f>'Baru NIS'!E178</f>
        <v>102519701 /   0095628548</v>
      </c>
      <c r="F178" s="59" t="str">
        <f>'Baru NIS'!F178</f>
        <v>PUTRI KHIRANIA AZZAHRA</v>
      </c>
      <c r="G178" s="5" t="str">
        <f>'Baru NIS'!G178</f>
        <v>P</v>
      </c>
      <c r="H178" s="5" t="str">
        <f>'Baru NIS'!H178</f>
        <v>X KA 5</v>
      </c>
      <c r="I178" s="5" t="s">
        <v>5672</v>
      </c>
      <c r="J178" s="5" t="s">
        <v>5673</v>
      </c>
      <c r="K178" s="5" t="str">
        <f t="shared" si="5"/>
        <v>PKA</v>
      </c>
    </row>
    <row r="179" spans="1:11" s="53" customFormat="1" x14ac:dyDescent="0.25">
      <c r="A179" s="58" t="str">
        <f t="shared" si="4"/>
        <v>X KA 526</v>
      </c>
      <c r="B179" s="171">
        <f>COUNTIF(H$2:H179,H179)</f>
        <v>26</v>
      </c>
      <c r="C179" s="5">
        <f>'Baru NIS'!C179</f>
        <v>102519702</v>
      </c>
      <c r="D179" s="5" t="str">
        <f>'Baru NIS'!D179</f>
        <v>0096810225</v>
      </c>
      <c r="E179" s="5" t="str">
        <f>'Baru NIS'!E179</f>
        <v>102519702 /   0096810225</v>
      </c>
      <c r="F179" s="59" t="str">
        <f>'Baru NIS'!F179</f>
        <v>RADEN RORO ARNINDA AURELIA</v>
      </c>
      <c r="G179" s="5" t="str">
        <f>'Baru NIS'!G179</f>
        <v>P</v>
      </c>
      <c r="H179" s="5" t="str">
        <f>'Baru NIS'!H179</f>
        <v>X KA 5</v>
      </c>
      <c r="I179" s="5" t="s">
        <v>5672</v>
      </c>
      <c r="J179" s="5" t="s">
        <v>5673</v>
      </c>
      <c r="K179" s="5" t="str">
        <f t="shared" si="5"/>
        <v>PKA</v>
      </c>
    </row>
    <row r="180" spans="1:11" s="53" customFormat="1" x14ac:dyDescent="0.25">
      <c r="A180" s="58" t="str">
        <f t="shared" si="4"/>
        <v>X KA 527</v>
      </c>
      <c r="B180" s="171">
        <f>COUNTIF(H$2:H180,H180)</f>
        <v>27</v>
      </c>
      <c r="C180" s="5">
        <f>'Baru NIS'!C180</f>
        <v>102519703</v>
      </c>
      <c r="D180" s="5" t="str">
        <f>'Baru NIS'!D180</f>
        <v>0105189239</v>
      </c>
      <c r="E180" s="5" t="str">
        <f>'Baru NIS'!E180</f>
        <v>102519703 /   0105189239</v>
      </c>
      <c r="F180" s="59" t="str">
        <f>'Baru NIS'!F180</f>
        <v>RAHMA RAURA</v>
      </c>
      <c r="G180" s="5" t="str">
        <f>'Baru NIS'!G180</f>
        <v>P</v>
      </c>
      <c r="H180" s="5" t="str">
        <f>'Baru NIS'!H180</f>
        <v>X KA 5</v>
      </c>
      <c r="I180" s="5" t="s">
        <v>5672</v>
      </c>
      <c r="J180" s="5" t="s">
        <v>5673</v>
      </c>
      <c r="K180" s="5" t="str">
        <f t="shared" si="5"/>
        <v>PKA</v>
      </c>
    </row>
    <row r="181" spans="1:11" s="53" customFormat="1" x14ac:dyDescent="0.25">
      <c r="A181" s="58" t="str">
        <f t="shared" si="4"/>
        <v>X KA 528</v>
      </c>
      <c r="B181" s="171">
        <f>COUNTIF(H$2:H181,H181)</f>
        <v>28</v>
      </c>
      <c r="C181" s="5">
        <f>'Baru NIS'!C181</f>
        <v>102519704</v>
      </c>
      <c r="D181" s="5" t="str">
        <f>'Baru NIS'!D181</f>
        <v>0097409707</v>
      </c>
      <c r="E181" s="5" t="str">
        <f>'Baru NIS'!E181</f>
        <v>102519704 /   0097409707</v>
      </c>
      <c r="F181" s="59" t="str">
        <f>'Baru NIS'!F181</f>
        <v>RAYYAN ZAIN AVEROUS</v>
      </c>
      <c r="G181" s="5" t="str">
        <f>'Baru NIS'!G181</f>
        <v>L</v>
      </c>
      <c r="H181" s="5" t="str">
        <f>'Baru NIS'!H181</f>
        <v>X KA 5</v>
      </c>
      <c r="I181" s="5" t="s">
        <v>5672</v>
      </c>
      <c r="J181" s="5" t="s">
        <v>5673</v>
      </c>
      <c r="K181" s="5" t="str">
        <f t="shared" si="5"/>
        <v>LKA</v>
      </c>
    </row>
    <row r="182" spans="1:11" s="53" customFormat="1" x14ac:dyDescent="0.25">
      <c r="A182" s="58" t="str">
        <f t="shared" si="4"/>
        <v>X KA 529</v>
      </c>
      <c r="B182" s="171">
        <f>COUNTIF(H$2:H182,H182)</f>
        <v>29</v>
      </c>
      <c r="C182" s="5">
        <f>'Baru NIS'!C182</f>
        <v>102519705</v>
      </c>
      <c r="D182" s="5" t="str">
        <f>'Baru NIS'!D182</f>
        <v>0097359514</v>
      </c>
      <c r="E182" s="5" t="str">
        <f>'Baru NIS'!E182</f>
        <v>102519705 /   0097359514</v>
      </c>
      <c r="F182" s="59" t="str">
        <f>'Baru NIS'!F182</f>
        <v>RESTY ZAHRA OKTAVYANI</v>
      </c>
      <c r="G182" s="5" t="str">
        <f>'Baru NIS'!G182</f>
        <v>P</v>
      </c>
      <c r="H182" s="5" t="str">
        <f>'Baru NIS'!H182</f>
        <v>X KA 5</v>
      </c>
      <c r="I182" s="5" t="s">
        <v>5672</v>
      </c>
      <c r="J182" s="5" t="s">
        <v>5673</v>
      </c>
      <c r="K182" s="5" t="str">
        <f t="shared" si="5"/>
        <v>PKA</v>
      </c>
    </row>
    <row r="183" spans="1:11" s="53" customFormat="1" x14ac:dyDescent="0.25">
      <c r="A183" s="58" t="str">
        <f t="shared" si="4"/>
        <v>X KA 530</v>
      </c>
      <c r="B183" s="171">
        <f>COUNTIF(H$2:H183,H183)</f>
        <v>30</v>
      </c>
      <c r="C183" s="5">
        <f>'Baru NIS'!C183</f>
        <v>102519706</v>
      </c>
      <c r="D183" s="5" t="str">
        <f>'Baru NIS'!D183</f>
        <v>0091881675</v>
      </c>
      <c r="E183" s="5" t="str">
        <f>'Baru NIS'!E183</f>
        <v>102519706 /   0091881675</v>
      </c>
      <c r="F183" s="59" t="str">
        <f>'Baru NIS'!F183</f>
        <v>SALSYA APRILIA HIKMAH</v>
      </c>
      <c r="G183" s="5" t="str">
        <f>'Baru NIS'!G183</f>
        <v>P</v>
      </c>
      <c r="H183" s="5" t="str">
        <f>'Baru NIS'!H183</f>
        <v>X KA 5</v>
      </c>
      <c r="I183" s="5" t="s">
        <v>5672</v>
      </c>
      <c r="J183" s="5" t="s">
        <v>5673</v>
      </c>
      <c r="K183" s="5" t="str">
        <f t="shared" si="5"/>
        <v>PKA</v>
      </c>
    </row>
    <row r="184" spans="1:11" s="53" customFormat="1" x14ac:dyDescent="0.25">
      <c r="A184" s="58" t="str">
        <f t="shared" si="4"/>
        <v>X KA 531</v>
      </c>
      <c r="B184" s="171">
        <f>COUNTIF(H$2:H184,H184)</f>
        <v>31</v>
      </c>
      <c r="C184" s="5">
        <f>'Baru NIS'!C184</f>
        <v>102519707</v>
      </c>
      <c r="D184" s="5" t="str">
        <f>'Baru NIS'!D184</f>
        <v>0109561455</v>
      </c>
      <c r="E184" s="5" t="str">
        <f>'Baru NIS'!E184</f>
        <v>102519707 /   0109561455</v>
      </c>
      <c r="F184" s="59" t="str">
        <f>'Baru NIS'!F184</f>
        <v>SIFA ALZAHRA</v>
      </c>
      <c r="G184" s="5" t="str">
        <f>'Baru NIS'!G184</f>
        <v>P</v>
      </c>
      <c r="H184" s="5" t="str">
        <f>'Baru NIS'!H184</f>
        <v>X KA 5</v>
      </c>
      <c r="I184" s="5" t="s">
        <v>5672</v>
      </c>
      <c r="J184" s="5" t="s">
        <v>5673</v>
      </c>
      <c r="K184" s="5" t="str">
        <f t="shared" si="5"/>
        <v>PKA</v>
      </c>
    </row>
    <row r="185" spans="1:11" s="53" customFormat="1" x14ac:dyDescent="0.25">
      <c r="A185" s="58" t="str">
        <f t="shared" si="4"/>
        <v>X KA 532</v>
      </c>
      <c r="B185" s="171">
        <f>COUNTIF(H$2:H185,H185)</f>
        <v>32</v>
      </c>
      <c r="C185" s="5">
        <f>'Baru NIS'!C185</f>
        <v>102519708</v>
      </c>
      <c r="D185" s="5" t="str">
        <f>'Baru NIS'!D185</f>
        <v>0104176004</v>
      </c>
      <c r="E185" s="5" t="str">
        <f>'Baru NIS'!E185</f>
        <v>102519708 /   0104176004</v>
      </c>
      <c r="F185" s="59" t="str">
        <f>'Baru NIS'!F185</f>
        <v>SIRRLY SIFANI YASA</v>
      </c>
      <c r="G185" s="5" t="str">
        <f>'Baru NIS'!G185</f>
        <v>P</v>
      </c>
      <c r="H185" s="5" t="str">
        <f>'Baru NIS'!H185</f>
        <v>X KA 5</v>
      </c>
      <c r="I185" s="5" t="s">
        <v>5672</v>
      </c>
      <c r="J185" s="5" t="s">
        <v>5673</v>
      </c>
      <c r="K185" s="5" t="str">
        <f t="shared" si="5"/>
        <v>PKA</v>
      </c>
    </row>
    <row r="186" spans="1:11" s="53" customFormat="1" x14ac:dyDescent="0.25">
      <c r="A186" s="58" t="str">
        <f t="shared" si="4"/>
        <v>X KA 533</v>
      </c>
      <c r="B186" s="171">
        <f>COUNTIF(H$2:H186,H186)</f>
        <v>33</v>
      </c>
      <c r="C186" s="5">
        <f>'Baru NIS'!C186</f>
        <v>102519709</v>
      </c>
      <c r="D186" s="5" t="str">
        <f>'Baru NIS'!D186</f>
        <v>0091525423</v>
      </c>
      <c r="E186" s="5" t="str">
        <f>'Baru NIS'!E186</f>
        <v>102519709 /   0091525423</v>
      </c>
      <c r="F186" s="59" t="str">
        <f>'Baru NIS'!F186</f>
        <v>SITI NURAENI</v>
      </c>
      <c r="G186" s="5" t="str">
        <f>'Baru NIS'!G186</f>
        <v>P</v>
      </c>
      <c r="H186" s="5" t="str">
        <f>'Baru NIS'!H186</f>
        <v>X KA 5</v>
      </c>
      <c r="I186" s="5" t="s">
        <v>5672</v>
      </c>
      <c r="J186" s="5" t="s">
        <v>5673</v>
      </c>
      <c r="K186" s="5" t="str">
        <f t="shared" si="5"/>
        <v>PKA</v>
      </c>
    </row>
    <row r="187" spans="1:11" s="53" customFormat="1" x14ac:dyDescent="0.25">
      <c r="A187" s="58" t="str">
        <f t="shared" si="4"/>
        <v>X KA 534</v>
      </c>
      <c r="B187" s="171">
        <f>COUNTIF(H$2:H187,H187)</f>
        <v>34</v>
      </c>
      <c r="C187" s="5">
        <f>'Baru NIS'!C187</f>
        <v>102519710</v>
      </c>
      <c r="D187" s="5" t="str">
        <f>'Baru NIS'!D187</f>
        <v>0106196090</v>
      </c>
      <c r="E187" s="5" t="str">
        <f>'Baru NIS'!E187</f>
        <v>102519710 /   0106196090</v>
      </c>
      <c r="F187" s="59" t="str">
        <f>'Baru NIS'!F187</f>
        <v>SYEREN AZKIYA VALENCIA</v>
      </c>
      <c r="G187" s="5" t="str">
        <f>'Baru NIS'!G187</f>
        <v>P</v>
      </c>
      <c r="H187" s="5" t="str">
        <f>'Baru NIS'!H187</f>
        <v>X KA 5</v>
      </c>
      <c r="I187" s="5" t="s">
        <v>5672</v>
      </c>
      <c r="J187" s="5" t="s">
        <v>5673</v>
      </c>
      <c r="K187" s="5" t="str">
        <f t="shared" si="5"/>
        <v>PKA</v>
      </c>
    </row>
    <row r="188" spans="1:11" s="53" customFormat="1" x14ac:dyDescent="0.25">
      <c r="A188" s="58" t="str">
        <f t="shared" si="4"/>
        <v>X KA 535</v>
      </c>
      <c r="B188" s="171">
        <f>COUNTIF(H$2:H188,H188)</f>
        <v>35</v>
      </c>
      <c r="C188" s="5">
        <f>'Baru NIS'!C188</f>
        <v>102519711</v>
      </c>
      <c r="D188" s="5" t="str">
        <f>'Baru NIS'!D188</f>
        <v>3091113524</v>
      </c>
      <c r="E188" s="5" t="str">
        <f>'Baru NIS'!E188</f>
        <v>102519711 /   3091113524</v>
      </c>
      <c r="F188" s="59" t="str">
        <f>'Baru NIS'!F188</f>
        <v>TRI ANNISA RAHMAWATI</v>
      </c>
      <c r="G188" s="5" t="str">
        <f>'Baru NIS'!G188</f>
        <v>P</v>
      </c>
      <c r="H188" s="5" t="str">
        <f>'Baru NIS'!H188</f>
        <v>X KA 5</v>
      </c>
      <c r="I188" s="5" t="s">
        <v>5672</v>
      </c>
      <c r="J188" s="5" t="s">
        <v>5673</v>
      </c>
      <c r="K188" s="5" t="str">
        <f t="shared" si="5"/>
        <v>PKA</v>
      </c>
    </row>
    <row r="189" spans="1:11" s="53" customFormat="1" x14ac:dyDescent="0.25">
      <c r="A189" s="58" t="str">
        <f t="shared" si="4"/>
        <v>X KA 536</v>
      </c>
      <c r="B189" s="171">
        <f>COUNTIF(H$2:H189,H189)</f>
        <v>36</v>
      </c>
      <c r="C189" s="5">
        <f>'Baru NIS'!C189</f>
        <v>102519712</v>
      </c>
      <c r="D189" s="5" t="str">
        <f>'Baru NIS'!D189</f>
        <v>3102612513</v>
      </c>
      <c r="E189" s="5" t="str">
        <f>'Baru NIS'!E189</f>
        <v>102519712 /   3102612513</v>
      </c>
      <c r="F189" s="59" t="str">
        <f>'Baru NIS'!F189</f>
        <v>VIERA APRILIA</v>
      </c>
      <c r="G189" s="5" t="str">
        <f>'Baru NIS'!G189</f>
        <v>P</v>
      </c>
      <c r="H189" s="5" t="str">
        <f>'Baru NIS'!H189</f>
        <v>X KA 5</v>
      </c>
      <c r="I189" s="5" t="s">
        <v>5672</v>
      </c>
      <c r="J189" s="5" t="s">
        <v>5673</v>
      </c>
      <c r="K189" s="5" t="str">
        <f t="shared" si="5"/>
        <v>PKA</v>
      </c>
    </row>
    <row r="190" spans="1:11" s="53" customFormat="1" x14ac:dyDescent="0.25">
      <c r="A190" s="58" t="str">
        <f t="shared" si="4"/>
        <v>X KA 537</v>
      </c>
      <c r="B190" s="171">
        <f>COUNTIF(H$2:H190,H190)</f>
        <v>37</v>
      </c>
      <c r="C190" s="5">
        <f>'Baru NIS'!C190</f>
        <v>102519713</v>
      </c>
      <c r="D190" s="5" t="str">
        <f>'Baru NIS'!D190</f>
        <v>0095478274</v>
      </c>
      <c r="E190" s="5" t="str">
        <f>'Baru NIS'!E190</f>
        <v>102519713 /   0095478274</v>
      </c>
      <c r="F190" s="59" t="str">
        <f>'Baru NIS'!F190</f>
        <v>WENING PHALASIFA</v>
      </c>
      <c r="G190" s="5" t="str">
        <f>'Baru NIS'!G190</f>
        <v>P</v>
      </c>
      <c r="H190" s="5" t="str">
        <f>'Baru NIS'!H190</f>
        <v>X KA 5</v>
      </c>
      <c r="I190" s="5" t="s">
        <v>5672</v>
      </c>
      <c r="J190" s="5" t="s">
        <v>5673</v>
      </c>
      <c r="K190" s="5" t="str">
        <f t="shared" si="5"/>
        <v>PKA</v>
      </c>
    </row>
    <row r="191" spans="1:11" s="53" customFormat="1" x14ac:dyDescent="0.25">
      <c r="A191" s="58" t="str">
        <f t="shared" si="4"/>
        <v>X KA 61</v>
      </c>
      <c r="B191" s="171">
        <f>COUNTIF(H$2:H191,H191)</f>
        <v>1</v>
      </c>
      <c r="C191" s="5">
        <f>'Baru NIS'!C191</f>
        <v>102519714</v>
      </c>
      <c r="D191" s="5" t="str">
        <f>'Baru NIS'!D191</f>
        <v>0092178246</v>
      </c>
      <c r="E191" s="5" t="str">
        <f>'Baru NIS'!E191</f>
        <v>102519714 /   0092178246</v>
      </c>
      <c r="F191" s="59" t="str">
        <f>'Baru NIS'!F191</f>
        <v>ALYA SITI CHAIRUNISA</v>
      </c>
      <c r="G191" s="5" t="str">
        <f>'Baru NIS'!G191</f>
        <v>P</v>
      </c>
      <c r="H191" s="5" t="str">
        <f>'Baru NIS'!H191</f>
        <v>X KA 6</v>
      </c>
      <c r="I191" s="5" t="s">
        <v>5672</v>
      </c>
      <c r="J191" s="5" t="s">
        <v>5673</v>
      </c>
      <c r="K191" s="5" t="str">
        <f t="shared" si="5"/>
        <v>PKA</v>
      </c>
    </row>
    <row r="192" spans="1:11" s="53" customFormat="1" x14ac:dyDescent="0.25">
      <c r="A192" s="58" t="str">
        <f t="shared" si="4"/>
        <v>X KA 62</v>
      </c>
      <c r="B192" s="171">
        <f>COUNTIF(H$2:H192,H192)</f>
        <v>2</v>
      </c>
      <c r="C192" s="5">
        <f>'Baru NIS'!C192</f>
        <v>102519715</v>
      </c>
      <c r="D192" s="5" t="str">
        <f>'Baru NIS'!D192</f>
        <v>0092055193</v>
      </c>
      <c r="E192" s="5" t="str">
        <f>'Baru NIS'!E192</f>
        <v>102519715 /   0092055193</v>
      </c>
      <c r="F192" s="59" t="str">
        <f>'Baru NIS'!F192</f>
        <v>ANDRA ZAKARIA FATHAR</v>
      </c>
      <c r="G192" s="5" t="str">
        <f>'Baru NIS'!G192</f>
        <v>L</v>
      </c>
      <c r="H192" s="5" t="str">
        <f>'Baru NIS'!H192</f>
        <v>X KA 6</v>
      </c>
      <c r="I192" s="5" t="s">
        <v>5672</v>
      </c>
      <c r="J192" s="5" t="s">
        <v>5673</v>
      </c>
      <c r="K192" s="5" t="str">
        <f t="shared" si="5"/>
        <v>LKA</v>
      </c>
    </row>
    <row r="193" spans="1:11" s="53" customFormat="1" x14ac:dyDescent="0.25">
      <c r="A193" s="58" t="str">
        <f t="shared" si="4"/>
        <v>X KA 63</v>
      </c>
      <c r="B193" s="171">
        <f>COUNTIF(H$2:H193,H193)</f>
        <v>3</v>
      </c>
      <c r="C193" s="5">
        <f>'Baru NIS'!C193</f>
        <v>102519716</v>
      </c>
      <c r="D193" s="5" t="str">
        <f>'Baru NIS'!D193</f>
        <v>0092750378</v>
      </c>
      <c r="E193" s="5" t="str">
        <f>'Baru NIS'!E193</f>
        <v>102519716 /   0092750378</v>
      </c>
      <c r="F193" s="59" t="str">
        <f>'Baru NIS'!F193</f>
        <v>ANNISA CAHYANI BARAKA</v>
      </c>
      <c r="G193" s="5" t="str">
        <f>'Baru NIS'!G193</f>
        <v>P</v>
      </c>
      <c r="H193" s="5" t="str">
        <f>'Baru NIS'!H193</f>
        <v>X KA 6</v>
      </c>
      <c r="I193" s="5" t="s">
        <v>5672</v>
      </c>
      <c r="J193" s="5" t="s">
        <v>5673</v>
      </c>
      <c r="K193" s="5" t="str">
        <f t="shared" si="5"/>
        <v>PKA</v>
      </c>
    </row>
    <row r="194" spans="1:11" s="53" customFormat="1" x14ac:dyDescent="0.25">
      <c r="A194" s="58" t="str">
        <f t="shared" ref="A194:A257" si="6">H194&amp;B194</f>
        <v>X KA 64</v>
      </c>
      <c r="B194" s="171">
        <f>COUNTIF(H$2:H194,H194)</f>
        <v>4</v>
      </c>
      <c r="C194" s="5">
        <f>'Baru NIS'!C194</f>
        <v>102519717</v>
      </c>
      <c r="D194" s="5" t="str">
        <f>'Baru NIS'!D194</f>
        <v>0104900089</v>
      </c>
      <c r="E194" s="5" t="str">
        <f>'Baru NIS'!E194</f>
        <v>102519717 /   0104900089</v>
      </c>
      <c r="F194" s="59" t="str">
        <f>'Baru NIS'!F194</f>
        <v>BIMA PANGESTU SEJATI</v>
      </c>
      <c r="G194" s="5" t="str">
        <f>'Baru NIS'!G194</f>
        <v>L</v>
      </c>
      <c r="H194" s="5" t="str">
        <f>'Baru NIS'!H194</f>
        <v>X KA 6</v>
      </c>
      <c r="I194" s="5" t="s">
        <v>5672</v>
      </c>
      <c r="J194" s="5" t="s">
        <v>5673</v>
      </c>
      <c r="K194" s="5" t="str">
        <f t="shared" ref="K194:K257" si="7">G194&amp;J194</f>
        <v>LKA</v>
      </c>
    </row>
    <row r="195" spans="1:11" s="53" customFormat="1" x14ac:dyDescent="0.25">
      <c r="A195" s="58" t="str">
        <f t="shared" si="6"/>
        <v>X KA 65</v>
      </c>
      <c r="B195" s="171">
        <f>COUNTIF(H$2:H195,H195)</f>
        <v>5</v>
      </c>
      <c r="C195" s="5">
        <f>'Baru NIS'!C195</f>
        <v>102519718</v>
      </c>
      <c r="D195" s="5" t="str">
        <f>'Baru NIS'!D195</f>
        <v>0101777375</v>
      </c>
      <c r="E195" s="5" t="str">
        <f>'Baru NIS'!E195</f>
        <v>102519718 /   0101777375</v>
      </c>
      <c r="F195" s="59" t="str">
        <f>'Baru NIS'!F195</f>
        <v>CHALISTA PUTRI</v>
      </c>
      <c r="G195" s="5" t="str">
        <f>'Baru NIS'!G195</f>
        <v>P</v>
      </c>
      <c r="H195" s="5" t="str">
        <f>'Baru NIS'!H195</f>
        <v>X KA 6</v>
      </c>
      <c r="I195" s="5" t="s">
        <v>5672</v>
      </c>
      <c r="J195" s="5" t="s">
        <v>5673</v>
      </c>
      <c r="K195" s="5" t="str">
        <f t="shared" si="7"/>
        <v>PKA</v>
      </c>
    </row>
    <row r="196" spans="1:11" s="53" customFormat="1" x14ac:dyDescent="0.25">
      <c r="A196" s="58" t="str">
        <f t="shared" si="6"/>
        <v>X KA 66</v>
      </c>
      <c r="B196" s="171">
        <f>COUNTIF(H$2:H196,H196)</f>
        <v>6</v>
      </c>
      <c r="C196" s="5">
        <f>'Baru NIS'!C196</f>
        <v>102519719</v>
      </c>
      <c r="D196" s="5" t="str">
        <f>'Baru NIS'!D196</f>
        <v>0104867282</v>
      </c>
      <c r="E196" s="5" t="str">
        <f>'Baru NIS'!E196</f>
        <v>102519719 /   0104867282</v>
      </c>
      <c r="F196" s="59" t="str">
        <f>'Baru NIS'!F196</f>
        <v>DAFA YOGA PRATAMA</v>
      </c>
      <c r="G196" s="5" t="str">
        <f>'Baru NIS'!G196</f>
        <v>L</v>
      </c>
      <c r="H196" s="5" t="str">
        <f>'Baru NIS'!H196</f>
        <v>X KA 6</v>
      </c>
      <c r="I196" s="5" t="s">
        <v>5672</v>
      </c>
      <c r="J196" s="5" t="s">
        <v>5673</v>
      </c>
      <c r="K196" s="5" t="str">
        <f t="shared" si="7"/>
        <v>LKA</v>
      </c>
    </row>
    <row r="197" spans="1:11" s="53" customFormat="1" x14ac:dyDescent="0.25">
      <c r="A197" s="58" t="str">
        <f t="shared" si="6"/>
        <v>X KA 67</v>
      </c>
      <c r="B197" s="171">
        <f>COUNTIF(H$2:H197,H197)</f>
        <v>7</v>
      </c>
      <c r="C197" s="5">
        <f>'Baru NIS'!C197</f>
        <v>102519720</v>
      </c>
      <c r="D197" s="5" t="str">
        <f>'Baru NIS'!D197</f>
        <v>3100617039</v>
      </c>
      <c r="E197" s="5" t="str">
        <f>'Baru NIS'!E197</f>
        <v>102519720 /   3100617039</v>
      </c>
      <c r="F197" s="59" t="str">
        <f>'Baru NIS'!F197</f>
        <v>DIMAS NAZRIL ILYAS</v>
      </c>
      <c r="G197" s="5" t="str">
        <f>'Baru NIS'!G197</f>
        <v>L</v>
      </c>
      <c r="H197" s="5" t="str">
        <f>'Baru NIS'!H197</f>
        <v>X KA 6</v>
      </c>
      <c r="I197" s="5" t="s">
        <v>5672</v>
      </c>
      <c r="J197" s="5" t="s">
        <v>5673</v>
      </c>
      <c r="K197" s="5" t="str">
        <f t="shared" si="7"/>
        <v>LKA</v>
      </c>
    </row>
    <row r="198" spans="1:11" s="53" customFormat="1" x14ac:dyDescent="0.25">
      <c r="A198" s="58" t="str">
        <f t="shared" si="6"/>
        <v>X KA 68</v>
      </c>
      <c r="B198" s="171">
        <f>COUNTIF(H$2:H198,H198)</f>
        <v>8</v>
      </c>
      <c r="C198" s="5">
        <f>'Baru NIS'!C198</f>
        <v>102519721</v>
      </c>
      <c r="D198" s="5" t="str">
        <f>'Baru NIS'!D198</f>
        <v>0103809608</v>
      </c>
      <c r="E198" s="5" t="str">
        <f>'Baru NIS'!E198</f>
        <v>102519721 /   0103809608</v>
      </c>
      <c r="F198" s="59" t="str">
        <f>'Baru NIS'!F198</f>
        <v>FAISAL AL FATHIR</v>
      </c>
      <c r="G198" s="5" t="str">
        <f>'Baru NIS'!G198</f>
        <v>L</v>
      </c>
      <c r="H198" s="5" t="str">
        <f>'Baru NIS'!H198</f>
        <v>X KA 6</v>
      </c>
      <c r="I198" s="5" t="s">
        <v>5672</v>
      </c>
      <c r="J198" s="5" t="s">
        <v>5673</v>
      </c>
      <c r="K198" s="5" t="str">
        <f t="shared" si="7"/>
        <v>LKA</v>
      </c>
    </row>
    <row r="199" spans="1:11" s="53" customFormat="1" x14ac:dyDescent="0.25">
      <c r="A199" s="58" t="str">
        <f t="shared" si="6"/>
        <v>X KA 69</v>
      </c>
      <c r="B199" s="171">
        <f>COUNTIF(H$2:H199,H199)</f>
        <v>9</v>
      </c>
      <c r="C199" s="5">
        <f>'Baru NIS'!C199</f>
        <v>102519722</v>
      </c>
      <c r="D199" s="5" t="str">
        <f>'Baru NIS'!D199</f>
        <v>0101346434</v>
      </c>
      <c r="E199" s="5" t="str">
        <f>'Baru NIS'!E199</f>
        <v>102519722 /   0101346434</v>
      </c>
      <c r="F199" s="59" t="str">
        <f>'Baru NIS'!F199</f>
        <v>FAKHIRA KAMAL</v>
      </c>
      <c r="G199" s="5" t="str">
        <f>'Baru NIS'!G199</f>
        <v>P</v>
      </c>
      <c r="H199" s="5" t="str">
        <f>'Baru NIS'!H199</f>
        <v>X KA 6</v>
      </c>
      <c r="I199" s="5" t="s">
        <v>5672</v>
      </c>
      <c r="J199" s="5" t="s">
        <v>5673</v>
      </c>
      <c r="K199" s="5" t="str">
        <f t="shared" si="7"/>
        <v>PKA</v>
      </c>
    </row>
    <row r="200" spans="1:11" s="53" customFormat="1" x14ac:dyDescent="0.25">
      <c r="A200" s="58" t="str">
        <f t="shared" si="6"/>
        <v>X KA 610</v>
      </c>
      <c r="B200" s="171">
        <f>COUNTIF(H$2:H200,H200)</f>
        <v>10</v>
      </c>
      <c r="C200" s="5">
        <f>'Baru NIS'!C200</f>
        <v>102519723</v>
      </c>
      <c r="D200" s="5" t="str">
        <f>'Baru NIS'!D200</f>
        <v>0099622570</v>
      </c>
      <c r="E200" s="5" t="str">
        <f>'Baru NIS'!E200</f>
        <v>102519723 /   0099622570</v>
      </c>
      <c r="F200" s="59" t="str">
        <f>'Baru NIS'!F200</f>
        <v>FIKA ZIANKA PUTRI</v>
      </c>
      <c r="G200" s="5" t="str">
        <f>'Baru NIS'!G200</f>
        <v>P</v>
      </c>
      <c r="H200" s="5" t="str">
        <f>'Baru NIS'!H200</f>
        <v>X KA 6</v>
      </c>
      <c r="I200" s="5" t="s">
        <v>5672</v>
      </c>
      <c r="J200" s="5" t="s">
        <v>5673</v>
      </c>
      <c r="K200" s="5" t="str">
        <f t="shared" si="7"/>
        <v>PKA</v>
      </c>
    </row>
    <row r="201" spans="1:11" s="53" customFormat="1" x14ac:dyDescent="0.25">
      <c r="A201" s="58" t="str">
        <f t="shared" si="6"/>
        <v>X KA 611</v>
      </c>
      <c r="B201" s="171">
        <f>COUNTIF(H$2:H201,H201)</f>
        <v>11</v>
      </c>
      <c r="C201" s="5">
        <f>'Baru NIS'!C201</f>
        <v>102519724</v>
      </c>
      <c r="D201" s="5" t="str">
        <f>'Baru NIS'!D201</f>
        <v>0093977118</v>
      </c>
      <c r="E201" s="5" t="str">
        <f>'Baru NIS'!E201</f>
        <v>102519724 /   0093977118</v>
      </c>
      <c r="F201" s="59" t="str">
        <f>'Baru NIS'!F201</f>
        <v>HILFA NUR ZAKIA</v>
      </c>
      <c r="G201" s="5" t="str">
        <f>'Baru NIS'!G201</f>
        <v>P</v>
      </c>
      <c r="H201" s="5" t="str">
        <f>'Baru NIS'!H201</f>
        <v>X KA 6</v>
      </c>
      <c r="I201" s="5" t="s">
        <v>5672</v>
      </c>
      <c r="J201" s="5" t="s">
        <v>5673</v>
      </c>
      <c r="K201" s="5" t="str">
        <f t="shared" si="7"/>
        <v>PKA</v>
      </c>
    </row>
    <row r="202" spans="1:11" s="53" customFormat="1" x14ac:dyDescent="0.25">
      <c r="A202" s="58" t="str">
        <f t="shared" si="6"/>
        <v>X KA 612</v>
      </c>
      <c r="B202" s="171">
        <f>COUNTIF(H$2:H202,H202)</f>
        <v>12</v>
      </c>
      <c r="C202" s="5">
        <f>'Baru NIS'!C202</f>
        <v>102519725</v>
      </c>
      <c r="D202" s="5" t="str">
        <f>'Baru NIS'!D202</f>
        <v>0092332697</v>
      </c>
      <c r="E202" s="5" t="str">
        <f>'Baru NIS'!E202</f>
        <v>102519725 /   0092332697</v>
      </c>
      <c r="F202" s="59" t="str">
        <f>'Baru NIS'!F202</f>
        <v>HUMAIRA MILANNISA AZZAHRA</v>
      </c>
      <c r="G202" s="5" t="str">
        <f>'Baru NIS'!G202</f>
        <v>P</v>
      </c>
      <c r="H202" s="5" t="str">
        <f>'Baru NIS'!H202</f>
        <v>X KA 6</v>
      </c>
      <c r="I202" s="5" t="s">
        <v>5672</v>
      </c>
      <c r="J202" s="5" t="s">
        <v>5673</v>
      </c>
      <c r="K202" s="5" t="str">
        <f t="shared" si="7"/>
        <v>PKA</v>
      </c>
    </row>
    <row r="203" spans="1:11" s="53" customFormat="1" x14ac:dyDescent="0.25">
      <c r="A203" s="58" t="str">
        <f t="shared" si="6"/>
        <v>X KA 613</v>
      </c>
      <c r="B203" s="171">
        <f>COUNTIF(H$2:H203,H203)</f>
        <v>13</v>
      </c>
      <c r="C203" s="5">
        <f>'Baru NIS'!C203</f>
        <v>102519726</v>
      </c>
      <c r="D203" s="5" t="str">
        <f>'Baru NIS'!D203</f>
        <v>0092190920</v>
      </c>
      <c r="E203" s="5" t="str">
        <f>'Baru NIS'!E203</f>
        <v>102519726 /   0092190920</v>
      </c>
      <c r="F203" s="59" t="str">
        <f>'Baru NIS'!F203</f>
        <v>INDRI RIPANI PUTRI</v>
      </c>
      <c r="G203" s="5" t="str">
        <f>'Baru NIS'!G203</f>
        <v>P</v>
      </c>
      <c r="H203" s="5" t="str">
        <f>'Baru NIS'!H203</f>
        <v>X KA 6</v>
      </c>
      <c r="I203" s="5" t="s">
        <v>5672</v>
      </c>
      <c r="J203" s="5" t="s">
        <v>5673</v>
      </c>
      <c r="K203" s="5" t="str">
        <f t="shared" si="7"/>
        <v>PKA</v>
      </c>
    </row>
    <row r="204" spans="1:11" s="53" customFormat="1" x14ac:dyDescent="0.25">
      <c r="A204" s="58" t="str">
        <f t="shared" si="6"/>
        <v>X KA 614</v>
      </c>
      <c r="B204" s="171">
        <f>COUNTIF(H$2:H204,H204)</f>
        <v>14</v>
      </c>
      <c r="C204" s="5">
        <f>'Baru NIS'!C204</f>
        <v>102519727</v>
      </c>
      <c r="D204" s="5" t="str">
        <f>'Baru NIS'!D204</f>
        <v>0095972533</v>
      </c>
      <c r="E204" s="5" t="str">
        <f>'Baru NIS'!E204</f>
        <v>102519727 /   0095972533</v>
      </c>
      <c r="F204" s="59" t="str">
        <f>'Baru NIS'!F204</f>
        <v>KEYLA ANAYA ARYANTI</v>
      </c>
      <c r="G204" s="5" t="str">
        <f>'Baru NIS'!G204</f>
        <v>P</v>
      </c>
      <c r="H204" s="5" t="str">
        <f>'Baru NIS'!H204</f>
        <v>X KA 6</v>
      </c>
      <c r="I204" s="5" t="s">
        <v>5672</v>
      </c>
      <c r="J204" s="5" t="s">
        <v>5673</v>
      </c>
      <c r="K204" s="5" t="str">
        <f t="shared" si="7"/>
        <v>PKA</v>
      </c>
    </row>
    <row r="205" spans="1:11" s="53" customFormat="1" x14ac:dyDescent="0.25">
      <c r="A205" s="58" t="str">
        <f t="shared" si="6"/>
        <v>X KA 615</v>
      </c>
      <c r="B205" s="171">
        <f>COUNTIF(H$2:H205,H205)</f>
        <v>15</v>
      </c>
      <c r="C205" s="5">
        <f>'Baru NIS'!C205</f>
        <v>102519728</v>
      </c>
      <c r="D205" s="5" t="str">
        <f>'Baru NIS'!D205</f>
        <v>0097103145</v>
      </c>
      <c r="E205" s="5" t="str">
        <f>'Baru NIS'!E205</f>
        <v>102519728 /   0097103145</v>
      </c>
      <c r="F205" s="59" t="str">
        <f>'Baru NIS'!F205</f>
        <v>LOVIOLA AMIRA PRAMESWARI</v>
      </c>
      <c r="G205" s="5" t="str">
        <f>'Baru NIS'!G205</f>
        <v>P</v>
      </c>
      <c r="H205" s="5" t="str">
        <f>'Baru NIS'!H205</f>
        <v>X KA 6</v>
      </c>
      <c r="I205" s="5" t="s">
        <v>5672</v>
      </c>
      <c r="J205" s="5" t="s">
        <v>5673</v>
      </c>
      <c r="K205" s="5" t="str">
        <f t="shared" si="7"/>
        <v>PKA</v>
      </c>
    </row>
    <row r="206" spans="1:11" s="53" customFormat="1" x14ac:dyDescent="0.25">
      <c r="A206" s="58" t="str">
        <f t="shared" si="6"/>
        <v>X KA 616</v>
      </c>
      <c r="B206" s="171">
        <f>COUNTIF(H$2:H206,H206)</f>
        <v>16</v>
      </c>
      <c r="C206" s="5">
        <f>'Baru NIS'!C206</f>
        <v>102519729</v>
      </c>
      <c r="D206" s="5" t="str">
        <f>'Baru NIS'!D206</f>
        <v>0092481175</v>
      </c>
      <c r="E206" s="5" t="str">
        <f>'Baru NIS'!E206</f>
        <v>102519729 /   0092481175</v>
      </c>
      <c r="F206" s="59" t="str">
        <f>'Baru NIS'!F206</f>
        <v>LUTHFIYYAH FAJARINA SHUBHI</v>
      </c>
      <c r="G206" s="5" t="str">
        <f>'Baru NIS'!G206</f>
        <v>P</v>
      </c>
      <c r="H206" s="5" t="str">
        <f>'Baru NIS'!H206</f>
        <v>X KA 6</v>
      </c>
      <c r="I206" s="5" t="s">
        <v>5672</v>
      </c>
      <c r="J206" s="5" t="s">
        <v>5673</v>
      </c>
      <c r="K206" s="5" t="str">
        <f t="shared" si="7"/>
        <v>PKA</v>
      </c>
    </row>
    <row r="207" spans="1:11" s="53" customFormat="1" x14ac:dyDescent="0.25">
      <c r="A207" s="58" t="str">
        <f t="shared" si="6"/>
        <v>X KA 617</v>
      </c>
      <c r="B207" s="171">
        <f>COUNTIF(H$2:H207,H207)</f>
        <v>17</v>
      </c>
      <c r="C207" s="5">
        <f>'Baru NIS'!C207</f>
        <v>102519730</v>
      </c>
      <c r="D207" s="5" t="str">
        <f>'Baru NIS'!D207</f>
        <v>0092875262</v>
      </c>
      <c r="E207" s="5" t="str">
        <f>'Baru NIS'!E207</f>
        <v>102519730 /   0092875262</v>
      </c>
      <c r="F207" s="59" t="str">
        <f>'Baru NIS'!F207</f>
        <v>MEILINA SALSABILA</v>
      </c>
      <c r="G207" s="5" t="str">
        <f>'Baru NIS'!G207</f>
        <v>P</v>
      </c>
      <c r="H207" s="5" t="str">
        <f>'Baru NIS'!H207</f>
        <v>X KA 6</v>
      </c>
      <c r="I207" s="5" t="s">
        <v>5672</v>
      </c>
      <c r="J207" s="5" t="s">
        <v>5673</v>
      </c>
      <c r="K207" s="5" t="str">
        <f t="shared" si="7"/>
        <v>PKA</v>
      </c>
    </row>
    <row r="208" spans="1:11" s="53" customFormat="1" x14ac:dyDescent="0.25">
      <c r="A208" s="58" t="str">
        <f t="shared" si="6"/>
        <v>X KA 618</v>
      </c>
      <c r="B208" s="171">
        <f>COUNTIF(H$2:H208,H208)</f>
        <v>18</v>
      </c>
      <c r="C208" s="5">
        <f>'Baru NIS'!C208</f>
        <v>102519731</v>
      </c>
      <c r="D208" s="5" t="str">
        <f>'Baru NIS'!D208</f>
        <v>0099308328</v>
      </c>
      <c r="E208" s="5" t="str">
        <f>'Baru NIS'!E208</f>
        <v>102519731 /   0099308328</v>
      </c>
      <c r="F208" s="59" t="str">
        <f>'Baru NIS'!F208</f>
        <v>MELANI NOVIYANTI</v>
      </c>
      <c r="G208" s="5" t="str">
        <f>'Baru NIS'!G208</f>
        <v>P</v>
      </c>
      <c r="H208" s="5" t="str">
        <f>'Baru NIS'!H208</f>
        <v>X KA 6</v>
      </c>
      <c r="I208" s="5" t="s">
        <v>5672</v>
      </c>
      <c r="J208" s="5" t="s">
        <v>5673</v>
      </c>
      <c r="K208" s="5" t="str">
        <f t="shared" si="7"/>
        <v>PKA</v>
      </c>
    </row>
    <row r="209" spans="1:11" s="53" customFormat="1" x14ac:dyDescent="0.25">
      <c r="A209" s="58" t="str">
        <f t="shared" si="6"/>
        <v>X KA 619</v>
      </c>
      <c r="B209" s="171">
        <f>COUNTIF(H$2:H209,H209)</f>
        <v>19</v>
      </c>
      <c r="C209" s="5">
        <f>'Baru NIS'!C209</f>
        <v>102519732</v>
      </c>
      <c r="D209" s="5" t="str">
        <f>'Baru NIS'!D209</f>
        <v>0105646233</v>
      </c>
      <c r="E209" s="5" t="str">
        <f>'Baru NIS'!E209</f>
        <v>102519732 /   0105646233</v>
      </c>
      <c r="F209" s="59" t="str">
        <f>'Baru NIS'!F209</f>
        <v>MUHAMAD REZKY MAULIDIN</v>
      </c>
      <c r="G209" s="5" t="str">
        <f>'Baru NIS'!G209</f>
        <v>L</v>
      </c>
      <c r="H209" s="5" t="str">
        <f>'Baru NIS'!H209</f>
        <v>X KA 6</v>
      </c>
      <c r="I209" s="5" t="s">
        <v>5672</v>
      </c>
      <c r="J209" s="5" t="s">
        <v>5673</v>
      </c>
      <c r="K209" s="5" t="str">
        <f t="shared" si="7"/>
        <v>LKA</v>
      </c>
    </row>
    <row r="210" spans="1:11" s="53" customFormat="1" x14ac:dyDescent="0.25">
      <c r="A210" s="58" t="str">
        <f t="shared" si="6"/>
        <v>X KA 620</v>
      </c>
      <c r="B210" s="171">
        <f>COUNTIF(H$2:H210,H210)</f>
        <v>20</v>
      </c>
      <c r="C210" s="5">
        <f>'Baru NIS'!C210</f>
        <v>102519733</v>
      </c>
      <c r="D210" s="5" t="str">
        <f>'Baru NIS'!D210</f>
        <v>0095487141</v>
      </c>
      <c r="E210" s="5" t="str">
        <f>'Baru NIS'!E210</f>
        <v>102519733 /   0095487141</v>
      </c>
      <c r="F210" s="59" t="str">
        <f>'Baru NIS'!F210</f>
        <v>MUHAMMAD ALVIN HARDY NADIRUL NURHAYAN</v>
      </c>
      <c r="G210" s="5" t="str">
        <f>'Baru NIS'!G210</f>
        <v>L</v>
      </c>
      <c r="H210" s="5" t="str">
        <f>'Baru NIS'!H210</f>
        <v>X KA 6</v>
      </c>
      <c r="I210" s="5" t="s">
        <v>5672</v>
      </c>
      <c r="J210" s="5" t="s">
        <v>5673</v>
      </c>
      <c r="K210" s="5" t="str">
        <f t="shared" si="7"/>
        <v>LKA</v>
      </c>
    </row>
    <row r="211" spans="1:11" s="53" customFormat="1" x14ac:dyDescent="0.25">
      <c r="A211" s="58" t="str">
        <f t="shared" si="6"/>
        <v>X KA 621</v>
      </c>
      <c r="B211" s="171">
        <f>COUNTIF(H$2:H211,H211)</f>
        <v>21</v>
      </c>
      <c r="C211" s="5">
        <f>'Baru NIS'!C211</f>
        <v>102519734</v>
      </c>
      <c r="D211" s="5" t="str">
        <f>'Baru NIS'!D211</f>
        <v>0097347700</v>
      </c>
      <c r="E211" s="5" t="str">
        <f>'Baru NIS'!E211</f>
        <v>102519734 /   0097347700</v>
      </c>
      <c r="F211" s="59" t="str">
        <f>'Baru NIS'!F211</f>
        <v>MUHAMMAD FADHILAH</v>
      </c>
      <c r="G211" s="5" t="str">
        <f>'Baru NIS'!G211</f>
        <v>L</v>
      </c>
      <c r="H211" s="5" t="str">
        <f>'Baru NIS'!H211</f>
        <v>X KA 6</v>
      </c>
      <c r="I211" s="5" t="s">
        <v>5672</v>
      </c>
      <c r="J211" s="5" t="s">
        <v>5673</v>
      </c>
      <c r="K211" s="5" t="str">
        <f t="shared" si="7"/>
        <v>LKA</v>
      </c>
    </row>
    <row r="212" spans="1:11" s="53" customFormat="1" x14ac:dyDescent="0.25">
      <c r="A212" s="58" t="str">
        <f t="shared" si="6"/>
        <v>X KA 622</v>
      </c>
      <c r="B212" s="171">
        <f>COUNTIF(H$2:H212,H212)</f>
        <v>22</v>
      </c>
      <c r="C212" s="5">
        <f>'Baru NIS'!C212</f>
        <v>102519735</v>
      </c>
      <c r="D212" s="5" t="str">
        <f>'Baru NIS'!D212</f>
        <v>0096342377</v>
      </c>
      <c r="E212" s="5" t="str">
        <f>'Baru NIS'!E212</f>
        <v>102519735 /   0096342377</v>
      </c>
      <c r="F212" s="59" t="str">
        <f>'Baru NIS'!F212</f>
        <v>MUHAMMAD RAIHAN NAUFAL</v>
      </c>
      <c r="G212" s="5" t="str">
        <f>'Baru NIS'!G212</f>
        <v>L</v>
      </c>
      <c r="H212" s="5" t="str">
        <f>'Baru NIS'!H212</f>
        <v>X KA 6</v>
      </c>
      <c r="I212" s="5" t="s">
        <v>5672</v>
      </c>
      <c r="J212" s="5" t="s">
        <v>5673</v>
      </c>
      <c r="K212" s="5" t="str">
        <f t="shared" si="7"/>
        <v>LKA</v>
      </c>
    </row>
    <row r="213" spans="1:11" s="53" customFormat="1" x14ac:dyDescent="0.25">
      <c r="A213" s="58" t="str">
        <f t="shared" si="6"/>
        <v>X KA 623</v>
      </c>
      <c r="B213" s="171">
        <f>COUNTIF(H$2:H213,H213)</f>
        <v>23</v>
      </c>
      <c r="C213" s="5">
        <f>'Baru NIS'!C213</f>
        <v>102519736</v>
      </c>
      <c r="D213" s="5" t="str">
        <f>'Baru NIS'!D213</f>
        <v>0105140721</v>
      </c>
      <c r="E213" s="5" t="str">
        <f>'Baru NIS'!E213</f>
        <v>102519736 /   0105140721</v>
      </c>
      <c r="F213" s="59" t="str">
        <f>'Baru NIS'!F213</f>
        <v>NAUFAL LATHIF SAVERO</v>
      </c>
      <c r="G213" s="5" t="str">
        <f>'Baru NIS'!G213</f>
        <v>L</v>
      </c>
      <c r="H213" s="5" t="str">
        <f>'Baru NIS'!H213</f>
        <v>X KA 6</v>
      </c>
      <c r="I213" s="5" t="s">
        <v>5672</v>
      </c>
      <c r="J213" s="5" t="s">
        <v>5673</v>
      </c>
      <c r="K213" s="5" t="str">
        <f t="shared" si="7"/>
        <v>LKA</v>
      </c>
    </row>
    <row r="214" spans="1:11" s="53" customFormat="1" x14ac:dyDescent="0.25">
      <c r="A214" s="58" t="str">
        <f t="shared" si="6"/>
        <v>X KA 624</v>
      </c>
      <c r="B214" s="171">
        <f>COUNTIF(H$2:H214,H214)</f>
        <v>24</v>
      </c>
      <c r="C214" s="5">
        <f>'Baru NIS'!C214</f>
        <v>102519737</v>
      </c>
      <c r="D214" s="5" t="str">
        <f>'Baru NIS'!D214</f>
        <v>0103441274</v>
      </c>
      <c r="E214" s="5" t="str">
        <f>'Baru NIS'!E214</f>
        <v>102519737 /   0103441274</v>
      </c>
      <c r="F214" s="59" t="str">
        <f>'Baru NIS'!F214</f>
        <v>NEYSA NUR KAMELIA</v>
      </c>
      <c r="G214" s="5" t="str">
        <f>'Baru NIS'!G214</f>
        <v>P</v>
      </c>
      <c r="H214" s="5" t="str">
        <f>'Baru NIS'!H214</f>
        <v>X KA 6</v>
      </c>
      <c r="I214" s="5" t="s">
        <v>5672</v>
      </c>
      <c r="J214" s="5" t="s">
        <v>5673</v>
      </c>
      <c r="K214" s="5" t="str">
        <f t="shared" si="7"/>
        <v>PKA</v>
      </c>
    </row>
    <row r="215" spans="1:11" s="53" customFormat="1" x14ac:dyDescent="0.25">
      <c r="A215" s="58" t="str">
        <f t="shared" si="6"/>
        <v>X KA 625</v>
      </c>
      <c r="B215" s="171">
        <f>COUNTIF(H$2:H215,H215)</f>
        <v>25</v>
      </c>
      <c r="C215" s="5">
        <f>'Baru NIS'!C215</f>
        <v>102519738</v>
      </c>
      <c r="D215" s="5" t="str">
        <f>'Baru NIS'!D215</f>
        <v>0104797186</v>
      </c>
      <c r="E215" s="5" t="str">
        <f>'Baru NIS'!E215</f>
        <v>102519738 /   0104797186</v>
      </c>
      <c r="F215" s="59" t="str">
        <f>'Baru NIS'!F215</f>
        <v>NIKEN MARSHA ANDREA</v>
      </c>
      <c r="G215" s="5" t="str">
        <f>'Baru NIS'!G215</f>
        <v>P</v>
      </c>
      <c r="H215" s="5" t="str">
        <f>'Baru NIS'!H215</f>
        <v>X KA 6</v>
      </c>
      <c r="I215" s="5" t="s">
        <v>5672</v>
      </c>
      <c r="J215" s="5" t="s">
        <v>5673</v>
      </c>
      <c r="K215" s="5" t="str">
        <f t="shared" si="7"/>
        <v>PKA</v>
      </c>
    </row>
    <row r="216" spans="1:11" s="53" customFormat="1" x14ac:dyDescent="0.25">
      <c r="A216" s="58" t="str">
        <f t="shared" si="6"/>
        <v>X KA 626</v>
      </c>
      <c r="B216" s="171">
        <f>COUNTIF(H$2:H216,H216)</f>
        <v>26</v>
      </c>
      <c r="C216" s="5">
        <f>'Baru NIS'!C216</f>
        <v>102519739</v>
      </c>
      <c r="D216" s="5" t="str">
        <f>'Baru NIS'!D216</f>
        <v>0097433580</v>
      </c>
      <c r="E216" s="5" t="str">
        <f>'Baru NIS'!E216</f>
        <v>102519739 /   0097433580</v>
      </c>
      <c r="F216" s="59" t="str">
        <f>'Baru NIS'!F216</f>
        <v>PAISAL PIRMANSAH</v>
      </c>
      <c r="G216" s="5" t="str">
        <f>'Baru NIS'!G216</f>
        <v>L</v>
      </c>
      <c r="H216" s="5" t="str">
        <f>'Baru NIS'!H216</f>
        <v>X KA 6</v>
      </c>
      <c r="I216" s="5" t="s">
        <v>5672</v>
      </c>
      <c r="J216" s="5" t="s">
        <v>5673</v>
      </c>
      <c r="K216" s="5" t="str">
        <f t="shared" si="7"/>
        <v>LKA</v>
      </c>
    </row>
    <row r="217" spans="1:11" s="53" customFormat="1" x14ac:dyDescent="0.25">
      <c r="A217" s="58" t="str">
        <f t="shared" si="6"/>
        <v>X KA 627</v>
      </c>
      <c r="B217" s="171">
        <f>COUNTIF(H$2:H217,H217)</f>
        <v>27</v>
      </c>
      <c r="C217" s="5">
        <f>'Baru NIS'!C217</f>
        <v>102519740</v>
      </c>
      <c r="D217" s="5" t="str">
        <f>'Baru NIS'!D217</f>
        <v>0107149425</v>
      </c>
      <c r="E217" s="5" t="str">
        <f>'Baru NIS'!E217</f>
        <v>102519740 /   0107149425</v>
      </c>
      <c r="F217" s="59" t="str">
        <f>'Baru NIS'!F217</f>
        <v>RADITHYA RAMADHANI</v>
      </c>
      <c r="G217" s="5" t="str">
        <f>'Baru NIS'!G217</f>
        <v>L</v>
      </c>
      <c r="H217" s="5" t="str">
        <f>'Baru NIS'!H217</f>
        <v>X KA 6</v>
      </c>
      <c r="I217" s="5" t="s">
        <v>5672</v>
      </c>
      <c r="J217" s="5" t="s">
        <v>5673</v>
      </c>
      <c r="K217" s="5" t="str">
        <f t="shared" si="7"/>
        <v>LKA</v>
      </c>
    </row>
    <row r="218" spans="1:11" s="53" customFormat="1" x14ac:dyDescent="0.25">
      <c r="A218" s="58" t="str">
        <f t="shared" si="6"/>
        <v>X KA 628</v>
      </c>
      <c r="B218" s="171">
        <f>COUNTIF(H$2:H218,H218)</f>
        <v>28</v>
      </c>
      <c r="C218" s="5">
        <f>'Baru NIS'!C218</f>
        <v>102519741</v>
      </c>
      <c r="D218" s="5" t="str">
        <f>'Baru NIS'!D218</f>
        <v>0104088787</v>
      </c>
      <c r="E218" s="5" t="str">
        <f>'Baru NIS'!E218</f>
        <v>102519741 /   0104088787</v>
      </c>
      <c r="F218" s="59" t="str">
        <f>'Baru NIS'!F218</f>
        <v>RAHMA MAULIDA AZAHRA</v>
      </c>
      <c r="G218" s="5" t="str">
        <f>'Baru NIS'!G218</f>
        <v>P</v>
      </c>
      <c r="H218" s="5" t="str">
        <f>'Baru NIS'!H218</f>
        <v>X KA 6</v>
      </c>
      <c r="I218" s="5" t="s">
        <v>5672</v>
      </c>
      <c r="J218" s="5" t="s">
        <v>5673</v>
      </c>
      <c r="K218" s="5" t="str">
        <f t="shared" si="7"/>
        <v>PKA</v>
      </c>
    </row>
    <row r="219" spans="1:11" s="53" customFormat="1" x14ac:dyDescent="0.25">
      <c r="A219" s="58" t="str">
        <f t="shared" si="6"/>
        <v>X KA 629</v>
      </c>
      <c r="B219" s="171">
        <f>COUNTIF(H$2:H219,H219)</f>
        <v>29</v>
      </c>
      <c r="C219" s="5">
        <f>'Baru NIS'!C219</f>
        <v>102519742</v>
      </c>
      <c r="D219" s="5" t="str">
        <f>'Baru NIS'!D219</f>
        <v>3106778797</v>
      </c>
      <c r="E219" s="5" t="str">
        <f>'Baru NIS'!E219</f>
        <v>102519742 /   3106778797</v>
      </c>
      <c r="F219" s="59" t="str">
        <f>'Baru NIS'!F219</f>
        <v>RAIDAH FATHIN HAFIDZAH</v>
      </c>
      <c r="G219" s="5" t="str">
        <f>'Baru NIS'!G219</f>
        <v>P</v>
      </c>
      <c r="H219" s="5" t="str">
        <f>'Baru NIS'!H219</f>
        <v>X KA 6</v>
      </c>
      <c r="I219" s="5" t="s">
        <v>5672</v>
      </c>
      <c r="J219" s="5" t="s">
        <v>5673</v>
      </c>
      <c r="K219" s="5" t="str">
        <f t="shared" si="7"/>
        <v>PKA</v>
      </c>
    </row>
    <row r="220" spans="1:11" s="53" customFormat="1" x14ac:dyDescent="0.25">
      <c r="A220" s="58" t="str">
        <f t="shared" si="6"/>
        <v>X KA 630</v>
      </c>
      <c r="B220" s="171">
        <f>COUNTIF(H$2:H220,H220)</f>
        <v>30</v>
      </c>
      <c r="C220" s="5">
        <f>'Baru NIS'!C220</f>
        <v>102519743</v>
      </c>
      <c r="D220" s="5" t="str">
        <f>'Baru NIS'!D220</f>
        <v>0101887176</v>
      </c>
      <c r="E220" s="5" t="str">
        <f>'Baru NIS'!E220</f>
        <v>102519743 /   0101887176</v>
      </c>
      <c r="F220" s="59" t="str">
        <f>'Baru NIS'!F220</f>
        <v>RIDVAN EL ZHAR ARVELADZE</v>
      </c>
      <c r="G220" s="5" t="str">
        <f>'Baru NIS'!G220</f>
        <v>L</v>
      </c>
      <c r="H220" s="5" t="str">
        <f>'Baru NIS'!H220</f>
        <v>X KA 6</v>
      </c>
      <c r="I220" s="5" t="s">
        <v>5672</v>
      </c>
      <c r="J220" s="5" t="s">
        <v>5673</v>
      </c>
      <c r="K220" s="5" t="str">
        <f t="shared" si="7"/>
        <v>LKA</v>
      </c>
    </row>
    <row r="221" spans="1:11" s="53" customFormat="1" x14ac:dyDescent="0.25">
      <c r="A221" s="58" t="str">
        <f t="shared" si="6"/>
        <v>X KA 631</v>
      </c>
      <c r="B221" s="171">
        <f>COUNTIF(H$2:H221,H221)</f>
        <v>31</v>
      </c>
      <c r="C221" s="5">
        <f>'Baru NIS'!C221</f>
        <v>102519744</v>
      </c>
      <c r="D221" s="5" t="str">
        <f>'Baru NIS'!D221</f>
        <v>0092347863</v>
      </c>
      <c r="E221" s="5" t="str">
        <f>'Baru NIS'!E221</f>
        <v>102519744 /   0092347863</v>
      </c>
      <c r="F221" s="59" t="str">
        <f>'Baru NIS'!F221</f>
        <v>SELIA RAHMAYUNISA</v>
      </c>
      <c r="G221" s="5" t="str">
        <f>'Baru NIS'!G221</f>
        <v>P</v>
      </c>
      <c r="H221" s="5" t="str">
        <f>'Baru NIS'!H221</f>
        <v>X KA 6</v>
      </c>
      <c r="I221" s="5" t="s">
        <v>5672</v>
      </c>
      <c r="J221" s="5" t="s">
        <v>5673</v>
      </c>
      <c r="K221" s="5" t="str">
        <f t="shared" si="7"/>
        <v>PKA</v>
      </c>
    </row>
    <row r="222" spans="1:11" s="53" customFormat="1" x14ac:dyDescent="0.25">
      <c r="A222" s="58" t="str">
        <f t="shared" si="6"/>
        <v>X KA 632</v>
      </c>
      <c r="B222" s="171">
        <f>COUNTIF(H$2:H222,H222)</f>
        <v>32</v>
      </c>
      <c r="C222" s="5">
        <f>'Baru NIS'!C222</f>
        <v>102519745</v>
      </c>
      <c r="D222" s="5" t="str">
        <f>'Baru NIS'!D222</f>
        <v>0102817772</v>
      </c>
      <c r="E222" s="5" t="str">
        <f>'Baru NIS'!E222</f>
        <v>102519745 /   0102817772</v>
      </c>
      <c r="F222" s="59" t="str">
        <f>'Baru NIS'!F222</f>
        <v>SHILLA QUENSA KIRANA</v>
      </c>
      <c r="G222" s="5" t="str">
        <f>'Baru NIS'!G222</f>
        <v>P</v>
      </c>
      <c r="H222" s="5" t="str">
        <f>'Baru NIS'!H222</f>
        <v>X KA 6</v>
      </c>
      <c r="I222" s="5" t="s">
        <v>5672</v>
      </c>
      <c r="J222" s="5" t="s">
        <v>5673</v>
      </c>
      <c r="K222" s="5" t="str">
        <f t="shared" si="7"/>
        <v>PKA</v>
      </c>
    </row>
    <row r="223" spans="1:11" s="53" customFormat="1" x14ac:dyDescent="0.25">
      <c r="A223" s="58" t="str">
        <f t="shared" si="6"/>
        <v>X KA 633</v>
      </c>
      <c r="B223" s="171">
        <f>COUNTIF(H$2:H223,H223)</f>
        <v>33</v>
      </c>
      <c r="C223" s="5">
        <f>'Baru NIS'!C223</f>
        <v>102519746</v>
      </c>
      <c r="D223" s="5" t="str">
        <f>'Baru NIS'!D223</f>
        <v>0091586526</v>
      </c>
      <c r="E223" s="5" t="str">
        <f>'Baru NIS'!E223</f>
        <v>102519746 /   0091586526</v>
      </c>
      <c r="F223" s="59" t="str">
        <f>'Baru NIS'!F223</f>
        <v>SITI RAHMA KHOIRUNNISA</v>
      </c>
      <c r="G223" s="5" t="str">
        <f>'Baru NIS'!G223</f>
        <v>P</v>
      </c>
      <c r="H223" s="5" t="str">
        <f>'Baru NIS'!H223</f>
        <v>X KA 6</v>
      </c>
      <c r="I223" s="5" t="s">
        <v>5672</v>
      </c>
      <c r="J223" s="5" t="s">
        <v>5673</v>
      </c>
      <c r="K223" s="5" t="str">
        <f t="shared" si="7"/>
        <v>PKA</v>
      </c>
    </row>
    <row r="224" spans="1:11" s="53" customFormat="1" x14ac:dyDescent="0.25">
      <c r="A224" s="58" t="str">
        <f t="shared" si="6"/>
        <v>X KA 634</v>
      </c>
      <c r="B224" s="171">
        <f>COUNTIF(H$2:H224,H224)</f>
        <v>34</v>
      </c>
      <c r="C224" s="5">
        <f>'Baru NIS'!C224</f>
        <v>102519747</v>
      </c>
      <c r="D224" s="5" t="str">
        <f>'Baru NIS'!D224</f>
        <v>0119719112</v>
      </c>
      <c r="E224" s="5" t="str">
        <f>'Baru NIS'!E224</f>
        <v>102519747 /   0119719112</v>
      </c>
      <c r="F224" s="59" t="str">
        <f>'Baru NIS'!F224</f>
        <v>VIRTA SETIA AULIA IKA</v>
      </c>
      <c r="G224" s="5" t="str">
        <f>'Baru NIS'!G224</f>
        <v>P</v>
      </c>
      <c r="H224" s="5" t="str">
        <f>'Baru NIS'!H224</f>
        <v>X KA 6</v>
      </c>
      <c r="I224" s="5" t="s">
        <v>5672</v>
      </c>
      <c r="J224" s="5" t="s">
        <v>5673</v>
      </c>
      <c r="K224" s="5" t="str">
        <f t="shared" si="7"/>
        <v>PKA</v>
      </c>
    </row>
    <row r="225" spans="1:11" s="53" customFormat="1" x14ac:dyDescent="0.25">
      <c r="A225" s="58" t="str">
        <f t="shared" si="6"/>
        <v>X KA 635</v>
      </c>
      <c r="B225" s="171">
        <f>COUNTIF(H$2:H225,H225)</f>
        <v>35</v>
      </c>
      <c r="C225" s="5">
        <f>'Baru NIS'!C225</f>
        <v>102519748</v>
      </c>
      <c r="D225" s="5" t="str">
        <f>'Baru NIS'!D225</f>
        <v>0095515830</v>
      </c>
      <c r="E225" s="5" t="str">
        <f>'Baru NIS'!E225</f>
        <v>102519748 /   0095515830</v>
      </c>
      <c r="F225" s="59" t="str">
        <f>'Baru NIS'!F225</f>
        <v>YASMINE KAMILA QAISYARA</v>
      </c>
      <c r="G225" s="5" t="str">
        <f>'Baru NIS'!G225</f>
        <v>P</v>
      </c>
      <c r="H225" s="5" t="str">
        <f>'Baru NIS'!H225</f>
        <v>X KA 6</v>
      </c>
      <c r="I225" s="5" t="s">
        <v>5672</v>
      </c>
      <c r="J225" s="5" t="s">
        <v>5673</v>
      </c>
      <c r="K225" s="5" t="str">
        <f t="shared" si="7"/>
        <v>PKA</v>
      </c>
    </row>
    <row r="226" spans="1:11" s="53" customFormat="1" x14ac:dyDescent="0.25">
      <c r="A226" s="58" t="str">
        <f t="shared" si="6"/>
        <v>X KA 636</v>
      </c>
      <c r="B226" s="171">
        <f>COUNTIF(H$2:H226,H226)</f>
        <v>36</v>
      </c>
      <c r="C226" s="5">
        <f>'Baru NIS'!C226</f>
        <v>102519749</v>
      </c>
      <c r="D226" s="5" t="str">
        <f>'Baru NIS'!D226</f>
        <v>0096522338</v>
      </c>
      <c r="E226" s="5" t="str">
        <f>'Baru NIS'!E226</f>
        <v>102519749 /   0096522338</v>
      </c>
      <c r="F226" s="59" t="str">
        <f>'Baru NIS'!F226</f>
        <v>YOGA KURNIA ALGIFARI</v>
      </c>
      <c r="G226" s="5" t="str">
        <f>'Baru NIS'!G226</f>
        <v>L</v>
      </c>
      <c r="H226" s="5" t="str">
        <f>'Baru NIS'!H226</f>
        <v>X KA 6</v>
      </c>
      <c r="I226" s="5" t="s">
        <v>5672</v>
      </c>
      <c r="J226" s="5" t="s">
        <v>5673</v>
      </c>
      <c r="K226" s="5" t="str">
        <f t="shared" si="7"/>
        <v>LKA</v>
      </c>
    </row>
    <row r="227" spans="1:11" s="53" customFormat="1" x14ac:dyDescent="0.25">
      <c r="A227" s="58" t="str">
        <f t="shared" si="6"/>
        <v>X KA 637</v>
      </c>
      <c r="B227" s="171">
        <f>COUNTIF(H$2:H227,H227)</f>
        <v>37</v>
      </c>
      <c r="C227" s="5">
        <f>'Baru NIS'!C227</f>
        <v>102519750</v>
      </c>
      <c r="D227" s="5" t="str">
        <f>'Baru NIS'!D227</f>
        <v>0107139977</v>
      </c>
      <c r="E227" s="5" t="str">
        <f>'Baru NIS'!E227</f>
        <v>102519750 /   0107139977</v>
      </c>
      <c r="F227" s="59" t="str">
        <f>'Baru NIS'!F227</f>
        <v>ZIFARA LETISYA</v>
      </c>
      <c r="G227" s="5" t="str">
        <f>'Baru NIS'!G227</f>
        <v>P</v>
      </c>
      <c r="H227" s="5" t="str">
        <f>'Baru NIS'!H227</f>
        <v>X KA 6</v>
      </c>
      <c r="I227" s="5" t="s">
        <v>5672</v>
      </c>
      <c r="J227" s="5" t="s">
        <v>5673</v>
      </c>
      <c r="K227" s="5" t="str">
        <f t="shared" si="7"/>
        <v>PKA</v>
      </c>
    </row>
    <row r="228" spans="1:11" s="53" customFormat="1" x14ac:dyDescent="0.25">
      <c r="A228" s="58" t="str">
        <f t="shared" si="6"/>
        <v>X PPLG 11</v>
      </c>
      <c r="B228" s="171">
        <f>COUNTIF(H$2:H228,H228)</f>
        <v>1</v>
      </c>
      <c r="C228" s="5">
        <f>'Baru NIS'!C228</f>
        <v>102519791</v>
      </c>
      <c r="D228" s="5" t="str">
        <f>'Baru NIS'!D228</f>
        <v>0102200692</v>
      </c>
      <c r="E228" s="5" t="str">
        <f>'Baru NIS'!E228</f>
        <v>102519791 /   0102200692</v>
      </c>
      <c r="F228" s="59" t="str">
        <f>'Baru NIS'!F228</f>
        <v>ADHITIYA SETIAWAN</v>
      </c>
      <c r="G228" s="5" t="str">
        <f>'Baru NIS'!G228</f>
        <v>L</v>
      </c>
      <c r="H228" s="5" t="str">
        <f>'Baru NIS'!H228</f>
        <v>X PPLG 1</v>
      </c>
      <c r="I228" s="5" t="s">
        <v>6387</v>
      </c>
      <c r="J228" s="5" t="s">
        <v>6388</v>
      </c>
      <c r="K228" s="5" t="str">
        <f>G228&amp;J228</f>
        <v>LPPLG</v>
      </c>
    </row>
    <row r="229" spans="1:11" s="53" customFormat="1" x14ac:dyDescent="0.25">
      <c r="A229" s="58" t="str">
        <f t="shared" si="6"/>
        <v>X PPLG 12</v>
      </c>
      <c r="B229" s="171">
        <f>COUNTIF(H$2:H229,H229)</f>
        <v>2</v>
      </c>
      <c r="C229" s="5">
        <f>'Baru NIS'!C229</f>
        <v>102519792</v>
      </c>
      <c r="D229" s="5" t="str">
        <f>'Baru NIS'!D229</f>
        <v>0099048612</v>
      </c>
      <c r="E229" s="5" t="str">
        <f>'Baru NIS'!E229</f>
        <v>102519792 /   0099048612</v>
      </c>
      <c r="F229" s="59" t="str">
        <f>'Baru NIS'!F229</f>
        <v>AHMAD MUHARROR</v>
      </c>
      <c r="G229" s="5" t="str">
        <f>'Baru NIS'!G229</f>
        <v>L</v>
      </c>
      <c r="H229" s="5" t="str">
        <f>'Baru NIS'!H229</f>
        <v>X PPLG 1</v>
      </c>
      <c r="I229" s="5" t="s">
        <v>6387</v>
      </c>
      <c r="J229" s="5" t="s">
        <v>6388</v>
      </c>
      <c r="K229" s="5" t="str">
        <f t="shared" si="7"/>
        <v>LPPLG</v>
      </c>
    </row>
    <row r="230" spans="1:11" s="53" customFormat="1" x14ac:dyDescent="0.25">
      <c r="A230" s="58" t="str">
        <f t="shared" si="6"/>
        <v>X PPLG 13</v>
      </c>
      <c r="B230" s="171">
        <f>COUNTIF(H$2:H230,H230)</f>
        <v>3</v>
      </c>
      <c r="C230" s="5">
        <f>'Baru NIS'!C230</f>
        <v>102519793</v>
      </c>
      <c r="D230" s="5" t="str">
        <f>'Baru NIS'!D230</f>
        <v>0091995719</v>
      </c>
      <c r="E230" s="5" t="str">
        <f>'Baru NIS'!E230</f>
        <v>102519793 /   0091995719</v>
      </c>
      <c r="F230" s="59" t="str">
        <f>'Baru NIS'!F230</f>
        <v>AHMAD ZUHDAL AKROM</v>
      </c>
      <c r="G230" s="5" t="str">
        <f>'Baru NIS'!G230</f>
        <v>L</v>
      </c>
      <c r="H230" s="5" t="str">
        <f>'Baru NIS'!H230</f>
        <v>X PPLG 1</v>
      </c>
      <c r="I230" s="5" t="s">
        <v>6387</v>
      </c>
      <c r="J230" s="5" t="s">
        <v>6388</v>
      </c>
      <c r="K230" s="5" t="str">
        <f t="shared" si="7"/>
        <v>LPPLG</v>
      </c>
    </row>
    <row r="231" spans="1:11" s="53" customFormat="1" x14ac:dyDescent="0.25">
      <c r="A231" s="58" t="str">
        <f t="shared" si="6"/>
        <v>X PPLG 14</v>
      </c>
      <c r="B231" s="171">
        <f>COUNTIF(H$2:H231,H231)</f>
        <v>4</v>
      </c>
      <c r="C231" s="5">
        <f>'Baru NIS'!C231</f>
        <v>102519794</v>
      </c>
      <c r="D231" s="5" t="str">
        <f>'Baru NIS'!D231</f>
        <v>0092306053</v>
      </c>
      <c r="E231" s="5" t="str">
        <f>'Baru NIS'!E231</f>
        <v>102519794 /   0092306053</v>
      </c>
      <c r="F231" s="59" t="str">
        <f>'Baru NIS'!F231</f>
        <v>AKHMAD WALIYUDIN</v>
      </c>
      <c r="G231" s="5" t="str">
        <f>'Baru NIS'!G231</f>
        <v>L</v>
      </c>
      <c r="H231" s="5" t="str">
        <f>'Baru NIS'!H231</f>
        <v>X PPLG 1</v>
      </c>
      <c r="I231" s="5" t="s">
        <v>6387</v>
      </c>
      <c r="J231" s="5" t="s">
        <v>6388</v>
      </c>
      <c r="K231" s="5" t="str">
        <f t="shared" si="7"/>
        <v>LPPLG</v>
      </c>
    </row>
    <row r="232" spans="1:11" s="53" customFormat="1" x14ac:dyDescent="0.25">
      <c r="A232" s="58" t="str">
        <f t="shared" si="6"/>
        <v>X PPLG 15</v>
      </c>
      <c r="B232" s="171">
        <f>COUNTIF(H$2:H232,H232)</f>
        <v>5</v>
      </c>
      <c r="C232" s="5">
        <f>'Baru NIS'!C232</f>
        <v>102519795</v>
      </c>
      <c r="D232" s="5" t="str">
        <f>'Baru NIS'!D232</f>
        <v>0095801968</v>
      </c>
      <c r="E232" s="5" t="str">
        <f>'Baru NIS'!E232</f>
        <v>102519795 /   0095801968</v>
      </c>
      <c r="F232" s="59" t="str">
        <f>'Baru NIS'!F232</f>
        <v>AKZA DAVIN ANDHIKA</v>
      </c>
      <c r="G232" s="5" t="str">
        <f>'Baru NIS'!G232</f>
        <v>L</v>
      </c>
      <c r="H232" s="5" t="str">
        <f>'Baru NIS'!H232</f>
        <v>X PPLG 1</v>
      </c>
      <c r="I232" s="5" t="s">
        <v>6387</v>
      </c>
      <c r="J232" s="5" t="s">
        <v>6388</v>
      </c>
      <c r="K232" s="5" t="str">
        <f t="shared" si="7"/>
        <v>LPPLG</v>
      </c>
    </row>
    <row r="233" spans="1:11" s="53" customFormat="1" x14ac:dyDescent="0.25">
      <c r="A233" s="58" t="str">
        <f t="shared" si="6"/>
        <v>X PPLG 16</v>
      </c>
      <c r="B233" s="171">
        <f>COUNTIF(H$2:H233,H233)</f>
        <v>6</v>
      </c>
      <c r="C233" s="5">
        <f>'Baru NIS'!C233</f>
        <v>102519796</v>
      </c>
      <c r="D233" s="5" t="str">
        <f>'Baru NIS'!D233</f>
        <v>0101931084</v>
      </c>
      <c r="E233" s="5" t="str">
        <f>'Baru NIS'!E233</f>
        <v>102519796 /   0101931084</v>
      </c>
      <c r="F233" s="59" t="str">
        <f>'Baru NIS'!F233</f>
        <v>ALIKA ARUM WANGI</v>
      </c>
      <c r="G233" s="5" t="str">
        <f>'Baru NIS'!G233</f>
        <v>P</v>
      </c>
      <c r="H233" s="5" t="str">
        <f>'Baru NIS'!H233</f>
        <v>X PPLG 1</v>
      </c>
      <c r="I233" s="5" t="s">
        <v>6387</v>
      </c>
      <c r="J233" s="5" t="s">
        <v>6388</v>
      </c>
      <c r="K233" s="5" t="str">
        <f t="shared" si="7"/>
        <v>PPPLG</v>
      </c>
    </row>
    <row r="234" spans="1:11" s="53" customFormat="1" x14ac:dyDescent="0.25">
      <c r="A234" s="58" t="str">
        <f t="shared" si="6"/>
        <v>X PPLG 17</v>
      </c>
      <c r="B234" s="171">
        <f>COUNTIF(H$2:H234,H234)</f>
        <v>7</v>
      </c>
      <c r="C234" s="5">
        <f>'Baru NIS'!C234</f>
        <v>102519797</v>
      </c>
      <c r="D234" s="5" t="str">
        <f>'Baru NIS'!D234</f>
        <v>0109224977</v>
      </c>
      <c r="E234" s="5" t="str">
        <f>'Baru NIS'!E234</f>
        <v>102519797 /   0109224977</v>
      </c>
      <c r="F234" s="59" t="str">
        <f>'Baru NIS'!F234</f>
        <v>ANJELY NURAFRIN JAGA DITA</v>
      </c>
      <c r="G234" s="5" t="str">
        <f>'Baru NIS'!G234</f>
        <v>P</v>
      </c>
      <c r="H234" s="5" t="str">
        <f>'Baru NIS'!H234</f>
        <v>X PPLG 1</v>
      </c>
      <c r="I234" s="5" t="s">
        <v>6387</v>
      </c>
      <c r="J234" s="5" t="s">
        <v>6388</v>
      </c>
      <c r="K234" s="5" t="str">
        <f t="shared" si="7"/>
        <v>PPPLG</v>
      </c>
    </row>
    <row r="235" spans="1:11" s="53" customFormat="1" x14ac:dyDescent="0.25">
      <c r="A235" s="58" t="str">
        <f t="shared" si="6"/>
        <v>X PPLG 18</v>
      </c>
      <c r="B235" s="171">
        <f>COUNTIF(H$2:H235,H235)</f>
        <v>8</v>
      </c>
      <c r="C235" s="5">
        <f>'Baru NIS'!C235</f>
        <v>102519798</v>
      </c>
      <c r="D235" s="5" t="str">
        <f>'Baru NIS'!D235</f>
        <v>0091751250</v>
      </c>
      <c r="E235" s="5" t="str">
        <f>'Baru NIS'!E235</f>
        <v>102519798 /   0091751250</v>
      </c>
      <c r="F235" s="59" t="str">
        <f>'Baru NIS'!F235</f>
        <v>DARREL ALFAZIL PUTRA RESTIADI</v>
      </c>
      <c r="G235" s="5" t="str">
        <f>'Baru NIS'!G235</f>
        <v>L</v>
      </c>
      <c r="H235" s="5" t="str">
        <f>'Baru NIS'!H235</f>
        <v>X PPLG 1</v>
      </c>
      <c r="I235" s="5" t="s">
        <v>6387</v>
      </c>
      <c r="J235" s="5" t="s">
        <v>6388</v>
      </c>
      <c r="K235" s="5" t="str">
        <f t="shared" si="7"/>
        <v>LPPLG</v>
      </c>
    </row>
    <row r="236" spans="1:11" s="53" customFormat="1" x14ac:dyDescent="0.25">
      <c r="A236" s="58" t="str">
        <f t="shared" si="6"/>
        <v>X PPLG 19</v>
      </c>
      <c r="B236" s="171">
        <f>COUNTIF(H$2:H236,H236)</f>
        <v>9</v>
      </c>
      <c r="C236" s="5">
        <f>'Baru NIS'!C236</f>
        <v>102519799</v>
      </c>
      <c r="D236" s="5" t="str">
        <f>'Baru NIS'!D236</f>
        <v>0098903113</v>
      </c>
      <c r="E236" s="5" t="str">
        <f>'Baru NIS'!E236</f>
        <v>102519799 /   0098903113</v>
      </c>
      <c r="F236" s="59" t="str">
        <f>'Baru NIS'!F236</f>
        <v>DAVIN MARITZA ALFARREZAL</v>
      </c>
      <c r="G236" s="5" t="str">
        <f>'Baru NIS'!G236</f>
        <v>L</v>
      </c>
      <c r="H236" s="5" t="str">
        <f>'Baru NIS'!H236</f>
        <v>X PPLG 1</v>
      </c>
      <c r="I236" s="5" t="s">
        <v>6387</v>
      </c>
      <c r="J236" s="5" t="s">
        <v>6388</v>
      </c>
      <c r="K236" s="5" t="str">
        <f t="shared" si="7"/>
        <v>LPPLG</v>
      </c>
    </row>
    <row r="237" spans="1:11" s="53" customFormat="1" x14ac:dyDescent="0.25">
      <c r="A237" s="58" t="str">
        <f t="shared" si="6"/>
        <v>X PPLG 110</v>
      </c>
      <c r="B237" s="171">
        <f>COUNTIF(H$2:H237,H237)</f>
        <v>10</v>
      </c>
      <c r="C237" s="5">
        <f>'Baru NIS'!C237</f>
        <v>102519800</v>
      </c>
      <c r="D237" s="5" t="str">
        <f>'Baru NIS'!D237</f>
        <v>0099800442</v>
      </c>
      <c r="E237" s="5" t="str">
        <f>'Baru NIS'!E237</f>
        <v>102519800 /   0099800442</v>
      </c>
      <c r="F237" s="59" t="str">
        <f>'Baru NIS'!F237</f>
        <v>DIEGI GINANDI</v>
      </c>
      <c r="G237" s="5" t="str">
        <f>'Baru NIS'!G237</f>
        <v>L</v>
      </c>
      <c r="H237" s="5" t="str">
        <f>'Baru NIS'!H237</f>
        <v>X PPLG 1</v>
      </c>
      <c r="I237" s="5" t="s">
        <v>6387</v>
      </c>
      <c r="J237" s="5" t="s">
        <v>6388</v>
      </c>
      <c r="K237" s="5" t="str">
        <f t="shared" si="7"/>
        <v>LPPLG</v>
      </c>
    </row>
    <row r="238" spans="1:11" s="53" customFormat="1" x14ac:dyDescent="0.25">
      <c r="A238" s="58" t="str">
        <f t="shared" si="6"/>
        <v>X PPLG 111</v>
      </c>
      <c r="B238" s="171">
        <f>COUNTIF(H$2:H238,H238)</f>
        <v>11</v>
      </c>
      <c r="C238" s="5">
        <f>'Baru NIS'!C238</f>
        <v>102519801</v>
      </c>
      <c r="D238" s="5" t="str">
        <f>'Baru NIS'!D238</f>
        <v>0109717656</v>
      </c>
      <c r="E238" s="5" t="str">
        <f>'Baru NIS'!E238</f>
        <v>102519801 /   0109717656</v>
      </c>
      <c r="F238" s="59" t="str">
        <f>'Baru NIS'!F238</f>
        <v>FADHIL RAMADHAN</v>
      </c>
      <c r="G238" s="5" t="str">
        <f>'Baru NIS'!G238</f>
        <v>L</v>
      </c>
      <c r="H238" s="5" t="str">
        <f>'Baru NIS'!H238</f>
        <v>X PPLG 1</v>
      </c>
      <c r="I238" s="5" t="s">
        <v>6387</v>
      </c>
      <c r="J238" s="5" t="s">
        <v>6388</v>
      </c>
      <c r="K238" s="5" t="str">
        <f t="shared" si="7"/>
        <v>LPPLG</v>
      </c>
    </row>
    <row r="239" spans="1:11" s="53" customFormat="1" x14ac:dyDescent="0.25">
      <c r="A239" s="58" t="str">
        <f t="shared" si="6"/>
        <v>X PPLG 112</v>
      </c>
      <c r="B239" s="171">
        <f>COUNTIF(H$2:H239,H239)</f>
        <v>12</v>
      </c>
      <c r="C239" s="5">
        <f>'Baru NIS'!C239</f>
        <v>102519802</v>
      </c>
      <c r="D239" s="5" t="str">
        <f>'Baru NIS'!D239</f>
        <v>0095990005</v>
      </c>
      <c r="E239" s="5" t="str">
        <f>'Baru NIS'!E239</f>
        <v>102519802 /   0095990005</v>
      </c>
      <c r="F239" s="59" t="str">
        <f>'Baru NIS'!F239</f>
        <v>FADLI ALIFA FIRDAUS</v>
      </c>
      <c r="G239" s="5" t="str">
        <f>'Baru NIS'!G239</f>
        <v>L</v>
      </c>
      <c r="H239" s="5" t="str">
        <f>'Baru NIS'!H239</f>
        <v>X PPLG 1</v>
      </c>
      <c r="I239" s="5" t="s">
        <v>6387</v>
      </c>
      <c r="J239" s="5" t="s">
        <v>6388</v>
      </c>
      <c r="K239" s="5" t="str">
        <f t="shared" si="7"/>
        <v>LPPLG</v>
      </c>
    </row>
    <row r="240" spans="1:11" s="53" customFormat="1" x14ac:dyDescent="0.25">
      <c r="A240" s="58" t="str">
        <f t="shared" si="6"/>
        <v>X PPLG 113</v>
      </c>
      <c r="B240" s="171">
        <f>COUNTIF(H$2:H240,H240)</f>
        <v>13</v>
      </c>
      <c r="C240" s="5">
        <f>'Baru NIS'!C240</f>
        <v>102519803</v>
      </c>
      <c r="D240" s="5" t="str">
        <f>'Baru NIS'!D240</f>
        <v>0107369851</v>
      </c>
      <c r="E240" s="5" t="str">
        <f>'Baru NIS'!E240</f>
        <v>102519803 /   0107369851</v>
      </c>
      <c r="F240" s="59" t="str">
        <f>'Baru NIS'!F240</f>
        <v>FARRAS NAUFAL</v>
      </c>
      <c r="G240" s="5" t="str">
        <f>'Baru NIS'!G240</f>
        <v>L</v>
      </c>
      <c r="H240" s="5" t="str">
        <f>'Baru NIS'!H240</f>
        <v>X PPLG 1</v>
      </c>
      <c r="I240" s="5" t="s">
        <v>6387</v>
      </c>
      <c r="J240" s="5" t="s">
        <v>6388</v>
      </c>
      <c r="K240" s="5" t="str">
        <f t="shared" si="7"/>
        <v>LPPLG</v>
      </c>
    </row>
    <row r="241" spans="1:11" s="53" customFormat="1" x14ac:dyDescent="0.25">
      <c r="A241" s="58" t="str">
        <f t="shared" si="6"/>
        <v>X PPLG 114</v>
      </c>
      <c r="B241" s="171">
        <f>COUNTIF(H$2:H241,H241)</f>
        <v>14</v>
      </c>
      <c r="C241" s="5">
        <f>'Baru NIS'!C241</f>
        <v>102519804</v>
      </c>
      <c r="D241" s="5" t="str">
        <f>'Baru NIS'!D241</f>
        <v>0107353582</v>
      </c>
      <c r="E241" s="5" t="str">
        <f>'Baru NIS'!E241</f>
        <v>102519804 /   0107353582</v>
      </c>
      <c r="F241" s="59" t="str">
        <f>'Baru NIS'!F241</f>
        <v>GALEN GHUFRON WIBOWO</v>
      </c>
      <c r="G241" s="5" t="str">
        <f>'Baru NIS'!G241</f>
        <v>L</v>
      </c>
      <c r="H241" s="5" t="str">
        <f>'Baru NIS'!H241</f>
        <v>X PPLG 1</v>
      </c>
      <c r="I241" s="5" t="s">
        <v>6387</v>
      </c>
      <c r="J241" s="5" t="s">
        <v>6388</v>
      </c>
      <c r="K241" s="5" t="str">
        <f t="shared" si="7"/>
        <v>LPPLG</v>
      </c>
    </row>
    <row r="242" spans="1:11" s="53" customFormat="1" x14ac:dyDescent="0.25">
      <c r="A242" s="58" t="str">
        <f t="shared" si="6"/>
        <v>X PPLG 115</v>
      </c>
      <c r="B242" s="171">
        <f>COUNTIF(H$2:H242,H242)</f>
        <v>15</v>
      </c>
      <c r="C242" s="5">
        <f>'Baru NIS'!C242</f>
        <v>102519805</v>
      </c>
      <c r="D242" s="5" t="str">
        <f>'Baru NIS'!D242</f>
        <v>0105925296</v>
      </c>
      <c r="E242" s="5" t="str">
        <f>'Baru NIS'!E242</f>
        <v>102519805 /   0105925296</v>
      </c>
      <c r="F242" s="59" t="str">
        <f>'Baru NIS'!F242</f>
        <v>GERALDO ZEYYAD VYMANDA</v>
      </c>
      <c r="G242" s="5" t="str">
        <f>'Baru NIS'!G242</f>
        <v>L</v>
      </c>
      <c r="H242" s="5" t="str">
        <f>'Baru NIS'!H242</f>
        <v>X PPLG 1</v>
      </c>
      <c r="I242" s="5" t="s">
        <v>6387</v>
      </c>
      <c r="J242" s="5" t="s">
        <v>6388</v>
      </c>
      <c r="K242" s="5" t="str">
        <f t="shared" si="7"/>
        <v>LPPLG</v>
      </c>
    </row>
    <row r="243" spans="1:11" s="53" customFormat="1" x14ac:dyDescent="0.25">
      <c r="A243" s="58" t="str">
        <f t="shared" si="6"/>
        <v>X PPLG 116</v>
      </c>
      <c r="B243" s="171">
        <f>COUNTIF(H$2:H243,H243)</f>
        <v>16</v>
      </c>
      <c r="C243" s="5">
        <f>'Baru NIS'!C243</f>
        <v>102519806</v>
      </c>
      <c r="D243" s="5" t="str">
        <f>'Baru NIS'!D243</f>
        <v>0103951786</v>
      </c>
      <c r="E243" s="5" t="str">
        <f>'Baru NIS'!E243</f>
        <v>102519806 /   0103951786</v>
      </c>
      <c r="F243" s="59" t="str">
        <f>'Baru NIS'!F243</f>
        <v>HAZIQ MUHAMMAD RASYDAN</v>
      </c>
      <c r="G243" s="5" t="str">
        <f>'Baru NIS'!G243</f>
        <v>L</v>
      </c>
      <c r="H243" s="5" t="str">
        <f>'Baru NIS'!H243</f>
        <v>X PPLG 1</v>
      </c>
      <c r="I243" s="5" t="s">
        <v>6387</v>
      </c>
      <c r="J243" s="5" t="s">
        <v>6388</v>
      </c>
      <c r="K243" s="5" t="str">
        <f t="shared" si="7"/>
        <v>LPPLG</v>
      </c>
    </row>
    <row r="244" spans="1:11" s="53" customFormat="1" x14ac:dyDescent="0.25">
      <c r="A244" s="58" t="str">
        <f t="shared" si="6"/>
        <v>X PPLG 117</v>
      </c>
      <c r="B244" s="171">
        <f>COUNTIF(H$2:H244,H244)</f>
        <v>17</v>
      </c>
      <c r="C244" s="5">
        <f>'Baru NIS'!C244</f>
        <v>102519807</v>
      </c>
      <c r="D244" s="5" t="str">
        <f>'Baru NIS'!D244</f>
        <v>0091472362</v>
      </c>
      <c r="E244" s="5" t="str">
        <f>'Baru NIS'!E244</f>
        <v>102519807 /   0091472362</v>
      </c>
      <c r="F244" s="59" t="str">
        <f>'Baru NIS'!F244</f>
        <v>IMAM MAULANA ASHIDIQ</v>
      </c>
      <c r="G244" s="5" t="str">
        <f>'Baru NIS'!G244</f>
        <v>L</v>
      </c>
      <c r="H244" s="5" t="str">
        <f>'Baru NIS'!H244</f>
        <v>X PPLG 1</v>
      </c>
      <c r="I244" s="5" t="s">
        <v>6387</v>
      </c>
      <c r="J244" s="5" t="s">
        <v>6388</v>
      </c>
      <c r="K244" s="5" t="str">
        <f t="shared" si="7"/>
        <v>LPPLG</v>
      </c>
    </row>
    <row r="245" spans="1:11" s="53" customFormat="1" x14ac:dyDescent="0.25">
      <c r="A245" s="58" t="str">
        <f t="shared" si="6"/>
        <v>X PPLG 118</v>
      </c>
      <c r="B245" s="171">
        <f>COUNTIF(H$2:H245,H245)</f>
        <v>18</v>
      </c>
      <c r="C245" s="5">
        <f>'Baru NIS'!C245</f>
        <v>102519808</v>
      </c>
      <c r="D245" s="5" t="str">
        <f>'Baru NIS'!D245</f>
        <v>0101905600</v>
      </c>
      <c r="E245" s="5" t="str">
        <f>'Baru NIS'!E245</f>
        <v>102519808 /   0101905600</v>
      </c>
      <c r="F245" s="59" t="str">
        <f>'Baru NIS'!F245</f>
        <v>IRPAN ZAENAL MUTAQIN</v>
      </c>
      <c r="G245" s="5" t="str">
        <f>'Baru NIS'!G245</f>
        <v>L</v>
      </c>
      <c r="H245" s="5" t="str">
        <f>'Baru NIS'!H245</f>
        <v>X PPLG 1</v>
      </c>
      <c r="I245" s="5" t="s">
        <v>6387</v>
      </c>
      <c r="J245" s="5" t="s">
        <v>6388</v>
      </c>
      <c r="K245" s="5" t="str">
        <f t="shared" si="7"/>
        <v>LPPLG</v>
      </c>
    </row>
    <row r="246" spans="1:11" s="53" customFormat="1" x14ac:dyDescent="0.25">
      <c r="A246" s="58" t="str">
        <f t="shared" si="6"/>
        <v>X PPLG 119</v>
      </c>
      <c r="B246" s="171">
        <f>COUNTIF(H$2:H246,H246)</f>
        <v>19</v>
      </c>
      <c r="C246" s="5">
        <f>'Baru NIS'!C246</f>
        <v>102519809</v>
      </c>
      <c r="D246" s="5" t="str">
        <f>'Baru NIS'!D246</f>
        <v>0098413276</v>
      </c>
      <c r="E246" s="5" t="str">
        <f>'Baru NIS'!E246</f>
        <v>102519809 /   0098413276</v>
      </c>
      <c r="F246" s="59" t="str">
        <f>'Baru NIS'!F246</f>
        <v>JAELANI IRSYAD</v>
      </c>
      <c r="G246" s="5" t="str">
        <f>'Baru NIS'!G246</f>
        <v>L</v>
      </c>
      <c r="H246" s="5" t="str">
        <f>'Baru NIS'!H246</f>
        <v>X PPLG 1</v>
      </c>
      <c r="I246" s="5" t="s">
        <v>6387</v>
      </c>
      <c r="J246" s="5" t="s">
        <v>6388</v>
      </c>
      <c r="K246" s="5" t="str">
        <f t="shared" si="7"/>
        <v>LPPLG</v>
      </c>
    </row>
    <row r="247" spans="1:11" s="53" customFormat="1" x14ac:dyDescent="0.25">
      <c r="A247" s="58" t="str">
        <f t="shared" si="6"/>
        <v>X PPLG 120</v>
      </c>
      <c r="B247" s="171">
        <f>COUNTIF(H$2:H247,H247)</f>
        <v>20</v>
      </c>
      <c r="C247" s="5">
        <f>'Baru NIS'!C247</f>
        <v>102519810</v>
      </c>
      <c r="D247" s="5" t="str">
        <f>'Baru NIS'!D247</f>
        <v>0099804843</v>
      </c>
      <c r="E247" s="5" t="str">
        <f>'Baru NIS'!E247</f>
        <v>102519810 /   0099804843</v>
      </c>
      <c r="F247" s="59" t="str">
        <f>'Baru NIS'!F247</f>
        <v>JASMINE ZATHIRA</v>
      </c>
      <c r="G247" s="5" t="str">
        <f>'Baru NIS'!G247</f>
        <v>P</v>
      </c>
      <c r="H247" s="5" t="str">
        <f>'Baru NIS'!H247</f>
        <v>X PPLG 1</v>
      </c>
      <c r="I247" s="5" t="s">
        <v>6387</v>
      </c>
      <c r="J247" s="5" t="s">
        <v>6388</v>
      </c>
      <c r="K247" s="5" t="str">
        <f t="shared" si="7"/>
        <v>PPPLG</v>
      </c>
    </row>
    <row r="248" spans="1:11" s="53" customFormat="1" x14ac:dyDescent="0.25">
      <c r="A248" s="58" t="str">
        <f t="shared" si="6"/>
        <v>X PPLG 121</v>
      </c>
      <c r="B248" s="171">
        <f>COUNTIF(H$2:H248,H248)</f>
        <v>21</v>
      </c>
      <c r="C248" s="5">
        <f>'Baru NIS'!C248</f>
        <v>102519811</v>
      </c>
      <c r="D248" s="5" t="str">
        <f>'Baru NIS'!D248</f>
        <v>0093057019</v>
      </c>
      <c r="E248" s="5" t="str">
        <f>'Baru NIS'!E248</f>
        <v>102519811 /   0093057019</v>
      </c>
      <c r="F248" s="59" t="str">
        <f>'Baru NIS'!F248</f>
        <v>KABSYAH NAFISA FAHIRA</v>
      </c>
      <c r="G248" s="5" t="str">
        <f>'Baru NIS'!G248</f>
        <v>P</v>
      </c>
      <c r="H248" s="5" t="str">
        <f>'Baru NIS'!H248</f>
        <v>X PPLG 1</v>
      </c>
      <c r="I248" s="5" t="s">
        <v>6387</v>
      </c>
      <c r="J248" s="5" t="s">
        <v>6388</v>
      </c>
      <c r="K248" s="5" t="str">
        <f t="shared" si="7"/>
        <v>PPPLG</v>
      </c>
    </row>
    <row r="249" spans="1:11" s="53" customFormat="1" x14ac:dyDescent="0.25">
      <c r="A249" s="58" t="str">
        <f t="shared" si="6"/>
        <v>X PPLG 122</v>
      </c>
      <c r="B249" s="171">
        <f>COUNTIF(H$2:H249,H249)</f>
        <v>22</v>
      </c>
      <c r="C249" s="5">
        <f>'Baru NIS'!C249</f>
        <v>102519812</v>
      </c>
      <c r="D249" s="5" t="str">
        <f>'Baru NIS'!D249</f>
        <v>0102864629</v>
      </c>
      <c r="E249" s="5" t="str">
        <f>'Baru NIS'!E249</f>
        <v>102519812 /   0102864629</v>
      </c>
      <c r="F249" s="59" t="str">
        <f>'Baru NIS'!F249</f>
        <v>KIRANA AULIA PURNAMA</v>
      </c>
      <c r="G249" s="5" t="str">
        <f>'Baru NIS'!G249</f>
        <v>P</v>
      </c>
      <c r="H249" s="5" t="str">
        <f>'Baru NIS'!H249</f>
        <v>X PPLG 1</v>
      </c>
      <c r="I249" s="5" t="s">
        <v>6387</v>
      </c>
      <c r="J249" s="5" t="s">
        <v>6388</v>
      </c>
      <c r="K249" s="5" t="str">
        <f t="shared" si="7"/>
        <v>PPPLG</v>
      </c>
    </row>
    <row r="250" spans="1:11" s="53" customFormat="1" x14ac:dyDescent="0.25">
      <c r="A250" s="58" t="str">
        <f t="shared" si="6"/>
        <v>X PPLG 123</v>
      </c>
      <c r="B250" s="171">
        <f>COUNTIF(H$2:H250,H250)</f>
        <v>23</v>
      </c>
      <c r="C250" s="5">
        <f>'Baru NIS'!C250</f>
        <v>102519813</v>
      </c>
      <c r="D250" s="5" t="str">
        <f>'Baru NIS'!D250</f>
        <v>0097951199</v>
      </c>
      <c r="E250" s="5" t="str">
        <f>'Baru NIS'!E250</f>
        <v>102519813 /   0097951199</v>
      </c>
      <c r="F250" s="59" t="str">
        <f>'Baru NIS'!F250</f>
        <v>MARSHA DARA DEVANTI</v>
      </c>
      <c r="G250" s="5" t="str">
        <f>'Baru NIS'!G250</f>
        <v>P</v>
      </c>
      <c r="H250" s="5" t="str">
        <f>'Baru NIS'!H250</f>
        <v>X PPLG 1</v>
      </c>
      <c r="I250" s="5" t="s">
        <v>6387</v>
      </c>
      <c r="J250" s="5" t="s">
        <v>6388</v>
      </c>
      <c r="K250" s="5" t="str">
        <f t="shared" si="7"/>
        <v>PPPLG</v>
      </c>
    </row>
    <row r="251" spans="1:11" s="53" customFormat="1" x14ac:dyDescent="0.25">
      <c r="A251" s="58" t="str">
        <f t="shared" si="6"/>
        <v>X PPLG 124</v>
      </c>
      <c r="B251" s="171">
        <f>COUNTIF(H$2:H251,H251)</f>
        <v>24</v>
      </c>
      <c r="C251" s="5">
        <f>'Baru NIS'!C251</f>
        <v>102519814</v>
      </c>
      <c r="D251" s="5" t="str">
        <f>'Baru NIS'!D251</f>
        <v>0109998841</v>
      </c>
      <c r="E251" s="5" t="str">
        <f>'Baru NIS'!E251</f>
        <v>102519814 /   0109998841</v>
      </c>
      <c r="F251" s="59" t="str">
        <f>'Baru NIS'!F251</f>
        <v>MOCHAMAD ARIFFIN TRIANSYAH</v>
      </c>
      <c r="G251" s="5" t="str">
        <f>'Baru NIS'!G251</f>
        <v>L</v>
      </c>
      <c r="H251" s="5" t="str">
        <f>'Baru NIS'!H251</f>
        <v>X PPLG 1</v>
      </c>
      <c r="I251" s="5" t="s">
        <v>6387</v>
      </c>
      <c r="J251" s="5" t="s">
        <v>6388</v>
      </c>
      <c r="K251" s="5" t="str">
        <f t="shared" si="7"/>
        <v>LPPLG</v>
      </c>
    </row>
    <row r="252" spans="1:11" s="53" customFormat="1" x14ac:dyDescent="0.25">
      <c r="A252" s="58" t="str">
        <f t="shared" si="6"/>
        <v>X PPLG 125</v>
      </c>
      <c r="B252" s="171">
        <f>COUNTIF(H$2:H252,H252)</f>
        <v>25</v>
      </c>
      <c r="C252" s="5">
        <f>'Baru NIS'!C252</f>
        <v>102519815</v>
      </c>
      <c r="D252" s="5" t="str">
        <f>'Baru NIS'!D252</f>
        <v>0102152681</v>
      </c>
      <c r="E252" s="5" t="str">
        <f>'Baru NIS'!E252</f>
        <v>102519815 /   0102152681</v>
      </c>
      <c r="F252" s="59" t="str">
        <f>'Baru NIS'!F252</f>
        <v>MOCHAMMAD DZIKRI MAULIDINA</v>
      </c>
      <c r="G252" s="5" t="str">
        <f>'Baru NIS'!G252</f>
        <v>L</v>
      </c>
      <c r="H252" s="5" t="str">
        <f>'Baru NIS'!H252</f>
        <v>X PPLG 1</v>
      </c>
      <c r="I252" s="5" t="s">
        <v>6387</v>
      </c>
      <c r="J252" s="5" t="s">
        <v>6388</v>
      </c>
      <c r="K252" s="5" t="str">
        <f t="shared" si="7"/>
        <v>LPPLG</v>
      </c>
    </row>
    <row r="253" spans="1:11" s="53" customFormat="1" x14ac:dyDescent="0.25">
      <c r="A253" s="58" t="str">
        <f t="shared" si="6"/>
        <v>X PPLG 126</v>
      </c>
      <c r="B253" s="171">
        <f>COUNTIF(H$2:H253,H253)</f>
        <v>26</v>
      </c>
      <c r="C253" s="5">
        <f>'Baru NIS'!C253</f>
        <v>102519816</v>
      </c>
      <c r="D253" s="5">
        <f>'Baru NIS'!D253</f>
        <v>0</v>
      </c>
      <c r="E253" s="5" t="str">
        <f>'Baru NIS'!E253</f>
        <v>102519816 /   0</v>
      </c>
      <c r="F253" s="59" t="str">
        <f>'Baru NIS'!F253</f>
        <v>MUHAMAD FAKHRI</v>
      </c>
      <c r="G253" s="5" t="str">
        <f>'Baru NIS'!G253</f>
        <v>L</v>
      </c>
      <c r="H253" s="5" t="str">
        <f>'Baru NIS'!H253</f>
        <v>X PPLG 1</v>
      </c>
      <c r="I253" s="5" t="s">
        <v>6387</v>
      </c>
      <c r="J253" s="5" t="s">
        <v>6388</v>
      </c>
      <c r="K253" s="5" t="str">
        <f t="shared" si="7"/>
        <v>LPPLG</v>
      </c>
    </row>
    <row r="254" spans="1:11" s="53" customFormat="1" x14ac:dyDescent="0.25">
      <c r="A254" s="58" t="str">
        <f t="shared" si="6"/>
        <v>X PPLG 127</v>
      </c>
      <c r="B254" s="171">
        <f>COUNTIF(H$2:H254,H254)</f>
        <v>27</v>
      </c>
      <c r="C254" s="5">
        <f>'Baru NIS'!C254</f>
        <v>102519817</v>
      </c>
      <c r="D254" s="5" t="str">
        <f>'Baru NIS'!D254</f>
        <v>0096062278</v>
      </c>
      <c r="E254" s="5" t="str">
        <f>'Baru NIS'!E254</f>
        <v>102519817 /   0096062278</v>
      </c>
      <c r="F254" s="59" t="str">
        <f>'Baru NIS'!F254</f>
        <v>MUHAMAD RIDWAN AL FARIS</v>
      </c>
      <c r="G254" s="5" t="str">
        <f>'Baru NIS'!G254</f>
        <v>L</v>
      </c>
      <c r="H254" s="5" t="str">
        <f>'Baru NIS'!H254</f>
        <v>X PPLG 1</v>
      </c>
      <c r="I254" s="5" t="s">
        <v>6387</v>
      </c>
      <c r="J254" s="5" t="s">
        <v>6388</v>
      </c>
      <c r="K254" s="5" t="str">
        <f t="shared" si="7"/>
        <v>LPPLG</v>
      </c>
    </row>
    <row r="255" spans="1:11" s="53" customFormat="1" x14ac:dyDescent="0.25">
      <c r="A255" s="58" t="str">
        <f t="shared" si="6"/>
        <v>X PPLG 128</v>
      </c>
      <c r="B255" s="171">
        <f>COUNTIF(H$2:H255,H255)</f>
        <v>28</v>
      </c>
      <c r="C255" s="5">
        <f>'Baru NIS'!C255</f>
        <v>102519818</v>
      </c>
      <c r="D255" s="5" t="str">
        <f>'Baru NIS'!D255</f>
        <v>0101243698</v>
      </c>
      <c r="E255" s="5" t="str">
        <f>'Baru NIS'!E255</f>
        <v>102519818 /   0101243698</v>
      </c>
      <c r="F255" s="59" t="str">
        <f>'Baru NIS'!F255</f>
        <v>MUHAMMAD ALFI IQBRANI AKBAR</v>
      </c>
      <c r="G255" s="5" t="str">
        <f>'Baru NIS'!G255</f>
        <v>L</v>
      </c>
      <c r="H255" s="5" t="str">
        <f>'Baru NIS'!H255</f>
        <v>X PPLG 1</v>
      </c>
      <c r="I255" s="5" t="s">
        <v>6387</v>
      </c>
      <c r="J255" s="5" t="s">
        <v>6388</v>
      </c>
      <c r="K255" s="5" t="str">
        <f t="shared" si="7"/>
        <v>LPPLG</v>
      </c>
    </row>
    <row r="256" spans="1:11" s="53" customFormat="1" x14ac:dyDescent="0.25">
      <c r="A256" s="58" t="str">
        <f t="shared" si="6"/>
        <v>X PPLG 129</v>
      </c>
      <c r="B256" s="171">
        <f>COUNTIF(H$2:H256,H256)</f>
        <v>29</v>
      </c>
      <c r="C256" s="5">
        <f>'Baru NIS'!C256</f>
        <v>102519819</v>
      </c>
      <c r="D256" s="5" t="str">
        <f>'Baru NIS'!D256</f>
        <v>0096136410</v>
      </c>
      <c r="E256" s="5" t="str">
        <f>'Baru NIS'!E256</f>
        <v>102519819 /   0096136410</v>
      </c>
      <c r="F256" s="59" t="str">
        <f>'Baru NIS'!F256</f>
        <v>MUHAMMAD RAFFI ALI HUSEIN</v>
      </c>
      <c r="G256" s="5" t="str">
        <f>'Baru NIS'!G256</f>
        <v>L</v>
      </c>
      <c r="H256" s="5" t="str">
        <f>'Baru NIS'!H256</f>
        <v>X PPLG 1</v>
      </c>
      <c r="I256" s="5" t="s">
        <v>6387</v>
      </c>
      <c r="J256" s="5" t="s">
        <v>6388</v>
      </c>
      <c r="K256" s="5" t="str">
        <f t="shared" si="7"/>
        <v>LPPLG</v>
      </c>
    </row>
    <row r="257" spans="1:11" s="53" customFormat="1" x14ac:dyDescent="0.25">
      <c r="A257" s="58" t="str">
        <f t="shared" si="6"/>
        <v>X PPLG 130</v>
      </c>
      <c r="B257" s="171">
        <f>COUNTIF(H$2:H257,H257)</f>
        <v>30</v>
      </c>
      <c r="C257" s="5">
        <f>'Baru NIS'!C257</f>
        <v>102519820</v>
      </c>
      <c r="D257" s="5" t="str">
        <f>'Baru NIS'!D257</f>
        <v>0103794789</v>
      </c>
      <c r="E257" s="5" t="str">
        <f>'Baru NIS'!E257</f>
        <v>102519820 /   0103794789</v>
      </c>
      <c r="F257" s="59" t="str">
        <f>'Baru NIS'!F257</f>
        <v>MUHAMMAD SYABIL PUTRA FIRDAUS</v>
      </c>
      <c r="G257" s="5" t="str">
        <f>'Baru NIS'!G257</f>
        <v>L</v>
      </c>
      <c r="H257" s="5" t="str">
        <f>'Baru NIS'!H257</f>
        <v>X PPLG 1</v>
      </c>
      <c r="I257" s="5" t="s">
        <v>6387</v>
      </c>
      <c r="J257" s="5" t="s">
        <v>6388</v>
      </c>
      <c r="K257" s="5" t="str">
        <f t="shared" si="7"/>
        <v>LPPLG</v>
      </c>
    </row>
    <row r="258" spans="1:11" s="53" customFormat="1" x14ac:dyDescent="0.25">
      <c r="A258" s="58" t="str">
        <f t="shared" ref="A258:A321" si="8">H258&amp;B258</f>
        <v>X PPLG 131</v>
      </c>
      <c r="B258" s="171">
        <f>COUNTIF(H$2:H258,H258)</f>
        <v>31</v>
      </c>
      <c r="C258" s="5">
        <f>'Baru NIS'!C258</f>
        <v>102519821</v>
      </c>
      <c r="D258" s="5">
        <f>'Baru NIS'!D258</f>
        <v>0</v>
      </c>
      <c r="E258" s="5" t="str">
        <f>'Baru NIS'!E258</f>
        <v>102519821 /   0</v>
      </c>
      <c r="F258" s="59" t="str">
        <f>'Baru NIS'!F258</f>
        <v>MUHAMMAD ZAKI MUBAROK</v>
      </c>
      <c r="G258" s="5" t="str">
        <f>'Baru NIS'!G258</f>
        <v>L</v>
      </c>
      <c r="H258" s="5" t="str">
        <f>'Baru NIS'!H258</f>
        <v>X PPLG 1</v>
      </c>
      <c r="I258" s="5" t="s">
        <v>6387</v>
      </c>
      <c r="J258" s="5" t="s">
        <v>6388</v>
      </c>
      <c r="K258" s="5" t="str">
        <f t="shared" ref="K258:K321" si="9">G258&amp;J258</f>
        <v>LPPLG</v>
      </c>
    </row>
    <row r="259" spans="1:11" s="53" customFormat="1" x14ac:dyDescent="0.25">
      <c r="A259" s="58" t="str">
        <f t="shared" si="8"/>
        <v>X PPLG 132</v>
      </c>
      <c r="B259" s="171">
        <f>COUNTIF(H$2:H259,H259)</f>
        <v>32</v>
      </c>
      <c r="C259" s="5">
        <f>'Baru NIS'!C259</f>
        <v>102519822</v>
      </c>
      <c r="D259" s="5" t="str">
        <f>'Baru NIS'!D259</f>
        <v>0108630826</v>
      </c>
      <c r="E259" s="5" t="str">
        <f>'Baru NIS'!E259</f>
        <v>102519822 /   0108630826</v>
      </c>
      <c r="F259" s="59" t="str">
        <f>'Baru NIS'!F259</f>
        <v>MUJI KUSUMO PRIATMOJO</v>
      </c>
      <c r="G259" s="5" t="str">
        <f>'Baru NIS'!G259</f>
        <v>L</v>
      </c>
      <c r="H259" s="5" t="str">
        <f>'Baru NIS'!H259</f>
        <v>X PPLG 1</v>
      </c>
      <c r="I259" s="5" t="s">
        <v>6387</v>
      </c>
      <c r="J259" s="5" t="s">
        <v>6388</v>
      </c>
      <c r="K259" s="5" t="str">
        <f t="shared" si="9"/>
        <v>LPPLG</v>
      </c>
    </row>
    <row r="260" spans="1:11" s="53" customFormat="1" x14ac:dyDescent="0.25">
      <c r="A260" s="58" t="str">
        <f t="shared" si="8"/>
        <v>X PPLG 133</v>
      </c>
      <c r="B260" s="171">
        <f>COUNTIF(H$2:H260,H260)</f>
        <v>33</v>
      </c>
      <c r="C260" s="5">
        <f>'Baru NIS'!C260</f>
        <v>102519823</v>
      </c>
      <c r="D260" s="5" t="str">
        <f>'Baru NIS'!D260</f>
        <v>0109516613</v>
      </c>
      <c r="E260" s="5" t="str">
        <f>'Baru NIS'!E260</f>
        <v>102519823 /   0109516613</v>
      </c>
      <c r="F260" s="59" t="str">
        <f>'Baru NIS'!F260</f>
        <v>NAFEEZA NISA AULIA</v>
      </c>
      <c r="G260" s="5" t="str">
        <f>'Baru NIS'!G260</f>
        <v>P</v>
      </c>
      <c r="H260" s="5" t="str">
        <f>'Baru NIS'!H260</f>
        <v>X PPLG 1</v>
      </c>
      <c r="I260" s="5" t="s">
        <v>6387</v>
      </c>
      <c r="J260" s="5" t="s">
        <v>6388</v>
      </c>
      <c r="K260" s="5" t="str">
        <f t="shared" si="9"/>
        <v>PPPLG</v>
      </c>
    </row>
    <row r="261" spans="1:11" s="53" customFormat="1" x14ac:dyDescent="0.25">
      <c r="A261" s="58" t="str">
        <f t="shared" si="8"/>
        <v>X PPLG 134</v>
      </c>
      <c r="B261" s="171">
        <f>COUNTIF(H$2:H261,H261)</f>
        <v>34</v>
      </c>
      <c r="C261" s="5">
        <f>'Baru NIS'!C261</f>
        <v>102519824</v>
      </c>
      <c r="D261" s="5" t="str">
        <f>'Baru NIS'!D261</f>
        <v>0107251622</v>
      </c>
      <c r="E261" s="5" t="str">
        <f>'Baru NIS'!E261</f>
        <v>102519824 /   0107251622</v>
      </c>
      <c r="F261" s="59" t="str">
        <f>'Baru NIS'!F261</f>
        <v>NISRINA NABILA</v>
      </c>
      <c r="G261" s="5" t="str">
        <f>'Baru NIS'!G261</f>
        <v>P</v>
      </c>
      <c r="H261" s="5" t="str">
        <f>'Baru NIS'!H261</f>
        <v>X PPLG 1</v>
      </c>
      <c r="I261" s="5" t="s">
        <v>6387</v>
      </c>
      <c r="J261" s="5" t="s">
        <v>6388</v>
      </c>
      <c r="K261" s="5" t="str">
        <f t="shared" si="9"/>
        <v>PPPLG</v>
      </c>
    </row>
    <row r="262" spans="1:11" s="53" customFormat="1" x14ac:dyDescent="0.25">
      <c r="A262" s="58" t="str">
        <f t="shared" si="8"/>
        <v>X PPLG 135</v>
      </c>
      <c r="B262" s="171">
        <f>COUNTIF(H$2:H262,H262)</f>
        <v>35</v>
      </c>
      <c r="C262" s="5">
        <f>'Baru NIS'!C262</f>
        <v>102519825</v>
      </c>
      <c r="D262" s="5">
        <f>'Baru NIS'!D262</f>
        <v>0</v>
      </c>
      <c r="E262" s="5" t="str">
        <f>'Baru NIS'!E262</f>
        <v>102519825 /   0</v>
      </c>
      <c r="F262" s="59" t="str">
        <f>'Baru NIS'!F262</f>
        <v>RIDHO ARRAYAN AKBAR SIDIK</v>
      </c>
      <c r="G262" s="5" t="str">
        <f>'Baru NIS'!G262</f>
        <v>L</v>
      </c>
      <c r="H262" s="5" t="str">
        <f>'Baru NIS'!H262</f>
        <v>X PPLG 1</v>
      </c>
      <c r="I262" s="5" t="s">
        <v>6387</v>
      </c>
      <c r="J262" s="5" t="s">
        <v>6388</v>
      </c>
      <c r="K262" s="5" t="str">
        <f t="shared" si="9"/>
        <v>LPPLG</v>
      </c>
    </row>
    <row r="263" spans="1:11" s="53" customFormat="1" x14ac:dyDescent="0.25">
      <c r="A263" s="58" t="str">
        <f t="shared" si="8"/>
        <v>X PPLG 136</v>
      </c>
      <c r="B263" s="171">
        <f>COUNTIF(H$2:H263,H263)</f>
        <v>36</v>
      </c>
      <c r="C263" s="5">
        <f>'Baru NIS'!C263</f>
        <v>102519826</v>
      </c>
      <c r="D263" s="5" t="str">
        <f>'Baru NIS'!D263</f>
        <v>0102955102</v>
      </c>
      <c r="E263" s="5" t="str">
        <f>'Baru NIS'!E263</f>
        <v>102519826 /   0102955102</v>
      </c>
      <c r="F263" s="59" t="str">
        <f>'Baru NIS'!F263</f>
        <v>RIDHO ROBBANI AL-FARUQY</v>
      </c>
      <c r="G263" s="5" t="str">
        <f>'Baru NIS'!G263</f>
        <v>L</v>
      </c>
      <c r="H263" s="5" t="str">
        <f>'Baru NIS'!H263</f>
        <v>X PPLG 1</v>
      </c>
      <c r="I263" s="5" t="s">
        <v>6387</v>
      </c>
      <c r="J263" s="5" t="s">
        <v>6388</v>
      </c>
      <c r="K263" s="5" t="str">
        <f t="shared" si="9"/>
        <v>LPPLG</v>
      </c>
    </row>
    <row r="264" spans="1:11" s="53" customFormat="1" x14ac:dyDescent="0.25">
      <c r="A264" s="58" t="str">
        <f t="shared" si="8"/>
        <v>X PPLG 137</v>
      </c>
      <c r="B264" s="171">
        <f>COUNTIF(H$2:H264,H264)</f>
        <v>37</v>
      </c>
      <c r="C264" s="5">
        <f>'Baru NIS'!C264</f>
        <v>102519827</v>
      </c>
      <c r="D264" s="5" t="str">
        <f>'Baru NIS'!D264</f>
        <v>0105357476</v>
      </c>
      <c r="E264" s="5" t="str">
        <f>'Baru NIS'!E264</f>
        <v>102519827 /   0105357476</v>
      </c>
      <c r="F264" s="59" t="str">
        <f>'Baru NIS'!F264</f>
        <v>RIZAL DWI YANTO</v>
      </c>
      <c r="G264" s="5" t="str">
        <f>'Baru NIS'!G264</f>
        <v>L</v>
      </c>
      <c r="H264" s="5" t="str">
        <f>'Baru NIS'!H264</f>
        <v>X PPLG 1</v>
      </c>
      <c r="I264" s="5" t="s">
        <v>6387</v>
      </c>
      <c r="J264" s="5" t="s">
        <v>6388</v>
      </c>
      <c r="K264" s="5" t="str">
        <f t="shared" si="9"/>
        <v>LPPLG</v>
      </c>
    </row>
    <row r="265" spans="1:11" s="53" customFormat="1" x14ac:dyDescent="0.25">
      <c r="A265" s="58" t="str">
        <f t="shared" si="8"/>
        <v>X PPLG 138</v>
      </c>
      <c r="B265" s="171">
        <f>COUNTIF(H$2:H265,H265)</f>
        <v>38</v>
      </c>
      <c r="C265" s="5">
        <f>'Baru NIS'!C265</f>
        <v>102519828</v>
      </c>
      <c r="D265" s="5" t="str">
        <f>'Baru NIS'!D265</f>
        <v>3102754170</v>
      </c>
      <c r="E265" s="5" t="str">
        <f>'Baru NIS'!E265</f>
        <v>102519828 /   3102754170</v>
      </c>
      <c r="F265" s="59" t="str">
        <f>'Baru NIS'!F265</f>
        <v>RIZKY EKA SAPUTRA</v>
      </c>
      <c r="G265" s="5" t="str">
        <f>'Baru NIS'!G265</f>
        <v>L</v>
      </c>
      <c r="H265" s="5" t="str">
        <f>'Baru NIS'!H265</f>
        <v>X PPLG 1</v>
      </c>
      <c r="I265" s="5" t="s">
        <v>6387</v>
      </c>
      <c r="J265" s="5" t="s">
        <v>6388</v>
      </c>
      <c r="K265" s="5" t="str">
        <f t="shared" si="9"/>
        <v>LPPLG</v>
      </c>
    </row>
    <row r="266" spans="1:11" s="53" customFormat="1" x14ac:dyDescent="0.25">
      <c r="A266" s="58" t="str">
        <f t="shared" si="8"/>
        <v>X PPLG 139</v>
      </c>
      <c r="B266" s="171">
        <f>COUNTIF(H$2:H266,H266)</f>
        <v>39</v>
      </c>
      <c r="C266" s="5">
        <f>'Baru NIS'!C266</f>
        <v>102519829</v>
      </c>
      <c r="D266" s="5" t="str">
        <f>'Baru NIS'!D266</f>
        <v>0093838894</v>
      </c>
      <c r="E266" s="5" t="str">
        <f>'Baru NIS'!E266</f>
        <v>102519829 /   0093838894</v>
      </c>
      <c r="F266" s="59" t="str">
        <f>'Baru NIS'!F266</f>
        <v>SAFA NOVIANI</v>
      </c>
      <c r="G266" s="5" t="str">
        <f>'Baru NIS'!G266</f>
        <v>P</v>
      </c>
      <c r="H266" s="5" t="str">
        <f>'Baru NIS'!H266</f>
        <v>X PPLG 1</v>
      </c>
      <c r="I266" s="5" t="s">
        <v>6387</v>
      </c>
      <c r="J266" s="5" t="s">
        <v>6388</v>
      </c>
      <c r="K266" s="5" t="str">
        <f t="shared" si="9"/>
        <v>PPPLG</v>
      </c>
    </row>
    <row r="267" spans="1:11" s="53" customFormat="1" x14ac:dyDescent="0.25">
      <c r="A267" s="58" t="str">
        <f t="shared" si="8"/>
        <v>X PPLG 140</v>
      </c>
      <c r="B267" s="171">
        <f>COUNTIF(H$2:H267,H267)</f>
        <v>40</v>
      </c>
      <c r="C267" s="5">
        <f>'Baru NIS'!C267</f>
        <v>102519830</v>
      </c>
      <c r="D267" s="5">
        <f>'Baru NIS'!D267</f>
        <v>0</v>
      </c>
      <c r="E267" s="5" t="str">
        <f>'Baru NIS'!E267</f>
        <v>102519830 /   0</v>
      </c>
      <c r="F267" s="59" t="str">
        <f>'Baru NIS'!F267</f>
        <v>TAHTA DESTANA</v>
      </c>
      <c r="G267" s="5" t="str">
        <f>'Baru NIS'!G267</f>
        <v>L</v>
      </c>
      <c r="H267" s="5" t="str">
        <f>'Baru NIS'!H267</f>
        <v>X PPLG 1</v>
      </c>
      <c r="I267" s="5" t="s">
        <v>6387</v>
      </c>
      <c r="J267" s="5" t="s">
        <v>6388</v>
      </c>
      <c r="K267" s="5" t="str">
        <f t="shared" si="9"/>
        <v>LPPLG</v>
      </c>
    </row>
    <row r="268" spans="1:11" s="53" customFormat="1" x14ac:dyDescent="0.25">
      <c r="A268" s="58" t="str">
        <f t="shared" si="8"/>
        <v>X PPLG 21</v>
      </c>
      <c r="B268" s="171">
        <f>COUNTIF(H$2:H268,H268)</f>
        <v>1</v>
      </c>
      <c r="C268" s="5">
        <f>'Baru NIS'!C268</f>
        <v>102519751</v>
      </c>
      <c r="D268" s="5" t="str">
        <f>'Baru NIS'!D268</f>
        <v>0091025999</v>
      </c>
      <c r="E268" s="5" t="str">
        <f>'Baru NIS'!E268</f>
        <v>102519751 /   0091025999</v>
      </c>
      <c r="F268" s="59" t="str">
        <f>'Baru NIS'!F268</f>
        <v>ABIYASA DAMAI PUTRA</v>
      </c>
      <c r="G268" s="5" t="str">
        <f>'Baru NIS'!G268</f>
        <v>L</v>
      </c>
      <c r="H268" s="5" t="str">
        <f>'Baru NIS'!H268</f>
        <v>X PPLG 2</v>
      </c>
      <c r="I268" s="5" t="s">
        <v>6387</v>
      </c>
      <c r="J268" s="5" t="s">
        <v>6388</v>
      </c>
      <c r="K268" s="5" t="str">
        <f t="shared" si="9"/>
        <v>LPPLG</v>
      </c>
    </row>
    <row r="269" spans="1:11" s="53" customFormat="1" x14ac:dyDescent="0.25">
      <c r="A269" s="58" t="str">
        <f t="shared" si="8"/>
        <v>X PPLG 22</v>
      </c>
      <c r="B269" s="171">
        <f>COUNTIF(H$2:H269,H269)</f>
        <v>2</v>
      </c>
      <c r="C269" s="5">
        <f>'Baru NIS'!C269</f>
        <v>102519752</v>
      </c>
      <c r="D269" s="5" t="str">
        <f>'Baru NIS'!D269</f>
        <v>0104709617</v>
      </c>
      <c r="E269" s="5" t="str">
        <f>'Baru NIS'!E269</f>
        <v>102519752 /   0104709617</v>
      </c>
      <c r="F269" s="59" t="str">
        <f>'Baru NIS'!F269</f>
        <v>ADLI ZAIDAN AL HAKIM</v>
      </c>
      <c r="G269" s="5" t="str">
        <f>'Baru NIS'!G269</f>
        <v>L</v>
      </c>
      <c r="H269" s="5" t="str">
        <f>'Baru NIS'!H269</f>
        <v>X PPLG 2</v>
      </c>
      <c r="I269" s="5" t="s">
        <v>6387</v>
      </c>
      <c r="J269" s="5" t="s">
        <v>6388</v>
      </c>
      <c r="K269" s="5" t="str">
        <f t="shared" si="9"/>
        <v>LPPLG</v>
      </c>
    </row>
    <row r="270" spans="1:11" s="53" customFormat="1" x14ac:dyDescent="0.25">
      <c r="A270" s="58" t="str">
        <f t="shared" si="8"/>
        <v>X PPLG 23</v>
      </c>
      <c r="B270" s="171">
        <f>COUNTIF(H$2:H270,H270)</f>
        <v>3</v>
      </c>
      <c r="C270" s="5">
        <f>'Baru NIS'!C270</f>
        <v>102519753</v>
      </c>
      <c r="D270" s="5" t="str">
        <f>'Baru NIS'!D270</f>
        <v>0109154853</v>
      </c>
      <c r="E270" s="5" t="str">
        <f>'Baru NIS'!E270</f>
        <v>102519753 /   0109154853</v>
      </c>
      <c r="F270" s="59" t="str">
        <f>'Baru NIS'!F270</f>
        <v>ALIF ARYA SHODIKIN</v>
      </c>
      <c r="G270" s="5" t="str">
        <f>'Baru NIS'!G270</f>
        <v>L</v>
      </c>
      <c r="H270" s="5" t="str">
        <f>'Baru NIS'!H270</f>
        <v>X PPLG 2</v>
      </c>
      <c r="I270" s="5" t="s">
        <v>6387</v>
      </c>
      <c r="J270" s="5" t="s">
        <v>6388</v>
      </c>
      <c r="K270" s="5" t="str">
        <f t="shared" si="9"/>
        <v>LPPLG</v>
      </c>
    </row>
    <row r="271" spans="1:11" s="53" customFormat="1" x14ac:dyDescent="0.25">
      <c r="A271" s="58" t="str">
        <f t="shared" si="8"/>
        <v>X PPLG 24</v>
      </c>
      <c r="B271" s="171">
        <f>COUNTIF(H$2:H271,H271)</f>
        <v>4</v>
      </c>
      <c r="C271" s="5">
        <f>'Baru NIS'!C271</f>
        <v>102519754</v>
      </c>
      <c r="D271" s="5" t="str">
        <f>'Baru NIS'!D271</f>
        <v>0107497597</v>
      </c>
      <c r="E271" s="5" t="str">
        <f>'Baru NIS'!E271</f>
        <v>102519754 /   0107497597</v>
      </c>
      <c r="F271" s="59" t="str">
        <f>'Baru NIS'!F271</f>
        <v>ANNISA PUTRI AULIA</v>
      </c>
      <c r="G271" s="5" t="str">
        <f>'Baru NIS'!G271</f>
        <v>P</v>
      </c>
      <c r="H271" s="5" t="str">
        <f>'Baru NIS'!H271</f>
        <v>X PPLG 2</v>
      </c>
      <c r="I271" s="5" t="s">
        <v>6387</v>
      </c>
      <c r="J271" s="5" t="s">
        <v>6388</v>
      </c>
      <c r="K271" s="5" t="str">
        <f t="shared" si="9"/>
        <v>PPPLG</v>
      </c>
    </row>
    <row r="272" spans="1:11" s="53" customFormat="1" x14ac:dyDescent="0.25">
      <c r="A272" s="58" t="str">
        <f t="shared" si="8"/>
        <v>X PPLG 25</v>
      </c>
      <c r="B272" s="171">
        <f>COUNTIF(H$2:H272,H272)</f>
        <v>5</v>
      </c>
      <c r="C272" s="5">
        <f>'Baru NIS'!C272</f>
        <v>102519755</v>
      </c>
      <c r="D272" s="5" t="str">
        <f>'Baru NIS'!D272</f>
        <v>0107715114</v>
      </c>
      <c r="E272" s="5" t="str">
        <f>'Baru NIS'!E272</f>
        <v>102519755 /   0107715114</v>
      </c>
      <c r="F272" s="59" t="str">
        <f>'Baru NIS'!F272</f>
        <v>AZ ZAHIR THORIQ SHIDQI</v>
      </c>
      <c r="G272" s="5" t="str">
        <f>'Baru NIS'!G272</f>
        <v>L</v>
      </c>
      <c r="H272" s="5" t="str">
        <f>'Baru NIS'!H272</f>
        <v>X PPLG 2</v>
      </c>
      <c r="I272" s="5" t="s">
        <v>6387</v>
      </c>
      <c r="J272" s="5" t="s">
        <v>6388</v>
      </c>
      <c r="K272" s="5" t="str">
        <f t="shared" si="9"/>
        <v>LPPLG</v>
      </c>
    </row>
    <row r="273" spans="1:11" s="53" customFormat="1" x14ac:dyDescent="0.25">
      <c r="A273" s="58" t="str">
        <f t="shared" si="8"/>
        <v>X PPLG 26</v>
      </c>
      <c r="B273" s="171">
        <f>COUNTIF(H$2:H273,H273)</f>
        <v>6</v>
      </c>
      <c r="C273" s="5">
        <f>'Baru NIS'!C273</f>
        <v>102519756</v>
      </c>
      <c r="D273" s="5" t="str">
        <f>'Baru NIS'!D273</f>
        <v>0108333408</v>
      </c>
      <c r="E273" s="5" t="str">
        <f>'Baru NIS'!E273</f>
        <v>102519756 /   0108333408</v>
      </c>
      <c r="F273" s="59" t="str">
        <f>'Baru NIS'!F273</f>
        <v>AZMI RAFI RABBANI</v>
      </c>
      <c r="G273" s="5" t="str">
        <f>'Baru NIS'!G273</f>
        <v>L</v>
      </c>
      <c r="H273" s="5" t="str">
        <f>'Baru NIS'!H273</f>
        <v>X PPLG 2</v>
      </c>
      <c r="I273" s="5" t="s">
        <v>6387</v>
      </c>
      <c r="J273" s="5" t="s">
        <v>6388</v>
      </c>
      <c r="K273" s="5" t="str">
        <f t="shared" si="9"/>
        <v>LPPLG</v>
      </c>
    </row>
    <row r="274" spans="1:11" s="53" customFormat="1" x14ac:dyDescent="0.25">
      <c r="A274" s="58" t="str">
        <f t="shared" si="8"/>
        <v>X PPLG 27</v>
      </c>
      <c r="B274" s="171">
        <f>COUNTIF(H$2:H274,H274)</f>
        <v>7</v>
      </c>
      <c r="C274" s="5">
        <f>'Baru NIS'!C274</f>
        <v>102519757</v>
      </c>
      <c r="D274" s="5" t="str">
        <f>'Baru NIS'!D274</f>
        <v>0093039102</v>
      </c>
      <c r="E274" s="5" t="str">
        <f>'Baru NIS'!E274</f>
        <v>102519757 /   0093039102</v>
      </c>
      <c r="F274" s="59" t="str">
        <f>'Baru NIS'!F274</f>
        <v>DINI NUR KOMALA SARI</v>
      </c>
      <c r="G274" s="5" t="str">
        <f>'Baru NIS'!G274</f>
        <v>P</v>
      </c>
      <c r="H274" s="5" t="str">
        <f>'Baru NIS'!H274</f>
        <v>X PPLG 2</v>
      </c>
      <c r="I274" s="5" t="s">
        <v>6387</v>
      </c>
      <c r="J274" s="5" t="s">
        <v>6388</v>
      </c>
      <c r="K274" s="5" t="str">
        <f t="shared" si="9"/>
        <v>PPPLG</v>
      </c>
    </row>
    <row r="275" spans="1:11" s="53" customFormat="1" x14ac:dyDescent="0.25">
      <c r="A275" s="58" t="str">
        <f t="shared" si="8"/>
        <v>X PPLG 28</v>
      </c>
      <c r="B275" s="171">
        <f>COUNTIF(H$2:H275,H275)</f>
        <v>8</v>
      </c>
      <c r="C275" s="5">
        <f>'Baru NIS'!C275</f>
        <v>102519758</v>
      </c>
      <c r="D275" s="5" t="str">
        <f>'Baru NIS'!D275</f>
        <v>0095506134</v>
      </c>
      <c r="E275" s="5" t="str">
        <f>'Baru NIS'!E275</f>
        <v>102519758 /   0095506134</v>
      </c>
      <c r="F275" s="59" t="str">
        <f>'Baru NIS'!F275</f>
        <v>DZAKWAN NUR KAMAL</v>
      </c>
      <c r="G275" s="5" t="str">
        <f>'Baru NIS'!G275</f>
        <v>L</v>
      </c>
      <c r="H275" s="5" t="str">
        <f>'Baru NIS'!H275</f>
        <v>X PPLG 2</v>
      </c>
      <c r="I275" s="5" t="s">
        <v>6387</v>
      </c>
      <c r="J275" s="5" t="s">
        <v>6388</v>
      </c>
      <c r="K275" s="5" t="str">
        <f t="shared" si="9"/>
        <v>LPPLG</v>
      </c>
    </row>
    <row r="276" spans="1:11" s="53" customFormat="1" x14ac:dyDescent="0.25">
      <c r="A276" s="58" t="str">
        <f t="shared" si="8"/>
        <v>X PPLG 29</v>
      </c>
      <c r="B276" s="171">
        <f>COUNTIF(H$2:H276,H276)</f>
        <v>9</v>
      </c>
      <c r="C276" s="5">
        <f>'Baru NIS'!C276</f>
        <v>102519759</v>
      </c>
      <c r="D276" s="5" t="str">
        <f>'Baru NIS'!D276</f>
        <v>0093439139</v>
      </c>
      <c r="E276" s="5" t="str">
        <f>'Baru NIS'!E276</f>
        <v>102519759 /   0093439139</v>
      </c>
      <c r="F276" s="59" t="str">
        <f>'Baru NIS'!F276</f>
        <v>EL REYVILLAN ALIFATHIRTA</v>
      </c>
      <c r="G276" s="5" t="str">
        <f>'Baru NIS'!G276</f>
        <v>L</v>
      </c>
      <c r="H276" s="5" t="str">
        <f>'Baru NIS'!H276</f>
        <v>X PPLG 2</v>
      </c>
      <c r="I276" s="5" t="s">
        <v>6387</v>
      </c>
      <c r="J276" s="5" t="s">
        <v>6388</v>
      </c>
      <c r="K276" s="5" t="str">
        <f t="shared" si="9"/>
        <v>LPPLG</v>
      </c>
    </row>
    <row r="277" spans="1:11" s="53" customFormat="1" x14ac:dyDescent="0.25">
      <c r="A277" s="58" t="str">
        <f t="shared" si="8"/>
        <v>X PPLG 210</v>
      </c>
      <c r="B277" s="171">
        <f>COUNTIF(H$2:H277,H277)</f>
        <v>10</v>
      </c>
      <c r="C277" s="5">
        <f>'Baru NIS'!C277</f>
        <v>102519760</v>
      </c>
      <c r="D277" s="5" t="str">
        <f>'Baru NIS'!D277</f>
        <v>0094825481</v>
      </c>
      <c r="E277" s="5" t="str">
        <f>'Baru NIS'!E277</f>
        <v>102519760 /   0094825481</v>
      </c>
      <c r="F277" s="59" t="str">
        <f>'Baru NIS'!F277</f>
        <v>FACHRY NUR RAMADHANI</v>
      </c>
      <c r="G277" s="5" t="str">
        <f>'Baru NIS'!G277</f>
        <v>L</v>
      </c>
      <c r="H277" s="5" t="str">
        <f>'Baru NIS'!H277</f>
        <v>X PPLG 2</v>
      </c>
      <c r="I277" s="5" t="s">
        <v>6387</v>
      </c>
      <c r="J277" s="5" t="s">
        <v>6388</v>
      </c>
      <c r="K277" s="5" t="str">
        <f t="shared" si="9"/>
        <v>LPPLG</v>
      </c>
    </row>
    <row r="278" spans="1:11" s="53" customFormat="1" x14ac:dyDescent="0.25">
      <c r="A278" s="58" t="str">
        <f t="shared" si="8"/>
        <v>X PPLG 211</v>
      </c>
      <c r="B278" s="171">
        <f>COUNTIF(H$2:H278,H278)</f>
        <v>11</v>
      </c>
      <c r="C278" s="5">
        <f>'Baru NIS'!C278</f>
        <v>102519761</v>
      </c>
      <c r="D278" s="5" t="str">
        <f>'Baru NIS'!D278</f>
        <v>0102001183</v>
      </c>
      <c r="E278" s="5" t="str">
        <f>'Baru NIS'!E278</f>
        <v>102519761 /   0102001183</v>
      </c>
      <c r="F278" s="59" t="str">
        <f>'Baru NIS'!F278</f>
        <v>FADIL MUHAMMAD ILHAM</v>
      </c>
      <c r="G278" s="5" t="str">
        <f>'Baru NIS'!G278</f>
        <v>L</v>
      </c>
      <c r="H278" s="5" t="str">
        <f>'Baru NIS'!H278</f>
        <v>X PPLG 2</v>
      </c>
      <c r="I278" s="5" t="s">
        <v>6387</v>
      </c>
      <c r="J278" s="5" t="s">
        <v>6388</v>
      </c>
      <c r="K278" s="5" t="str">
        <f t="shared" si="9"/>
        <v>LPPLG</v>
      </c>
    </row>
    <row r="279" spans="1:11" s="53" customFormat="1" x14ac:dyDescent="0.25">
      <c r="A279" s="58" t="str">
        <f t="shared" si="8"/>
        <v>X PPLG 212</v>
      </c>
      <c r="B279" s="171">
        <f>COUNTIF(H$2:H279,H279)</f>
        <v>12</v>
      </c>
      <c r="C279" s="5">
        <f>'Baru NIS'!C279</f>
        <v>102519762</v>
      </c>
      <c r="D279" s="5" t="str">
        <f>'Baru NIS'!D279</f>
        <v>0092718899</v>
      </c>
      <c r="E279" s="5" t="str">
        <f>'Baru NIS'!E279</f>
        <v>102519762 /   0092718899</v>
      </c>
      <c r="F279" s="59" t="str">
        <f>'Baru NIS'!F279</f>
        <v>FADLI TAUPIQ RAMDANI</v>
      </c>
      <c r="G279" s="5" t="str">
        <f>'Baru NIS'!G279</f>
        <v>L</v>
      </c>
      <c r="H279" s="5" t="str">
        <f>'Baru NIS'!H279</f>
        <v>X PPLG 2</v>
      </c>
      <c r="I279" s="5" t="s">
        <v>6387</v>
      </c>
      <c r="J279" s="5" t="s">
        <v>6388</v>
      </c>
      <c r="K279" s="5" t="str">
        <f t="shared" si="9"/>
        <v>LPPLG</v>
      </c>
    </row>
    <row r="280" spans="1:11" s="53" customFormat="1" x14ac:dyDescent="0.25">
      <c r="A280" s="58" t="str">
        <f t="shared" si="8"/>
        <v>X PPLG 213</v>
      </c>
      <c r="B280" s="171">
        <f>COUNTIF(H$2:H280,H280)</f>
        <v>13</v>
      </c>
      <c r="C280" s="5">
        <f>'Baru NIS'!C280</f>
        <v>102519763</v>
      </c>
      <c r="D280" s="5" t="str">
        <f>'Baru NIS'!D280</f>
        <v>0092511359</v>
      </c>
      <c r="E280" s="5" t="str">
        <f>'Baru NIS'!E280</f>
        <v>102519763 /   0092511359</v>
      </c>
      <c r="F280" s="59" t="str">
        <f>'Baru NIS'!F280</f>
        <v>FAHMI GHULAM HASANI RAMADHAN</v>
      </c>
      <c r="G280" s="5" t="str">
        <f>'Baru NIS'!G280</f>
        <v>L</v>
      </c>
      <c r="H280" s="5" t="str">
        <f>'Baru NIS'!H280</f>
        <v>X PPLG 2</v>
      </c>
      <c r="I280" s="5" t="s">
        <v>6387</v>
      </c>
      <c r="J280" s="5" t="s">
        <v>6388</v>
      </c>
      <c r="K280" s="5" t="str">
        <f t="shared" si="9"/>
        <v>LPPLG</v>
      </c>
    </row>
    <row r="281" spans="1:11" s="53" customFormat="1" x14ac:dyDescent="0.25">
      <c r="A281" s="58" t="str">
        <f t="shared" si="8"/>
        <v>X PPLG 214</v>
      </c>
      <c r="B281" s="171">
        <f>COUNTIF(H$2:H281,H281)</f>
        <v>14</v>
      </c>
      <c r="C281" s="5">
        <f>'Baru NIS'!C281</f>
        <v>102519764</v>
      </c>
      <c r="D281" s="5" t="str">
        <f>'Baru NIS'!D281</f>
        <v>0108898026</v>
      </c>
      <c r="E281" s="5" t="str">
        <f>'Baru NIS'!E281</f>
        <v>102519764 /   0108898026</v>
      </c>
      <c r="F281" s="59" t="str">
        <f>'Baru NIS'!F281</f>
        <v>IKHSAN ALFARIZQI AKBAR</v>
      </c>
      <c r="G281" s="5" t="str">
        <f>'Baru NIS'!G281</f>
        <v>L</v>
      </c>
      <c r="H281" s="5" t="str">
        <f>'Baru NIS'!H281</f>
        <v>X PPLG 2</v>
      </c>
      <c r="I281" s="5" t="s">
        <v>6387</v>
      </c>
      <c r="J281" s="5" t="s">
        <v>6388</v>
      </c>
      <c r="K281" s="5" t="str">
        <f t="shared" si="9"/>
        <v>LPPLG</v>
      </c>
    </row>
    <row r="282" spans="1:11" s="53" customFormat="1" x14ac:dyDescent="0.25">
      <c r="A282" s="58" t="str">
        <f t="shared" si="8"/>
        <v>X PPLG 215</v>
      </c>
      <c r="B282" s="171">
        <f>COUNTIF(H$2:H282,H282)</f>
        <v>15</v>
      </c>
      <c r="C282" s="5">
        <f>'Baru NIS'!C282</f>
        <v>102519765</v>
      </c>
      <c r="D282" s="5" t="str">
        <f>'Baru NIS'!D282</f>
        <v>0105574260</v>
      </c>
      <c r="E282" s="5" t="str">
        <f>'Baru NIS'!E282</f>
        <v>102519765 /   0105574260</v>
      </c>
      <c r="F282" s="59" t="str">
        <f>'Baru NIS'!F282</f>
        <v>ISNA MAYSULINAH ADZKIA</v>
      </c>
      <c r="G282" s="5" t="str">
        <f>'Baru NIS'!G282</f>
        <v>P</v>
      </c>
      <c r="H282" s="5" t="str">
        <f>'Baru NIS'!H282</f>
        <v>X PPLG 2</v>
      </c>
      <c r="I282" s="5" t="s">
        <v>6387</v>
      </c>
      <c r="J282" s="5" t="s">
        <v>6388</v>
      </c>
      <c r="K282" s="5" t="str">
        <f t="shared" si="9"/>
        <v>PPPLG</v>
      </c>
    </row>
    <row r="283" spans="1:11" s="53" customFormat="1" x14ac:dyDescent="0.25">
      <c r="A283" s="58" t="str">
        <f t="shared" si="8"/>
        <v>X PPLG 216</v>
      </c>
      <c r="B283" s="171">
        <f>COUNTIF(H$2:H283,H283)</f>
        <v>16</v>
      </c>
      <c r="C283" s="5">
        <f>'Baru NIS'!C283</f>
        <v>102519766</v>
      </c>
      <c r="D283" s="5" t="str">
        <f>'Baru NIS'!D283</f>
        <v>0097968137</v>
      </c>
      <c r="E283" s="5" t="str">
        <f>'Baru NIS'!E283</f>
        <v>102519766 /   0097968137</v>
      </c>
      <c r="F283" s="59" t="str">
        <f>'Baru NIS'!F283</f>
        <v>KALILA TANIA</v>
      </c>
      <c r="G283" s="5" t="str">
        <f>'Baru NIS'!G283</f>
        <v>P</v>
      </c>
      <c r="H283" s="5" t="str">
        <f>'Baru NIS'!H283</f>
        <v>X PPLG 2</v>
      </c>
      <c r="I283" s="5" t="s">
        <v>6387</v>
      </c>
      <c r="J283" s="5" t="s">
        <v>6388</v>
      </c>
      <c r="K283" s="5" t="str">
        <f t="shared" si="9"/>
        <v>PPPLG</v>
      </c>
    </row>
    <row r="284" spans="1:11" s="53" customFormat="1" x14ac:dyDescent="0.25">
      <c r="A284" s="58" t="str">
        <f t="shared" si="8"/>
        <v>X PPLG 217</v>
      </c>
      <c r="B284" s="171">
        <f>COUNTIF(H$2:H284,H284)</f>
        <v>17</v>
      </c>
      <c r="C284" s="5">
        <f>'Baru NIS'!C284</f>
        <v>102519767</v>
      </c>
      <c r="D284" s="5" t="str">
        <f>'Baru NIS'!D284</f>
        <v>0088196547</v>
      </c>
      <c r="E284" s="5" t="str">
        <f>'Baru NIS'!E284</f>
        <v>102519767 /   0088196547</v>
      </c>
      <c r="F284" s="59" t="str">
        <f>'Baru NIS'!F284</f>
        <v>KAUTSAR HABIEB HERWINDO</v>
      </c>
      <c r="G284" s="5" t="str">
        <f>'Baru NIS'!G284</f>
        <v>L</v>
      </c>
      <c r="H284" s="5" t="str">
        <f>'Baru NIS'!H284</f>
        <v>X PPLG 2</v>
      </c>
      <c r="I284" s="5" t="s">
        <v>6387</v>
      </c>
      <c r="J284" s="5" t="s">
        <v>6388</v>
      </c>
      <c r="K284" s="5" t="str">
        <f t="shared" si="9"/>
        <v>LPPLG</v>
      </c>
    </row>
    <row r="285" spans="1:11" s="53" customFormat="1" x14ac:dyDescent="0.25">
      <c r="A285" s="58" t="str">
        <f t="shared" si="8"/>
        <v>X PPLG 218</v>
      </c>
      <c r="B285" s="171">
        <f>COUNTIF(H$2:H285,H285)</f>
        <v>18</v>
      </c>
      <c r="C285" s="5">
        <f>'Baru NIS'!C285</f>
        <v>102519768</v>
      </c>
      <c r="D285" s="5" t="str">
        <f>'Baru NIS'!D285</f>
        <v>0101620356</v>
      </c>
      <c r="E285" s="5" t="str">
        <f>'Baru NIS'!E285</f>
        <v>102519768 /   0101620356</v>
      </c>
      <c r="F285" s="59" t="str">
        <f>'Baru NIS'!F285</f>
        <v>KHEIRA MAHAVIRA BACHRUM</v>
      </c>
      <c r="G285" s="5" t="str">
        <f>'Baru NIS'!G285</f>
        <v>P</v>
      </c>
      <c r="H285" s="5" t="str">
        <f>'Baru NIS'!H285</f>
        <v>X PPLG 2</v>
      </c>
      <c r="I285" s="5" t="s">
        <v>6387</v>
      </c>
      <c r="J285" s="5" t="s">
        <v>6388</v>
      </c>
      <c r="K285" s="5" t="str">
        <f t="shared" si="9"/>
        <v>PPPLG</v>
      </c>
    </row>
    <row r="286" spans="1:11" s="53" customFormat="1" x14ac:dyDescent="0.25">
      <c r="A286" s="58" t="str">
        <f t="shared" si="8"/>
        <v>X PPLG 219</v>
      </c>
      <c r="B286" s="171">
        <f>COUNTIF(H$2:H286,H286)</f>
        <v>19</v>
      </c>
      <c r="C286" s="5">
        <f>'Baru NIS'!C286</f>
        <v>102519769</v>
      </c>
      <c r="D286" s="5" t="str">
        <f>'Baru NIS'!D286</f>
        <v>0103724684</v>
      </c>
      <c r="E286" s="5" t="str">
        <f>'Baru NIS'!E286</f>
        <v>102519769 /   0103724684</v>
      </c>
      <c r="F286" s="59" t="str">
        <f>'Baru NIS'!F286</f>
        <v>MOCHAMAD DZAMAR MAULANA</v>
      </c>
      <c r="G286" s="5" t="str">
        <f>'Baru NIS'!G286</f>
        <v>L</v>
      </c>
      <c r="H286" s="5" t="str">
        <f>'Baru NIS'!H286</f>
        <v>X PPLG 2</v>
      </c>
      <c r="I286" s="5" t="s">
        <v>6387</v>
      </c>
      <c r="J286" s="5" t="s">
        <v>6388</v>
      </c>
      <c r="K286" s="5" t="str">
        <f t="shared" si="9"/>
        <v>LPPLG</v>
      </c>
    </row>
    <row r="287" spans="1:11" s="53" customFormat="1" x14ac:dyDescent="0.25">
      <c r="A287" s="58" t="str">
        <f t="shared" si="8"/>
        <v>X PPLG 220</v>
      </c>
      <c r="B287" s="171">
        <f>COUNTIF(H$2:H287,H287)</f>
        <v>20</v>
      </c>
      <c r="C287" s="5">
        <f>'Baru NIS'!C287</f>
        <v>102519770</v>
      </c>
      <c r="D287" s="5" t="str">
        <f>'Baru NIS'!D287</f>
        <v>0098942981</v>
      </c>
      <c r="E287" s="5" t="str">
        <f>'Baru NIS'!E287</f>
        <v>102519770 /   0098942981</v>
      </c>
      <c r="F287" s="59" t="str">
        <f>'Baru NIS'!F287</f>
        <v>MOCHAMAD RAFA LINTANG TUSTIADI</v>
      </c>
      <c r="G287" s="5" t="str">
        <f>'Baru NIS'!G287</f>
        <v>L</v>
      </c>
      <c r="H287" s="5" t="str">
        <f>'Baru NIS'!H287</f>
        <v>X PPLG 2</v>
      </c>
      <c r="I287" s="5" t="s">
        <v>6387</v>
      </c>
      <c r="J287" s="5" t="s">
        <v>6388</v>
      </c>
      <c r="K287" s="5" t="str">
        <f t="shared" si="9"/>
        <v>LPPLG</v>
      </c>
    </row>
    <row r="288" spans="1:11" s="53" customFormat="1" x14ac:dyDescent="0.25">
      <c r="A288" s="58" t="str">
        <f t="shared" si="8"/>
        <v>X PPLG 221</v>
      </c>
      <c r="B288" s="171">
        <f>COUNTIF(H$2:H288,H288)</f>
        <v>21</v>
      </c>
      <c r="C288" s="5">
        <f>'Baru NIS'!C288</f>
        <v>102519771</v>
      </c>
      <c r="D288" s="5" t="str">
        <f>'Baru NIS'!D288</f>
        <v>0106874805</v>
      </c>
      <c r="E288" s="5" t="str">
        <f>'Baru NIS'!E288</f>
        <v>102519771 /   0106874805</v>
      </c>
      <c r="F288" s="59" t="str">
        <f>'Baru NIS'!F288</f>
        <v>MUHAMAD SALMAN TSUBASA</v>
      </c>
      <c r="G288" s="5" t="str">
        <f>'Baru NIS'!G288</f>
        <v>L</v>
      </c>
      <c r="H288" s="5" t="str">
        <f>'Baru NIS'!H288</f>
        <v>X PPLG 2</v>
      </c>
      <c r="I288" s="5" t="s">
        <v>6387</v>
      </c>
      <c r="J288" s="5" t="s">
        <v>6388</v>
      </c>
      <c r="K288" s="5" t="str">
        <f t="shared" si="9"/>
        <v>LPPLG</v>
      </c>
    </row>
    <row r="289" spans="1:11" s="53" customFormat="1" x14ac:dyDescent="0.25">
      <c r="A289" s="58" t="str">
        <f t="shared" si="8"/>
        <v>X PPLG 222</v>
      </c>
      <c r="B289" s="171">
        <f>COUNTIF(H$2:H289,H289)</f>
        <v>22</v>
      </c>
      <c r="C289" s="5">
        <f>'Baru NIS'!C289</f>
        <v>102519772</v>
      </c>
      <c r="D289" s="5" t="str">
        <f>'Baru NIS'!D289</f>
        <v>0092044674</v>
      </c>
      <c r="E289" s="5" t="str">
        <f>'Baru NIS'!E289</f>
        <v>102519772 /   0092044674</v>
      </c>
      <c r="F289" s="59" t="str">
        <f>'Baru NIS'!F289</f>
        <v>MUHAMMAD RAIHAN AL MUNAWWAR</v>
      </c>
      <c r="G289" s="5" t="str">
        <f>'Baru NIS'!G289</f>
        <v>L</v>
      </c>
      <c r="H289" s="5" t="str">
        <f>'Baru NIS'!H289</f>
        <v>X PPLG 2</v>
      </c>
      <c r="I289" s="5" t="s">
        <v>6387</v>
      </c>
      <c r="J289" s="5" t="s">
        <v>6388</v>
      </c>
      <c r="K289" s="5" t="str">
        <f t="shared" si="9"/>
        <v>LPPLG</v>
      </c>
    </row>
    <row r="290" spans="1:11" s="53" customFormat="1" x14ac:dyDescent="0.25">
      <c r="A290" s="58" t="str">
        <f t="shared" si="8"/>
        <v>X PPLG 223</v>
      </c>
      <c r="B290" s="171">
        <f>COUNTIF(H$2:H290,H290)</f>
        <v>23</v>
      </c>
      <c r="C290" s="5">
        <f>'Baru NIS'!C290</f>
        <v>102519773</v>
      </c>
      <c r="D290" s="5" t="str">
        <f>'Baru NIS'!D290</f>
        <v>0096195659</v>
      </c>
      <c r="E290" s="5" t="str">
        <f>'Baru NIS'!E290</f>
        <v>102519773 /   0096195659</v>
      </c>
      <c r="F290" s="59" t="str">
        <f>'Baru NIS'!F290</f>
        <v>MUHAMMAD RA'UF WAFAIQ</v>
      </c>
      <c r="G290" s="5" t="str">
        <f>'Baru NIS'!G290</f>
        <v>L</v>
      </c>
      <c r="H290" s="5" t="str">
        <f>'Baru NIS'!H290</f>
        <v>X PPLG 2</v>
      </c>
      <c r="I290" s="5" t="s">
        <v>6387</v>
      </c>
      <c r="J290" s="5" t="s">
        <v>6388</v>
      </c>
      <c r="K290" s="5" t="str">
        <f t="shared" si="9"/>
        <v>LPPLG</v>
      </c>
    </row>
    <row r="291" spans="1:11" s="53" customFormat="1" x14ac:dyDescent="0.25">
      <c r="A291" s="58" t="str">
        <f t="shared" si="8"/>
        <v>X PPLG 224</v>
      </c>
      <c r="B291" s="171">
        <f>COUNTIF(H$2:H291,H291)</f>
        <v>24</v>
      </c>
      <c r="C291" s="5">
        <f>'Baru NIS'!C291</f>
        <v>102519774</v>
      </c>
      <c r="D291" s="5" t="str">
        <f>'Baru NIS'!D291</f>
        <v>0109548852</v>
      </c>
      <c r="E291" s="5" t="str">
        <f>'Baru NIS'!E291</f>
        <v>102519774 /   0109548852</v>
      </c>
      <c r="F291" s="59" t="str">
        <f>'Baru NIS'!F291</f>
        <v>MUHAMMAD WILDANSYAH</v>
      </c>
      <c r="G291" s="5" t="str">
        <f>'Baru NIS'!G291</f>
        <v>L</v>
      </c>
      <c r="H291" s="5" t="str">
        <f>'Baru NIS'!H291</f>
        <v>X PPLG 2</v>
      </c>
      <c r="I291" s="5" t="s">
        <v>6387</v>
      </c>
      <c r="J291" s="5" t="s">
        <v>6388</v>
      </c>
      <c r="K291" s="5" t="str">
        <f t="shared" si="9"/>
        <v>LPPLG</v>
      </c>
    </row>
    <row r="292" spans="1:11" s="53" customFormat="1" x14ac:dyDescent="0.25">
      <c r="A292" s="58" t="str">
        <f t="shared" si="8"/>
        <v>X PPLG 225</v>
      </c>
      <c r="B292" s="171">
        <f>COUNTIF(H$2:H292,H292)</f>
        <v>25</v>
      </c>
      <c r="C292" s="5">
        <f>'Baru NIS'!C292</f>
        <v>102519775</v>
      </c>
      <c r="D292" s="5">
        <f>'Baru NIS'!D292</f>
        <v>0</v>
      </c>
      <c r="E292" s="5" t="str">
        <f>'Baru NIS'!E292</f>
        <v>102519775 /   0</v>
      </c>
      <c r="F292" s="59" t="str">
        <f>'Baru NIS'!F292</f>
        <v>NABIL IBNU MUZAKKII</v>
      </c>
      <c r="G292" s="5" t="str">
        <f>'Baru NIS'!G292</f>
        <v>L</v>
      </c>
      <c r="H292" s="5" t="str">
        <f>'Baru NIS'!H292</f>
        <v>X PPLG 2</v>
      </c>
      <c r="I292" s="5" t="s">
        <v>6387</v>
      </c>
      <c r="J292" s="5" t="s">
        <v>6388</v>
      </c>
      <c r="K292" s="5" t="str">
        <f t="shared" si="9"/>
        <v>LPPLG</v>
      </c>
    </row>
    <row r="293" spans="1:11" s="53" customFormat="1" x14ac:dyDescent="0.25">
      <c r="A293" s="58" t="str">
        <f t="shared" si="8"/>
        <v>X PPLG 226</v>
      </c>
      <c r="B293" s="171">
        <f>COUNTIF(H$2:H293,H293)</f>
        <v>26</v>
      </c>
      <c r="C293" s="5">
        <f>'Baru NIS'!C293</f>
        <v>102519776</v>
      </c>
      <c r="D293" s="5">
        <f>'Baru NIS'!D293</f>
        <v>0</v>
      </c>
      <c r="E293" s="5" t="str">
        <f>'Baru NIS'!E293</f>
        <v>102519776 /   0</v>
      </c>
      <c r="F293" s="59" t="str">
        <f>'Baru NIS'!F293</f>
        <v>NADHIF RAKHA RESWARA</v>
      </c>
      <c r="G293" s="5" t="str">
        <f>'Baru NIS'!G293</f>
        <v>L</v>
      </c>
      <c r="H293" s="5" t="str">
        <f>'Baru NIS'!H293</f>
        <v>X PPLG 2</v>
      </c>
      <c r="I293" s="5" t="s">
        <v>6387</v>
      </c>
      <c r="J293" s="5" t="s">
        <v>6388</v>
      </c>
      <c r="K293" s="5" t="str">
        <f t="shared" si="9"/>
        <v>LPPLG</v>
      </c>
    </row>
    <row r="294" spans="1:11" s="53" customFormat="1" x14ac:dyDescent="0.25">
      <c r="A294" s="58" t="str">
        <f t="shared" si="8"/>
        <v>X PPLG 227</v>
      </c>
      <c r="B294" s="171">
        <f>COUNTIF(H$2:H294,H294)</f>
        <v>27</v>
      </c>
      <c r="C294" s="5">
        <f>'Baru NIS'!C294</f>
        <v>102519777</v>
      </c>
      <c r="D294" s="5" t="str">
        <f>'Baru NIS'!D294</f>
        <v>0091681036</v>
      </c>
      <c r="E294" s="5" t="str">
        <f>'Baru NIS'!E294</f>
        <v>102519777 /   0091681036</v>
      </c>
      <c r="F294" s="59" t="str">
        <f>'Baru NIS'!F294</f>
        <v>NAUFAL DAFFA MUSYAFA</v>
      </c>
      <c r="G294" s="5" t="str">
        <f>'Baru NIS'!G294</f>
        <v>L</v>
      </c>
      <c r="H294" s="5" t="str">
        <f>'Baru NIS'!H294</f>
        <v>X PPLG 2</v>
      </c>
      <c r="I294" s="5" t="s">
        <v>6387</v>
      </c>
      <c r="J294" s="5" t="s">
        <v>6388</v>
      </c>
      <c r="K294" s="5" t="str">
        <f t="shared" si="9"/>
        <v>LPPLG</v>
      </c>
    </row>
    <row r="295" spans="1:11" s="53" customFormat="1" x14ac:dyDescent="0.25">
      <c r="A295" s="58" t="str">
        <f t="shared" si="8"/>
        <v>X PPLG 228</v>
      </c>
      <c r="B295" s="171">
        <f>COUNTIF(H$2:H295,H295)</f>
        <v>28</v>
      </c>
      <c r="C295" s="5">
        <f>'Baru NIS'!C295</f>
        <v>102519778</v>
      </c>
      <c r="D295" s="5" t="str">
        <f>'Baru NIS'!D295</f>
        <v>0099264213</v>
      </c>
      <c r="E295" s="5" t="str">
        <f>'Baru NIS'!E295</f>
        <v>102519778 /   0099264213</v>
      </c>
      <c r="F295" s="59" t="str">
        <f>'Baru NIS'!F295</f>
        <v>RAFFA PUTRO WIBOWO</v>
      </c>
      <c r="G295" s="5" t="str">
        <f>'Baru NIS'!G295</f>
        <v>L</v>
      </c>
      <c r="H295" s="5" t="str">
        <f>'Baru NIS'!H295</f>
        <v>X PPLG 2</v>
      </c>
      <c r="I295" s="5" t="s">
        <v>6387</v>
      </c>
      <c r="J295" s="5" t="s">
        <v>6388</v>
      </c>
      <c r="K295" s="5" t="str">
        <f t="shared" si="9"/>
        <v>LPPLG</v>
      </c>
    </row>
    <row r="296" spans="1:11" s="53" customFormat="1" x14ac:dyDescent="0.25">
      <c r="A296" s="58" t="str">
        <f t="shared" si="8"/>
        <v>X PPLG 229</v>
      </c>
      <c r="B296" s="171">
        <f>COUNTIF(H$2:H296,H296)</f>
        <v>29</v>
      </c>
      <c r="C296" s="5">
        <f>'Baru NIS'!C296</f>
        <v>102519779</v>
      </c>
      <c r="D296" s="5" t="str">
        <f>'Baru NIS'!D296</f>
        <v>3091048269</v>
      </c>
      <c r="E296" s="5" t="str">
        <f>'Baru NIS'!E296</f>
        <v>102519779 /   3091048269</v>
      </c>
      <c r="F296" s="59" t="str">
        <f>'Baru NIS'!F296</f>
        <v>RAIHAN ZAKY ALMUTAWAKKIL</v>
      </c>
      <c r="G296" s="5" t="str">
        <f>'Baru NIS'!G296</f>
        <v>L</v>
      </c>
      <c r="H296" s="5" t="str">
        <f>'Baru NIS'!H296</f>
        <v>X PPLG 2</v>
      </c>
      <c r="I296" s="5" t="s">
        <v>6387</v>
      </c>
      <c r="J296" s="5" t="s">
        <v>6388</v>
      </c>
      <c r="K296" s="5" t="str">
        <f t="shared" si="9"/>
        <v>LPPLG</v>
      </c>
    </row>
    <row r="297" spans="1:11" s="53" customFormat="1" x14ac:dyDescent="0.25">
      <c r="A297" s="58" t="str">
        <f t="shared" si="8"/>
        <v>X PPLG 230</v>
      </c>
      <c r="B297" s="171">
        <f>COUNTIF(H$2:H297,H297)</f>
        <v>30</v>
      </c>
      <c r="C297" s="5">
        <f>'Baru NIS'!C297</f>
        <v>102519780</v>
      </c>
      <c r="D297" s="5" t="str">
        <f>'Baru NIS'!D297</f>
        <v>0094932950</v>
      </c>
      <c r="E297" s="5" t="str">
        <f>'Baru NIS'!E297</f>
        <v>102519780 /   0094932950</v>
      </c>
      <c r="F297" s="59" t="str">
        <f>'Baru NIS'!F297</f>
        <v>REZA PUTRA RAMADHANI</v>
      </c>
      <c r="G297" s="5" t="str">
        <f>'Baru NIS'!G297</f>
        <v>L</v>
      </c>
      <c r="H297" s="5" t="str">
        <f>'Baru NIS'!H297</f>
        <v>X PPLG 2</v>
      </c>
      <c r="I297" s="5" t="s">
        <v>6387</v>
      </c>
      <c r="J297" s="5" t="s">
        <v>6388</v>
      </c>
      <c r="K297" s="5" t="str">
        <f t="shared" si="9"/>
        <v>LPPLG</v>
      </c>
    </row>
    <row r="298" spans="1:11" s="53" customFormat="1" x14ac:dyDescent="0.25">
      <c r="A298" s="58" t="str">
        <f t="shared" si="8"/>
        <v>X PPLG 231</v>
      </c>
      <c r="B298" s="171">
        <f>COUNTIF(H$2:H298,H298)</f>
        <v>31</v>
      </c>
      <c r="C298" s="5">
        <f>'Baru NIS'!C298</f>
        <v>102519781</v>
      </c>
      <c r="D298" s="5" t="str">
        <f>'Baru NIS'!D298</f>
        <v>0094056401</v>
      </c>
      <c r="E298" s="5" t="str">
        <f>'Baru NIS'!E298</f>
        <v>102519781 /   0094056401</v>
      </c>
      <c r="F298" s="59" t="str">
        <f>'Baru NIS'!F298</f>
        <v>RIFQI ADITYA PASHA</v>
      </c>
      <c r="G298" s="5" t="str">
        <f>'Baru NIS'!G298</f>
        <v>L</v>
      </c>
      <c r="H298" s="5" t="str">
        <f>'Baru NIS'!H298</f>
        <v>X PPLG 2</v>
      </c>
      <c r="I298" s="5" t="s">
        <v>6387</v>
      </c>
      <c r="J298" s="5" t="s">
        <v>6388</v>
      </c>
      <c r="K298" s="5" t="str">
        <f t="shared" si="9"/>
        <v>LPPLG</v>
      </c>
    </row>
    <row r="299" spans="1:11" s="53" customFormat="1" x14ac:dyDescent="0.25">
      <c r="A299" s="58" t="str">
        <f t="shared" si="8"/>
        <v>X PPLG 232</v>
      </c>
      <c r="B299" s="171">
        <f>COUNTIF(H$2:H299,H299)</f>
        <v>32</v>
      </c>
      <c r="C299" s="5">
        <f>'Baru NIS'!C299</f>
        <v>102519782</v>
      </c>
      <c r="D299" s="5" t="str">
        <f>'Baru NIS'!D299</f>
        <v>0101537478</v>
      </c>
      <c r="E299" s="5" t="str">
        <f>'Baru NIS'!E299</f>
        <v>102519782 /   0101537478</v>
      </c>
      <c r="F299" s="59" t="str">
        <f>'Baru NIS'!F299</f>
        <v>RIZKY HIDAYAT</v>
      </c>
      <c r="G299" s="5" t="str">
        <f>'Baru NIS'!G299</f>
        <v>L</v>
      </c>
      <c r="H299" s="5" t="str">
        <f>'Baru NIS'!H299</f>
        <v>X PPLG 2</v>
      </c>
      <c r="I299" s="5" t="s">
        <v>6387</v>
      </c>
      <c r="J299" s="5" t="s">
        <v>6388</v>
      </c>
      <c r="K299" s="5" t="str">
        <f t="shared" si="9"/>
        <v>LPPLG</v>
      </c>
    </row>
    <row r="300" spans="1:11" s="53" customFormat="1" x14ac:dyDescent="0.25">
      <c r="A300" s="58" t="str">
        <f t="shared" si="8"/>
        <v>X PPLG 233</v>
      </c>
      <c r="B300" s="171">
        <f>COUNTIF(H$2:H300,H300)</f>
        <v>33</v>
      </c>
      <c r="C300" s="5">
        <f>'Baru NIS'!C300</f>
        <v>102519783</v>
      </c>
      <c r="D300" s="5" t="str">
        <f>'Baru NIS'!D300</f>
        <v>0095520032</v>
      </c>
      <c r="E300" s="5" t="str">
        <f>'Baru NIS'!E300</f>
        <v>102519783 /   0095520032</v>
      </c>
      <c r="F300" s="59" t="str">
        <f>'Baru NIS'!F300</f>
        <v>RYUGA ARDHATAMA ADZ ZIKRA</v>
      </c>
      <c r="G300" s="5" t="str">
        <f>'Baru NIS'!G300</f>
        <v>L</v>
      </c>
      <c r="H300" s="5" t="str">
        <f>'Baru NIS'!H300</f>
        <v>X PPLG 2</v>
      </c>
      <c r="I300" s="5" t="s">
        <v>6387</v>
      </c>
      <c r="J300" s="5" t="s">
        <v>6388</v>
      </c>
      <c r="K300" s="5" t="str">
        <f t="shared" si="9"/>
        <v>LPPLG</v>
      </c>
    </row>
    <row r="301" spans="1:11" s="53" customFormat="1" x14ac:dyDescent="0.25">
      <c r="A301" s="58" t="str">
        <f t="shared" si="8"/>
        <v>X PPLG 234</v>
      </c>
      <c r="B301" s="171">
        <f>COUNTIF(H$2:H301,H301)</f>
        <v>34</v>
      </c>
      <c r="C301" s="5">
        <f>'Baru NIS'!C301</f>
        <v>102519784</v>
      </c>
      <c r="D301" s="5" t="str">
        <f>'Baru NIS'!D301</f>
        <v>0102813162</v>
      </c>
      <c r="E301" s="5" t="str">
        <f>'Baru NIS'!E301</f>
        <v>102519784 /   0102813162</v>
      </c>
      <c r="F301" s="59" t="str">
        <f>'Baru NIS'!F301</f>
        <v>SEPTI NURI FITRIYANI</v>
      </c>
      <c r="G301" s="5" t="str">
        <f>'Baru NIS'!G301</f>
        <v>P</v>
      </c>
      <c r="H301" s="5" t="str">
        <f>'Baru NIS'!H301</f>
        <v>X PPLG 2</v>
      </c>
      <c r="I301" s="5" t="s">
        <v>6387</v>
      </c>
      <c r="J301" s="5" t="s">
        <v>6388</v>
      </c>
      <c r="K301" s="5" t="str">
        <f t="shared" si="9"/>
        <v>PPPLG</v>
      </c>
    </row>
    <row r="302" spans="1:11" s="53" customFormat="1" x14ac:dyDescent="0.25">
      <c r="A302" s="58" t="str">
        <f t="shared" si="8"/>
        <v>X PPLG 235</v>
      </c>
      <c r="B302" s="171">
        <f>COUNTIF(H$2:H302,H302)</f>
        <v>35</v>
      </c>
      <c r="C302" s="5">
        <f>'Baru NIS'!C302</f>
        <v>102519785</v>
      </c>
      <c r="D302" s="5" t="str">
        <f>'Baru NIS'!D302</f>
        <v>0107415563</v>
      </c>
      <c r="E302" s="5" t="str">
        <f>'Baru NIS'!E302</f>
        <v>102519785 /   0107415563</v>
      </c>
      <c r="F302" s="59" t="str">
        <f>'Baru NIS'!F302</f>
        <v>SHAKAYLA SHAHIA RACHMAN</v>
      </c>
      <c r="G302" s="5" t="str">
        <f>'Baru NIS'!G302</f>
        <v>P</v>
      </c>
      <c r="H302" s="5" t="str">
        <f>'Baru NIS'!H302</f>
        <v>X PPLG 2</v>
      </c>
      <c r="I302" s="5" t="s">
        <v>6387</v>
      </c>
      <c r="J302" s="5" t="s">
        <v>6388</v>
      </c>
      <c r="K302" s="5" t="str">
        <f t="shared" si="9"/>
        <v>PPPLG</v>
      </c>
    </row>
    <row r="303" spans="1:11" s="53" customFormat="1" x14ac:dyDescent="0.25">
      <c r="A303" s="58" t="str">
        <f t="shared" si="8"/>
        <v>X PPLG 236</v>
      </c>
      <c r="B303" s="171">
        <f>COUNTIF(H$2:H303,H303)</f>
        <v>36</v>
      </c>
      <c r="C303" s="5">
        <f>'Baru NIS'!C303</f>
        <v>102519786</v>
      </c>
      <c r="D303" s="5" t="str">
        <f>'Baru NIS'!D303</f>
        <v>0094299350</v>
      </c>
      <c r="E303" s="5" t="str">
        <f>'Baru NIS'!E303</f>
        <v>102519786 /   0094299350</v>
      </c>
      <c r="F303" s="59" t="str">
        <f>'Baru NIS'!F303</f>
        <v>SUSAN PUTRIYADI</v>
      </c>
      <c r="G303" s="5" t="str">
        <f>'Baru NIS'!G303</f>
        <v>P</v>
      </c>
      <c r="H303" s="5" t="str">
        <f>'Baru NIS'!H303</f>
        <v>X PPLG 2</v>
      </c>
      <c r="I303" s="5" t="s">
        <v>6387</v>
      </c>
      <c r="J303" s="5" t="s">
        <v>6388</v>
      </c>
      <c r="K303" s="5" t="str">
        <f t="shared" si="9"/>
        <v>PPPLG</v>
      </c>
    </row>
    <row r="304" spans="1:11" s="53" customFormat="1" x14ac:dyDescent="0.25">
      <c r="A304" s="58" t="str">
        <f t="shared" si="8"/>
        <v>X PPLG 237</v>
      </c>
      <c r="B304" s="171">
        <f>COUNTIF(H$2:H304,H304)</f>
        <v>37</v>
      </c>
      <c r="C304" s="5">
        <f>'Baru NIS'!C304</f>
        <v>102519787</v>
      </c>
      <c r="D304" s="5" t="str">
        <f>'Baru NIS'!D304</f>
        <v>0104233794</v>
      </c>
      <c r="E304" s="5" t="str">
        <f>'Baru NIS'!E304</f>
        <v>102519787 /   0104233794</v>
      </c>
      <c r="F304" s="59" t="str">
        <f>'Baru NIS'!F304</f>
        <v>TERRY SYAFIRA RAHMAWATI</v>
      </c>
      <c r="G304" s="5" t="str">
        <f>'Baru NIS'!G304</f>
        <v>P</v>
      </c>
      <c r="H304" s="5" t="str">
        <f>'Baru NIS'!H304</f>
        <v>X PPLG 2</v>
      </c>
      <c r="I304" s="5" t="s">
        <v>6387</v>
      </c>
      <c r="J304" s="5" t="s">
        <v>6388</v>
      </c>
      <c r="K304" s="5" t="str">
        <f t="shared" si="9"/>
        <v>PPPLG</v>
      </c>
    </row>
    <row r="305" spans="1:11" s="53" customFormat="1" x14ac:dyDescent="0.25">
      <c r="A305" s="58" t="str">
        <f>H305&amp;B305</f>
        <v>X PPLG 238</v>
      </c>
      <c r="B305" s="171">
        <f>COUNTIF(H$2:H305,H305)</f>
        <v>38</v>
      </c>
      <c r="C305" s="5">
        <f>'Baru NIS'!C305</f>
        <v>102519788</v>
      </c>
      <c r="D305" s="5">
        <f>'Baru NIS'!D305</f>
        <v>0</v>
      </c>
      <c r="E305" s="5" t="str">
        <f>'Baru NIS'!E305</f>
        <v>102519788 /   0</v>
      </c>
      <c r="F305" s="59" t="str">
        <f>'Baru NIS'!F305</f>
        <v>TRIO ALGI FACHRI</v>
      </c>
      <c r="G305" s="5" t="str">
        <f>'Baru NIS'!G305</f>
        <v>L</v>
      </c>
      <c r="H305" s="5" t="str">
        <f>'Baru NIS'!H305</f>
        <v>X PPLG 2</v>
      </c>
      <c r="I305" s="5" t="s">
        <v>6387</v>
      </c>
      <c r="J305" s="5" t="s">
        <v>6388</v>
      </c>
      <c r="K305" s="5" t="str">
        <f t="shared" si="9"/>
        <v>LPPLG</v>
      </c>
    </row>
    <row r="306" spans="1:11" s="53" customFormat="1" x14ac:dyDescent="0.25">
      <c r="A306" s="58" t="str">
        <f t="shared" si="8"/>
        <v>X PPLG 239</v>
      </c>
      <c r="B306" s="171">
        <f>COUNTIF(H$2:H306,H306)</f>
        <v>39</v>
      </c>
      <c r="C306" s="5">
        <f>'Baru NIS'!C306</f>
        <v>102519789</v>
      </c>
      <c r="D306" s="5" t="str">
        <f>'Baru NIS'!D306</f>
        <v>0101429912</v>
      </c>
      <c r="E306" s="5" t="str">
        <f>'Baru NIS'!E306</f>
        <v>102519789 /   0101429912</v>
      </c>
      <c r="F306" s="59" t="str">
        <f>'Baru NIS'!F306</f>
        <v>VIZZYA PUTRI RACHMAYANTI</v>
      </c>
      <c r="G306" s="5" t="str">
        <f>'Baru NIS'!G306</f>
        <v>P</v>
      </c>
      <c r="H306" s="5" t="str">
        <f>'Baru NIS'!H306</f>
        <v>X PPLG 2</v>
      </c>
      <c r="I306" s="5" t="s">
        <v>6387</v>
      </c>
      <c r="J306" s="5" t="s">
        <v>6388</v>
      </c>
      <c r="K306" s="5" t="str">
        <f t="shared" si="9"/>
        <v>PPPLG</v>
      </c>
    </row>
    <row r="307" spans="1:11" s="53" customFormat="1" x14ac:dyDescent="0.25">
      <c r="A307" s="58" t="str">
        <f t="shared" si="8"/>
        <v>X PPLG 240</v>
      </c>
      <c r="B307" s="171">
        <f>COUNTIF(H$2:H307,H307)</f>
        <v>40</v>
      </c>
      <c r="C307" s="5">
        <f>'Baru NIS'!C307</f>
        <v>102519790</v>
      </c>
      <c r="D307" s="5">
        <f>'Baru NIS'!D307</f>
        <v>0</v>
      </c>
      <c r="E307" s="5" t="str">
        <f>'Baru NIS'!E307</f>
        <v>102519790 /   0</v>
      </c>
      <c r="F307" s="59" t="str">
        <f>'Baru NIS'!F307</f>
        <v>WAHYUNARA PASUNDAN</v>
      </c>
      <c r="G307" s="5" t="str">
        <f>'Baru NIS'!G307</f>
        <v>L</v>
      </c>
      <c r="H307" s="5" t="str">
        <f>'Baru NIS'!H307</f>
        <v>X PPLG 2</v>
      </c>
      <c r="I307" s="5" t="s">
        <v>6387</v>
      </c>
      <c r="J307" s="5" t="s">
        <v>6388</v>
      </c>
      <c r="K307" s="5" t="str">
        <f t="shared" si="9"/>
        <v>LPPLG</v>
      </c>
    </row>
    <row r="308" spans="1:11" s="53" customFormat="1" x14ac:dyDescent="0.25">
      <c r="A308" s="58" t="str">
        <f t="shared" si="8"/>
        <v>X TJKT 11</v>
      </c>
      <c r="B308" s="171">
        <f>COUNTIF(H$2:H308,H308)</f>
        <v>1</v>
      </c>
      <c r="C308" s="5">
        <f>'Baru NIS'!C308</f>
        <v>102519831</v>
      </c>
      <c r="D308" s="5" t="str">
        <f>'Baru NIS'!D308</f>
        <v>0091314527</v>
      </c>
      <c r="E308" s="5" t="str">
        <f>'Baru NIS'!E308</f>
        <v>102519831 /   0091314527</v>
      </c>
      <c r="F308" s="59" t="str">
        <f>'Baru NIS'!F308</f>
        <v>ADITYA RAHMAT AL GHANI</v>
      </c>
      <c r="G308" s="5" t="str">
        <f>'Baru NIS'!G308</f>
        <v>L</v>
      </c>
      <c r="H308" s="5" t="str">
        <f>'Baru NIS'!H308</f>
        <v>X TJKT 1</v>
      </c>
      <c r="I308" s="5" t="s">
        <v>5519</v>
      </c>
      <c r="J308" s="5" t="s">
        <v>4671</v>
      </c>
      <c r="K308" s="5" t="str">
        <f t="shared" si="9"/>
        <v>LTKJ</v>
      </c>
    </row>
    <row r="309" spans="1:11" s="53" customFormat="1" x14ac:dyDescent="0.25">
      <c r="A309" s="58" t="str">
        <f t="shared" si="8"/>
        <v>X TJKT 12</v>
      </c>
      <c r="B309" s="171">
        <f>COUNTIF(H$2:H309,H309)</f>
        <v>2</v>
      </c>
      <c r="C309" s="5">
        <f>'Baru NIS'!C309</f>
        <v>102519832</v>
      </c>
      <c r="D309" s="5" t="str">
        <f>'Baru NIS'!D309</f>
        <v>0094691132</v>
      </c>
      <c r="E309" s="5" t="str">
        <f>'Baru NIS'!E309</f>
        <v>102519832 /   0094691132</v>
      </c>
      <c r="F309" s="59" t="str">
        <f>'Baru NIS'!F309</f>
        <v>AGUS NUGRAHA</v>
      </c>
      <c r="G309" s="5" t="str">
        <f>'Baru NIS'!G309</f>
        <v>L</v>
      </c>
      <c r="H309" s="5" t="str">
        <f>'Baru NIS'!H309</f>
        <v>X TJKT 1</v>
      </c>
      <c r="I309" s="5" t="s">
        <v>5519</v>
      </c>
      <c r="J309" s="5" t="s">
        <v>4671</v>
      </c>
      <c r="K309" s="5" t="str">
        <f t="shared" si="9"/>
        <v>LTKJ</v>
      </c>
    </row>
    <row r="310" spans="1:11" s="53" customFormat="1" x14ac:dyDescent="0.25">
      <c r="A310" s="58" t="str">
        <f t="shared" si="8"/>
        <v>X TJKT 13</v>
      </c>
      <c r="B310" s="171">
        <f>COUNTIF(H$2:H310,H310)</f>
        <v>3</v>
      </c>
      <c r="C310" s="5">
        <f>'Baru NIS'!C310</f>
        <v>102519833</v>
      </c>
      <c r="D310" s="5" t="str">
        <f>'Baru NIS'!D310</f>
        <v>0108960636</v>
      </c>
      <c r="E310" s="5" t="str">
        <f>'Baru NIS'!E310</f>
        <v>102519833 /   0108960636</v>
      </c>
      <c r="F310" s="59" t="str">
        <f>'Baru NIS'!F310</f>
        <v>AL GHAZALI ZIKHRULLAH AZHAR</v>
      </c>
      <c r="G310" s="5" t="str">
        <f>'Baru NIS'!G310</f>
        <v>L</v>
      </c>
      <c r="H310" s="5" t="str">
        <f>'Baru NIS'!H310</f>
        <v>X TJKT 1</v>
      </c>
      <c r="I310" s="5" t="s">
        <v>5519</v>
      </c>
      <c r="J310" s="5" t="s">
        <v>4671</v>
      </c>
      <c r="K310" s="5" t="str">
        <f t="shared" si="9"/>
        <v>LTKJ</v>
      </c>
    </row>
    <row r="311" spans="1:11" s="53" customFormat="1" x14ac:dyDescent="0.25">
      <c r="A311" s="58" t="str">
        <f t="shared" si="8"/>
        <v>X TJKT 14</v>
      </c>
      <c r="B311" s="171">
        <f>COUNTIF(H$2:H311,H311)</f>
        <v>4</v>
      </c>
      <c r="C311" s="5">
        <f>'Baru NIS'!C311</f>
        <v>102519834</v>
      </c>
      <c r="D311" s="5" t="str">
        <f>'Baru NIS'!D311</f>
        <v>0105777383</v>
      </c>
      <c r="E311" s="5" t="str">
        <f>'Baru NIS'!E311</f>
        <v>102519834 /   0105777383</v>
      </c>
      <c r="F311" s="59" t="str">
        <f>'Baru NIS'!F311</f>
        <v>ALVIN MAULANA</v>
      </c>
      <c r="G311" s="5" t="str">
        <f>'Baru NIS'!G311</f>
        <v>L</v>
      </c>
      <c r="H311" s="5" t="str">
        <f>'Baru NIS'!H311</f>
        <v>X TJKT 1</v>
      </c>
      <c r="I311" s="5" t="s">
        <v>5519</v>
      </c>
      <c r="J311" s="5" t="s">
        <v>4671</v>
      </c>
      <c r="K311" s="5" t="str">
        <f t="shared" si="9"/>
        <v>LTKJ</v>
      </c>
    </row>
    <row r="312" spans="1:11" s="53" customFormat="1" x14ac:dyDescent="0.25">
      <c r="A312" s="58" t="str">
        <f t="shared" si="8"/>
        <v>X TJKT 15</v>
      </c>
      <c r="B312" s="171">
        <f>COUNTIF(H$2:H312,H312)</f>
        <v>5</v>
      </c>
      <c r="C312" s="5">
        <f>'Baru NIS'!C312</f>
        <v>102519835</v>
      </c>
      <c r="D312" s="5" t="str">
        <f>'Baru NIS'!D312</f>
        <v>0106985307</v>
      </c>
      <c r="E312" s="5" t="str">
        <f>'Baru NIS'!E312</f>
        <v>102519835 /   0106985307</v>
      </c>
      <c r="F312" s="59" t="str">
        <f>'Baru NIS'!F312</f>
        <v>ARVIN DAIVA FAUZAN</v>
      </c>
      <c r="G312" s="5" t="str">
        <f>'Baru NIS'!G312</f>
        <v>L</v>
      </c>
      <c r="H312" s="5" t="str">
        <f>'Baru NIS'!H312</f>
        <v>X TJKT 1</v>
      </c>
      <c r="I312" s="5" t="s">
        <v>5519</v>
      </c>
      <c r="J312" s="5" t="s">
        <v>4671</v>
      </c>
      <c r="K312" s="5" t="str">
        <f t="shared" si="9"/>
        <v>LTKJ</v>
      </c>
    </row>
    <row r="313" spans="1:11" s="53" customFormat="1" x14ac:dyDescent="0.25">
      <c r="A313" s="58" t="str">
        <f t="shared" si="8"/>
        <v>X TJKT 16</v>
      </c>
      <c r="B313" s="171">
        <f>COUNTIF(H$2:H313,H313)</f>
        <v>6</v>
      </c>
      <c r="C313" s="5">
        <f>'Baru NIS'!C313</f>
        <v>102519836</v>
      </c>
      <c r="D313" s="5" t="str">
        <f>'Baru NIS'!D313</f>
        <v>0099707203</v>
      </c>
      <c r="E313" s="5" t="str">
        <f>'Baru NIS'!E313</f>
        <v>102519836 /   0099707203</v>
      </c>
      <c r="F313" s="59" t="str">
        <f>'Baru NIS'!F313</f>
        <v>AURELIA KIRAN ZAINA</v>
      </c>
      <c r="G313" s="5" t="str">
        <f>'Baru NIS'!G313</f>
        <v>P</v>
      </c>
      <c r="H313" s="5" t="str">
        <f>'Baru NIS'!H313</f>
        <v>X TJKT 1</v>
      </c>
      <c r="I313" s="5" t="s">
        <v>5519</v>
      </c>
      <c r="J313" s="5" t="s">
        <v>4671</v>
      </c>
      <c r="K313" s="5" t="str">
        <f t="shared" si="9"/>
        <v>PTKJ</v>
      </c>
    </row>
    <row r="314" spans="1:11" s="53" customFormat="1" x14ac:dyDescent="0.25">
      <c r="A314" s="58" t="str">
        <f t="shared" si="8"/>
        <v>X TJKT 17</v>
      </c>
      <c r="B314" s="171">
        <f>COUNTIF(H$2:H314,H314)</f>
        <v>7</v>
      </c>
      <c r="C314" s="5">
        <f>'Baru NIS'!C314</f>
        <v>102519837</v>
      </c>
      <c r="D314" s="5" t="str">
        <f>'Baru NIS'!D314</f>
        <v>0098203882</v>
      </c>
      <c r="E314" s="5" t="str">
        <f>'Baru NIS'!E314</f>
        <v>102519837 /   0098203882</v>
      </c>
      <c r="F314" s="59" t="str">
        <f>'Baru NIS'!F314</f>
        <v>BIMA ARYA WIBISONO</v>
      </c>
      <c r="G314" s="5" t="str">
        <f>'Baru NIS'!G314</f>
        <v>L</v>
      </c>
      <c r="H314" s="5" t="str">
        <f>'Baru NIS'!H314</f>
        <v>X TJKT 1</v>
      </c>
      <c r="I314" s="5" t="s">
        <v>5519</v>
      </c>
      <c r="J314" s="5" t="s">
        <v>4671</v>
      </c>
      <c r="K314" s="5" t="str">
        <f t="shared" si="9"/>
        <v>LTKJ</v>
      </c>
    </row>
    <row r="315" spans="1:11" s="53" customFormat="1" x14ac:dyDescent="0.25">
      <c r="A315" s="58" t="str">
        <f t="shared" si="8"/>
        <v>X TJKT 18</v>
      </c>
      <c r="B315" s="171">
        <f>COUNTIF(H$2:H315,H315)</f>
        <v>8</v>
      </c>
      <c r="C315" s="5">
        <f>'Baru NIS'!C315</f>
        <v>102519838</v>
      </c>
      <c r="D315" s="5" t="str">
        <f>'Baru NIS'!D315</f>
        <v>0105306344</v>
      </c>
      <c r="E315" s="5" t="str">
        <f>'Baru NIS'!E315</f>
        <v>102519838 /   0105306344</v>
      </c>
      <c r="F315" s="59" t="str">
        <f>'Baru NIS'!F315</f>
        <v>DAFFA MUHAMMAD KHAIRAN</v>
      </c>
      <c r="G315" s="5" t="str">
        <f>'Baru NIS'!G315</f>
        <v>L</v>
      </c>
      <c r="H315" s="5" t="str">
        <f>'Baru NIS'!H315</f>
        <v>X TJKT 1</v>
      </c>
      <c r="I315" s="5" t="s">
        <v>5519</v>
      </c>
      <c r="J315" s="5" t="s">
        <v>4671</v>
      </c>
      <c r="K315" s="5" t="str">
        <f t="shared" si="9"/>
        <v>LTKJ</v>
      </c>
    </row>
    <row r="316" spans="1:11" s="53" customFormat="1" x14ac:dyDescent="0.25">
      <c r="A316" s="58" t="str">
        <f t="shared" si="8"/>
        <v>X TJKT 19</v>
      </c>
      <c r="B316" s="171">
        <f>COUNTIF(H$2:H316,H316)</f>
        <v>9</v>
      </c>
      <c r="C316" s="5">
        <f>'Baru NIS'!C316</f>
        <v>102519839</v>
      </c>
      <c r="D316" s="5" t="str">
        <f>'Baru NIS'!D316</f>
        <v>0107784085</v>
      </c>
      <c r="E316" s="5" t="str">
        <f>'Baru NIS'!E316</f>
        <v>102519839 /   0107784085</v>
      </c>
      <c r="F316" s="59" t="str">
        <f>'Baru NIS'!F316</f>
        <v>DHIMAZ REKSA SUTARDIPRAJA</v>
      </c>
      <c r="G316" s="5" t="str">
        <f>'Baru NIS'!G316</f>
        <v>L</v>
      </c>
      <c r="H316" s="5" t="str">
        <f>'Baru NIS'!H316</f>
        <v>X TJKT 1</v>
      </c>
      <c r="I316" s="5" t="s">
        <v>5519</v>
      </c>
      <c r="J316" s="5" t="s">
        <v>4671</v>
      </c>
      <c r="K316" s="5" t="str">
        <f t="shared" si="9"/>
        <v>LTKJ</v>
      </c>
    </row>
    <row r="317" spans="1:11" s="53" customFormat="1" x14ac:dyDescent="0.25">
      <c r="A317" s="58" t="str">
        <f t="shared" si="8"/>
        <v>X TJKT 110</v>
      </c>
      <c r="B317" s="171">
        <f>COUNTIF(H$2:H317,H317)</f>
        <v>10</v>
      </c>
      <c r="C317" s="5">
        <f>'Baru NIS'!C317</f>
        <v>102519840</v>
      </c>
      <c r="D317" s="5" t="str">
        <f>'Baru NIS'!D317</f>
        <v>0095394337</v>
      </c>
      <c r="E317" s="5" t="str">
        <f>'Baru NIS'!E317</f>
        <v>102519840 /   0095394337</v>
      </c>
      <c r="F317" s="59" t="str">
        <f>'Baru NIS'!F317</f>
        <v>FATHAN ARIF FATAH</v>
      </c>
      <c r="G317" s="5" t="str">
        <f>'Baru NIS'!G317</f>
        <v>L</v>
      </c>
      <c r="H317" s="5" t="str">
        <f>'Baru NIS'!H317</f>
        <v>X TJKT 1</v>
      </c>
      <c r="I317" s="5" t="s">
        <v>5519</v>
      </c>
      <c r="J317" s="5" t="s">
        <v>4671</v>
      </c>
      <c r="K317" s="5" t="str">
        <f t="shared" si="9"/>
        <v>LTKJ</v>
      </c>
    </row>
    <row r="318" spans="1:11" s="53" customFormat="1" x14ac:dyDescent="0.25">
      <c r="A318" s="58" t="str">
        <f t="shared" si="8"/>
        <v>X TJKT 111</v>
      </c>
      <c r="B318" s="171">
        <f>COUNTIF(H$2:H318,H318)</f>
        <v>11</v>
      </c>
      <c r="C318" s="5">
        <f>'Baru NIS'!C318</f>
        <v>102519841</v>
      </c>
      <c r="D318" s="5" t="str">
        <f>'Baru NIS'!D318</f>
        <v>0108033991</v>
      </c>
      <c r="E318" s="5" t="str">
        <f>'Baru NIS'!E318</f>
        <v>102519841 /   0108033991</v>
      </c>
      <c r="F318" s="59" t="str">
        <f>'Baru NIS'!F318</f>
        <v>FATHIR ARYASATYA</v>
      </c>
      <c r="G318" s="5" t="str">
        <f>'Baru NIS'!G318</f>
        <v>L</v>
      </c>
      <c r="H318" s="5" t="str">
        <f>'Baru NIS'!H318</f>
        <v>X TJKT 1</v>
      </c>
      <c r="I318" s="5" t="s">
        <v>5519</v>
      </c>
      <c r="J318" s="5" t="s">
        <v>4671</v>
      </c>
      <c r="K318" s="5" t="str">
        <f t="shared" si="9"/>
        <v>LTKJ</v>
      </c>
    </row>
    <row r="319" spans="1:11" s="53" customFormat="1" x14ac:dyDescent="0.25">
      <c r="A319" s="58" t="str">
        <f t="shared" si="8"/>
        <v>X TJKT 112</v>
      </c>
      <c r="B319" s="171">
        <f>COUNTIF(H$2:H319,H319)</f>
        <v>12</v>
      </c>
      <c r="C319" s="5">
        <f>'Baru NIS'!C319</f>
        <v>102519842</v>
      </c>
      <c r="D319" s="5" t="str">
        <f>'Baru NIS'!D319</f>
        <v>3094533966</v>
      </c>
      <c r="E319" s="5" t="str">
        <f>'Baru NIS'!E319</f>
        <v>102519842 /   3094533966</v>
      </c>
      <c r="F319" s="59" t="str">
        <f>'Baru NIS'!F319</f>
        <v>GALVIN CHESTA ADABI</v>
      </c>
      <c r="G319" s="5" t="str">
        <f>'Baru NIS'!G319</f>
        <v>L</v>
      </c>
      <c r="H319" s="5" t="str">
        <f>'Baru NIS'!H319</f>
        <v>X TJKT 1</v>
      </c>
      <c r="I319" s="5" t="s">
        <v>5519</v>
      </c>
      <c r="J319" s="5" t="s">
        <v>4671</v>
      </c>
      <c r="K319" s="5" t="str">
        <f t="shared" si="9"/>
        <v>LTKJ</v>
      </c>
    </row>
    <row r="320" spans="1:11" s="53" customFormat="1" x14ac:dyDescent="0.25">
      <c r="A320" s="58" t="str">
        <f t="shared" si="8"/>
        <v>X TJKT 113</v>
      </c>
      <c r="B320" s="171">
        <f>COUNTIF(H$2:H320,H320)</f>
        <v>13</v>
      </c>
      <c r="C320" s="5">
        <f>'Baru NIS'!C320</f>
        <v>102519843</v>
      </c>
      <c r="D320" s="5" t="str">
        <f>'Baru NIS'!D320</f>
        <v>0095718753</v>
      </c>
      <c r="E320" s="5" t="str">
        <f>'Baru NIS'!E320</f>
        <v>102519843 /   0095718753</v>
      </c>
      <c r="F320" s="59" t="str">
        <f>'Baru NIS'!F320</f>
        <v>KEENAN AN NAAFI</v>
      </c>
      <c r="G320" s="5" t="str">
        <f>'Baru NIS'!G320</f>
        <v>L</v>
      </c>
      <c r="H320" s="5" t="str">
        <f>'Baru NIS'!H320</f>
        <v>X TJKT 1</v>
      </c>
      <c r="I320" s="5" t="s">
        <v>5519</v>
      </c>
      <c r="J320" s="5" t="s">
        <v>4671</v>
      </c>
      <c r="K320" s="5" t="str">
        <f t="shared" si="9"/>
        <v>LTKJ</v>
      </c>
    </row>
    <row r="321" spans="1:11" s="53" customFormat="1" x14ac:dyDescent="0.25">
      <c r="A321" s="58" t="str">
        <f t="shared" si="8"/>
        <v>X TJKT 114</v>
      </c>
      <c r="B321" s="171">
        <f>COUNTIF(H$2:H321,H321)</f>
        <v>14</v>
      </c>
      <c r="C321" s="5">
        <f>'Baru NIS'!C321</f>
        <v>102519844</v>
      </c>
      <c r="D321" s="5" t="str">
        <f>'Baru NIS'!D321</f>
        <v>0105967822</v>
      </c>
      <c r="E321" s="5" t="str">
        <f>'Baru NIS'!E321</f>
        <v>102519844 /   0105967822</v>
      </c>
      <c r="F321" s="59" t="str">
        <f>'Baru NIS'!F321</f>
        <v>KEVIN FALLAH FRIANDIKA</v>
      </c>
      <c r="G321" s="5" t="str">
        <f>'Baru NIS'!G321</f>
        <v>L</v>
      </c>
      <c r="H321" s="5" t="str">
        <f>'Baru NIS'!H321</f>
        <v>X TJKT 1</v>
      </c>
      <c r="I321" s="5" t="s">
        <v>5519</v>
      </c>
      <c r="J321" s="5" t="s">
        <v>4671</v>
      </c>
      <c r="K321" s="5" t="str">
        <f t="shared" si="9"/>
        <v>LTKJ</v>
      </c>
    </row>
    <row r="322" spans="1:11" s="53" customFormat="1" x14ac:dyDescent="0.25">
      <c r="A322" s="58" t="str">
        <f t="shared" ref="A322:A385" si="10">H322&amp;B322</f>
        <v>X TJKT 115</v>
      </c>
      <c r="B322" s="171">
        <f>COUNTIF(H$2:H322,H322)</f>
        <v>15</v>
      </c>
      <c r="C322" s="5">
        <f>'Baru NIS'!C322</f>
        <v>102519845</v>
      </c>
      <c r="D322" s="5" t="str">
        <f>'Baru NIS'!D322</f>
        <v>0107918289</v>
      </c>
      <c r="E322" s="5" t="str">
        <f>'Baru NIS'!E322</f>
        <v>102519845 /   0107918289</v>
      </c>
      <c r="F322" s="59" t="str">
        <f>'Baru NIS'!F322</f>
        <v>KHAERUNISHA MUTIARA RAHAYU</v>
      </c>
      <c r="G322" s="5" t="str">
        <f>'Baru NIS'!G322</f>
        <v>P</v>
      </c>
      <c r="H322" s="5" t="str">
        <f>'Baru NIS'!H322</f>
        <v>X TJKT 1</v>
      </c>
      <c r="I322" s="5" t="s">
        <v>5519</v>
      </c>
      <c r="J322" s="5" t="s">
        <v>4671</v>
      </c>
      <c r="K322" s="5" t="str">
        <f t="shared" ref="K322:K385" si="11">G322&amp;J322</f>
        <v>PTKJ</v>
      </c>
    </row>
    <row r="323" spans="1:11" s="53" customFormat="1" x14ac:dyDescent="0.25">
      <c r="A323" s="58" t="str">
        <f t="shared" si="10"/>
        <v>X TJKT 116</v>
      </c>
      <c r="B323" s="171">
        <f>COUNTIF(H$2:H323,H323)</f>
        <v>16</v>
      </c>
      <c r="C323" s="5">
        <f>'Baru NIS'!C323</f>
        <v>102519846</v>
      </c>
      <c r="D323" s="5" t="str">
        <f>'Baru NIS'!D323</f>
        <v>0105912416</v>
      </c>
      <c r="E323" s="5" t="str">
        <f>'Baru NIS'!E323</f>
        <v>102519846 /   0105912416</v>
      </c>
      <c r="F323" s="59" t="str">
        <f>'Baru NIS'!F323</f>
        <v>LUTHFIKA AFWA DHOIFI AZIZA</v>
      </c>
      <c r="G323" s="5" t="str">
        <f>'Baru NIS'!G323</f>
        <v>P</v>
      </c>
      <c r="H323" s="5" t="str">
        <f>'Baru NIS'!H323</f>
        <v>X TJKT 1</v>
      </c>
      <c r="I323" s="5" t="s">
        <v>5519</v>
      </c>
      <c r="J323" s="5" t="s">
        <v>4671</v>
      </c>
      <c r="K323" s="5" t="str">
        <f t="shared" si="11"/>
        <v>PTKJ</v>
      </c>
    </row>
    <row r="324" spans="1:11" s="53" customFormat="1" x14ac:dyDescent="0.25">
      <c r="A324" s="58" t="str">
        <f t="shared" si="10"/>
        <v>X TJKT 117</v>
      </c>
      <c r="B324" s="171">
        <f>COUNTIF(H$2:H324,H324)</f>
        <v>17</v>
      </c>
      <c r="C324" s="5">
        <f>'Baru NIS'!C324</f>
        <v>102519847</v>
      </c>
      <c r="D324" s="5" t="str">
        <f>'Baru NIS'!D324</f>
        <v>0105868223</v>
      </c>
      <c r="E324" s="5" t="str">
        <f>'Baru NIS'!E324</f>
        <v>102519847 /   0105868223</v>
      </c>
      <c r="F324" s="59" t="str">
        <f>'Baru NIS'!F324</f>
        <v>MOCHAMAD FADLAN ANSHARI</v>
      </c>
      <c r="G324" s="5" t="str">
        <f>'Baru NIS'!G324</f>
        <v>L</v>
      </c>
      <c r="H324" s="5" t="str">
        <f>'Baru NIS'!H324</f>
        <v>X TJKT 1</v>
      </c>
      <c r="I324" s="5" t="s">
        <v>5519</v>
      </c>
      <c r="J324" s="5" t="s">
        <v>4671</v>
      </c>
      <c r="K324" s="5" t="str">
        <f t="shared" si="11"/>
        <v>LTKJ</v>
      </c>
    </row>
    <row r="325" spans="1:11" s="53" customFormat="1" x14ac:dyDescent="0.25">
      <c r="A325" s="58" t="str">
        <f t="shared" si="10"/>
        <v>X TJKT 118</v>
      </c>
      <c r="B325" s="171">
        <f>COUNTIF(H$2:H325,H325)</f>
        <v>18</v>
      </c>
      <c r="C325" s="5">
        <f>'Baru NIS'!C325</f>
        <v>102519848</v>
      </c>
      <c r="D325" s="5" t="str">
        <f>'Baru NIS'!D325</f>
        <v>0099365436</v>
      </c>
      <c r="E325" s="5" t="str">
        <f>'Baru NIS'!E325</f>
        <v>102519848 /   0099365436</v>
      </c>
      <c r="F325" s="59" t="str">
        <f>'Baru NIS'!F325</f>
        <v>MUHAMAD ADLAN</v>
      </c>
      <c r="G325" s="5" t="str">
        <f>'Baru NIS'!G325</f>
        <v>L</v>
      </c>
      <c r="H325" s="5" t="str">
        <f>'Baru NIS'!H325</f>
        <v>X TJKT 1</v>
      </c>
      <c r="I325" s="5" t="s">
        <v>5519</v>
      </c>
      <c r="J325" s="5" t="s">
        <v>4671</v>
      </c>
      <c r="K325" s="5" t="str">
        <f t="shared" si="11"/>
        <v>LTKJ</v>
      </c>
    </row>
    <row r="326" spans="1:11" s="53" customFormat="1" x14ac:dyDescent="0.25">
      <c r="A326" s="58" t="str">
        <f t="shared" si="10"/>
        <v>X TJKT 119</v>
      </c>
      <c r="B326" s="171">
        <f>COUNTIF(H$2:H326,H326)</f>
        <v>19</v>
      </c>
      <c r="C326" s="5">
        <f>'Baru NIS'!C326</f>
        <v>102519849</v>
      </c>
      <c r="D326" s="5" t="str">
        <f>'Baru NIS'!D326</f>
        <v>0105880285</v>
      </c>
      <c r="E326" s="5" t="str">
        <f>'Baru NIS'!E326</f>
        <v>102519849 /   0105880285</v>
      </c>
      <c r="F326" s="59" t="str">
        <f>'Baru NIS'!F326</f>
        <v>MUHAMMAD FACHRI PUTRA</v>
      </c>
      <c r="G326" s="5" t="str">
        <f>'Baru NIS'!G326</f>
        <v>L</v>
      </c>
      <c r="H326" s="5" t="str">
        <f>'Baru NIS'!H326</f>
        <v>X TJKT 1</v>
      </c>
      <c r="I326" s="5" t="s">
        <v>5519</v>
      </c>
      <c r="J326" s="5" t="s">
        <v>4671</v>
      </c>
      <c r="K326" s="5" t="str">
        <f t="shared" si="11"/>
        <v>LTKJ</v>
      </c>
    </row>
    <row r="327" spans="1:11" s="53" customFormat="1" x14ac:dyDescent="0.25">
      <c r="A327" s="58" t="str">
        <f t="shared" si="10"/>
        <v>X TJKT 120</v>
      </c>
      <c r="B327" s="171">
        <f>COUNTIF(H$2:H327,H327)</f>
        <v>20</v>
      </c>
      <c r="C327" s="5">
        <f>'Baru NIS'!C327</f>
        <v>102519850</v>
      </c>
      <c r="D327" s="5" t="str">
        <f>'Baru NIS'!D327</f>
        <v>0103249022</v>
      </c>
      <c r="E327" s="5" t="str">
        <f>'Baru NIS'!E327</f>
        <v>102519850 /   0103249022</v>
      </c>
      <c r="F327" s="59" t="str">
        <f>'Baru NIS'!F327</f>
        <v>MUHAMMAD LUTFI RIZKI PRATAMA</v>
      </c>
      <c r="G327" s="5" t="str">
        <f>'Baru NIS'!G327</f>
        <v>L</v>
      </c>
      <c r="H327" s="5" t="str">
        <f>'Baru NIS'!H327</f>
        <v>X TJKT 1</v>
      </c>
      <c r="I327" s="5" t="s">
        <v>5519</v>
      </c>
      <c r="J327" s="5" t="s">
        <v>4671</v>
      </c>
      <c r="K327" s="5" t="str">
        <f t="shared" si="11"/>
        <v>LTKJ</v>
      </c>
    </row>
    <row r="328" spans="1:11" s="53" customFormat="1" x14ac:dyDescent="0.25">
      <c r="A328" s="58" t="str">
        <f t="shared" si="10"/>
        <v>X TJKT 121</v>
      </c>
      <c r="B328" s="171">
        <f>COUNTIF(H$2:H328,H328)</f>
        <v>21</v>
      </c>
      <c r="C328" s="5">
        <f>'Baru NIS'!C328</f>
        <v>102519851</v>
      </c>
      <c r="D328" s="5" t="str">
        <f>'Baru NIS'!D328</f>
        <v>0097867669</v>
      </c>
      <c r="E328" s="5" t="str">
        <f>'Baru NIS'!E328</f>
        <v>102519851 /   0097867669</v>
      </c>
      <c r="F328" s="59" t="str">
        <f>'Baru NIS'!F328</f>
        <v>MUHAMMAD NAUFAL AFKAR IDLANZAAHY</v>
      </c>
      <c r="G328" s="5" t="str">
        <f>'Baru NIS'!G328</f>
        <v>L</v>
      </c>
      <c r="H328" s="5" t="str">
        <f>'Baru NIS'!H328</f>
        <v>X TJKT 1</v>
      </c>
      <c r="I328" s="5" t="s">
        <v>5519</v>
      </c>
      <c r="J328" s="5" t="s">
        <v>4671</v>
      </c>
      <c r="K328" s="5" t="str">
        <f t="shared" si="11"/>
        <v>LTKJ</v>
      </c>
    </row>
    <row r="329" spans="1:11" s="53" customFormat="1" x14ac:dyDescent="0.25">
      <c r="A329" s="58" t="str">
        <f t="shared" si="10"/>
        <v>X TJKT 122</v>
      </c>
      <c r="B329" s="171">
        <f>COUNTIF(H$2:H329,H329)</f>
        <v>22</v>
      </c>
      <c r="C329" s="5">
        <f>'Baru NIS'!C329</f>
        <v>102519852</v>
      </c>
      <c r="D329" s="5" t="str">
        <f>'Baru NIS'!D329</f>
        <v>0099895057</v>
      </c>
      <c r="E329" s="5" t="str">
        <f>'Baru NIS'!E329</f>
        <v>102519852 /   0099895057</v>
      </c>
      <c r="F329" s="59" t="str">
        <f>'Baru NIS'!F329</f>
        <v>MUHAMMAD RESKY AKBAR</v>
      </c>
      <c r="G329" s="5" t="str">
        <f>'Baru NIS'!G329</f>
        <v>L</v>
      </c>
      <c r="H329" s="5" t="str">
        <f>'Baru NIS'!H329</f>
        <v>X TJKT 1</v>
      </c>
      <c r="I329" s="5" t="s">
        <v>5519</v>
      </c>
      <c r="J329" s="5" t="s">
        <v>4671</v>
      </c>
      <c r="K329" s="5" t="str">
        <f t="shared" si="11"/>
        <v>LTKJ</v>
      </c>
    </row>
    <row r="330" spans="1:11" s="53" customFormat="1" x14ac:dyDescent="0.25">
      <c r="A330" s="58" t="str">
        <f t="shared" si="10"/>
        <v>X TJKT 123</v>
      </c>
      <c r="B330" s="171">
        <f>COUNTIF(H$2:H330,H330)</f>
        <v>23</v>
      </c>
      <c r="C330" s="5">
        <f>'Baru NIS'!C330</f>
        <v>102519853</v>
      </c>
      <c r="D330" s="5" t="str">
        <f>'Baru NIS'!D330</f>
        <v>0108996067</v>
      </c>
      <c r="E330" s="5" t="str">
        <f>'Baru NIS'!E330</f>
        <v>102519853 /   0108996067</v>
      </c>
      <c r="F330" s="59" t="str">
        <f>'Baru NIS'!F330</f>
        <v>MUHAMMAD RIZKI JANUAR HENDRAWAN</v>
      </c>
      <c r="G330" s="5" t="str">
        <f>'Baru NIS'!G330</f>
        <v>L</v>
      </c>
      <c r="H330" s="5" t="str">
        <f>'Baru NIS'!H330</f>
        <v>X TJKT 1</v>
      </c>
      <c r="I330" s="5" t="s">
        <v>5519</v>
      </c>
      <c r="J330" s="5" t="s">
        <v>4671</v>
      </c>
      <c r="K330" s="5" t="str">
        <f t="shared" si="11"/>
        <v>LTKJ</v>
      </c>
    </row>
    <row r="331" spans="1:11" s="53" customFormat="1" x14ac:dyDescent="0.25">
      <c r="A331" s="58" t="str">
        <f t="shared" si="10"/>
        <v>X TJKT 124</v>
      </c>
      <c r="B331" s="171">
        <f>COUNTIF(H$2:H331,H331)</f>
        <v>24</v>
      </c>
      <c r="C331" s="5">
        <f>'Baru NIS'!C331</f>
        <v>102519854</v>
      </c>
      <c r="D331" s="5" t="str">
        <f>'Baru NIS'!D331</f>
        <v>0093962584</v>
      </c>
      <c r="E331" s="5" t="str">
        <f>'Baru NIS'!E331</f>
        <v>102519854 /   0093962584</v>
      </c>
      <c r="F331" s="59" t="str">
        <f>'Baru NIS'!F331</f>
        <v>MUHAMMAD RIZKY RAMADHAN</v>
      </c>
      <c r="G331" s="5" t="str">
        <f>'Baru NIS'!G331</f>
        <v>L</v>
      </c>
      <c r="H331" s="5" t="str">
        <f>'Baru NIS'!H331</f>
        <v>X TJKT 1</v>
      </c>
      <c r="I331" s="5" t="s">
        <v>5519</v>
      </c>
      <c r="J331" s="5" t="s">
        <v>4671</v>
      </c>
      <c r="K331" s="5" t="str">
        <f t="shared" si="11"/>
        <v>LTKJ</v>
      </c>
    </row>
    <row r="332" spans="1:11" s="53" customFormat="1" x14ac:dyDescent="0.25">
      <c r="A332" s="58" t="str">
        <f t="shared" si="10"/>
        <v>X TJKT 125</v>
      </c>
      <c r="B332" s="171">
        <f>COUNTIF(H$2:H332,H332)</f>
        <v>25</v>
      </c>
      <c r="C332" s="5">
        <f>'Baru NIS'!C332</f>
        <v>102519855</v>
      </c>
      <c r="D332" s="5" t="str">
        <f>'Baru NIS'!D332</f>
        <v>3096660479</v>
      </c>
      <c r="E332" s="5" t="str">
        <f>'Baru NIS'!E332</f>
        <v>102519855 /   3096660479</v>
      </c>
      <c r="F332" s="59" t="str">
        <f>'Baru NIS'!F332</f>
        <v>MUHAMMAD SHAFWAN ARDHANA ROMPAS</v>
      </c>
      <c r="G332" s="5" t="str">
        <f>'Baru NIS'!G332</f>
        <v>L</v>
      </c>
      <c r="H332" s="5" t="str">
        <f>'Baru NIS'!H332</f>
        <v>X TJKT 1</v>
      </c>
      <c r="I332" s="5" t="s">
        <v>5519</v>
      </c>
      <c r="J332" s="5" t="s">
        <v>4671</v>
      </c>
      <c r="K332" s="5" t="str">
        <f t="shared" si="11"/>
        <v>LTKJ</v>
      </c>
    </row>
    <row r="333" spans="1:11" s="53" customFormat="1" x14ac:dyDescent="0.25">
      <c r="A333" s="58" t="str">
        <f t="shared" si="10"/>
        <v>X TJKT 126</v>
      </c>
      <c r="B333" s="171">
        <f>COUNTIF(H$2:H333,H333)</f>
        <v>26</v>
      </c>
      <c r="C333" s="5">
        <f>'Baru NIS'!C333</f>
        <v>102519856</v>
      </c>
      <c r="D333" s="5" t="str">
        <f>'Baru NIS'!D333</f>
        <v>3098988404</v>
      </c>
      <c r="E333" s="5" t="str">
        <f>'Baru NIS'!E333</f>
        <v>102519856 /   3098988404</v>
      </c>
      <c r="F333" s="59" t="str">
        <f>'Baru NIS'!F333</f>
        <v>NAUFAL AZALI DARAJAT</v>
      </c>
      <c r="G333" s="5" t="str">
        <f>'Baru NIS'!G333</f>
        <v>L</v>
      </c>
      <c r="H333" s="5" t="str">
        <f>'Baru NIS'!H333</f>
        <v>X TJKT 1</v>
      </c>
      <c r="I333" s="5" t="s">
        <v>5519</v>
      </c>
      <c r="J333" s="5" t="s">
        <v>4671</v>
      </c>
      <c r="K333" s="5" t="str">
        <f t="shared" si="11"/>
        <v>LTKJ</v>
      </c>
    </row>
    <row r="334" spans="1:11" s="53" customFormat="1" x14ac:dyDescent="0.25">
      <c r="A334" s="58" t="str">
        <f t="shared" si="10"/>
        <v>X TJKT 127</v>
      </c>
      <c r="B334" s="171">
        <f>COUNTIF(H$2:H334,H334)</f>
        <v>27</v>
      </c>
      <c r="C334" s="5">
        <f>'Baru NIS'!C334</f>
        <v>102519857</v>
      </c>
      <c r="D334" s="5" t="str">
        <f>'Baru NIS'!D334</f>
        <v>0092442477</v>
      </c>
      <c r="E334" s="5" t="str">
        <f>'Baru NIS'!E334</f>
        <v>102519857 /   0092442477</v>
      </c>
      <c r="F334" s="59" t="str">
        <f>'Baru NIS'!F334</f>
        <v>PUTRI AJRINA NURSYIFA</v>
      </c>
      <c r="G334" s="5" t="str">
        <f>'Baru NIS'!G334</f>
        <v>P</v>
      </c>
      <c r="H334" s="5" t="str">
        <f>'Baru NIS'!H334</f>
        <v>X TJKT 1</v>
      </c>
      <c r="I334" s="5" t="s">
        <v>5519</v>
      </c>
      <c r="J334" s="5" t="s">
        <v>4671</v>
      </c>
      <c r="K334" s="5" t="str">
        <f t="shared" si="11"/>
        <v>PTKJ</v>
      </c>
    </row>
    <row r="335" spans="1:11" s="53" customFormat="1" x14ac:dyDescent="0.25">
      <c r="A335" s="58" t="str">
        <f t="shared" si="10"/>
        <v>X TJKT 128</v>
      </c>
      <c r="B335" s="171">
        <f>COUNTIF(H$2:H335,H335)</f>
        <v>28</v>
      </c>
      <c r="C335" s="5">
        <f>'Baru NIS'!C335</f>
        <v>102519858</v>
      </c>
      <c r="D335" s="5" t="str">
        <f>'Baru NIS'!D335</f>
        <v>3097984341</v>
      </c>
      <c r="E335" s="5" t="str">
        <f>'Baru NIS'!E335</f>
        <v>102519858 /   3097984341</v>
      </c>
      <c r="F335" s="59" t="str">
        <f>'Baru NIS'!F335</f>
        <v>RAFI RIZQI MAULANA</v>
      </c>
      <c r="G335" s="5" t="str">
        <f>'Baru NIS'!G335</f>
        <v>L</v>
      </c>
      <c r="H335" s="5" t="str">
        <f>'Baru NIS'!H335</f>
        <v>X TJKT 1</v>
      </c>
      <c r="I335" s="5" t="s">
        <v>5519</v>
      </c>
      <c r="J335" s="5" t="s">
        <v>4671</v>
      </c>
      <c r="K335" s="5" t="str">
        <f t="shared" si="11"/>
        <v>LTKJ</v>
      </c>
    </row>
    <row r="336" spans="1:11" s="53" customFormat="1" x14ac:dyDescent="0.25">
      <c r="A336" s="58" t="str">
        <f t="shared" si="10"/>
        <v>X TJKT 129</v>
      </c>
      <c r="B336" s="171">
        <f>COUNTIF(H$2:H336,H336)</f>
        <v>29</v>
      </c>
      <c r="C336" s="5">
        <f>'Baru NIS'!C336</f>
        <v>102519859</v>
      </c>
      <c r="D336" s="5" t="str">
        <f>'Baru NIS'!D336</f>
        <v>0106558001</v>
      </c>
      <c r="E336" s="5" t="str">
        <f>'Baru NIS'!E336</f>
        <v>102519859 /   0106558001</v>
      </c>
      <c r="F336" s="59" t="str">
        <f>'Baru NIS'!F336</f>
        <v>RAIHANDITYA ANDREW ARISTA</v>
      </c>
      <c r="G336" s="5" t="str">
        <f>'Baru NIS'!G336</f>
        <v>L</v>
      </c>
      <c r="H336" s="5" t="str">
        <f>'Baru NIS'!H336</f>
        <v>X TJKT 1</v>
      </c>
      <c r="I336" s="5" t="s">
        <v>5519</v>
      </c>
      <c r="J336" s="5" t="s">
        <v>4671</v>
      </c>
      <c r="K336" s="5" t="str">
        <f t="shared" si="11"/>
        <v>LTKJ</v>
      </c>
    </row>
    <row r="337" spans="1:11" s="53" customFormat="1" x14ac:dyDescent="0.25">
      <c r="A337" s="58" t="str">
        <f t="shared" si="10"/>
        <v>X TJKT 130</v>
      </c>
      <c r="B337" s="171">
        <f>COUNTIF(H$2:H337,H337)</f>
        <v>30</v>
      </c>
      <c r="C337" s="5">
        <f>'Baru NIS'!C337</f>
        <v>102519860</v>
      </c>
      <c r="D337" s="5" t="str">
        <f>'Baru NIS'!D337</f>
        <v>0094672744</v>
      </c>
      <c r="E337" s="5" t="str">
        <f>'Baru NIS'!E337</f>
        <v>102519860 /   0094672744</v>
      </c>
      <c r="F337" s="59" t="str">
        <f>'Baru NIS'!F337</f>
        <v>RAJHA SUGIARTO</v>
      </c>
      <c r="G337" s="5" t="str">
        <f>'Baru NIS'!G337</f>
        <v>L</v>
      </c>
      <c r="H337" s="5" t="str">
        <f>'Baru NIS'!H337</f>
        <v>X TJKT 1</v>
      </c>
      <c r="I337" s="5" t="s">
        <v>5519</v>
      </c>
      <c r="J337" s="5" t="s">
        <v>4671</v>
      </c>
      <c r="K337" s="5" t="str">
        <f t="shared" si="11"/>
        <v>LTKJ</v>
      </c>
    </row>
    <row r="338" spans="1:11" s="53" customFormat="1" x14ac:dyDescent="0.25">
      <c r="A338" s="58" t="str">
        <f t="shared" si="10"/>
        <v>X TJKT 131</v>
      </c>
      <c r="B338" s="171">
        <f>COUNTIF(H$2:H338,H338)</f>
        <v>31</v>
      </c>
      <c r="C338" s="5">
        <f>'Baru NIS'!C338</f>
        <v>102519861</v>
      </c>
      <c r="D338" s="5" t="str">
        <f>'Baru NIS'!D338</f>
        <v>3109672352</v>
      </c>
      <c r="E338" s="5" t="str">
        <f>'Baru NIS'!E338</f>
        <v>102519861 /   3109672352</v>
      </c>
      <c r="F338" s="59" t="str">
        <f>'Baru NIS'!F338</f>
        <v>REVAN FACHRYZAL HATAMI</v>
      </c>
      <c r="G338" s="5" t="str">
        <f>'Baru NIS'!G338</f>
        <v>L</v>
      </c>
      <c r="H338" s="5" t="str">
        <f>'Baru NIS'!H338</f>
        <v>X TJKT 1</v>
      </c>
      <c r="I338" s="5" t="s">
        <v>5519</v>
      </c>
      <c r="J338" s="5" t="s">
        <v>4671</v>
      </c>
      <c r="K338" s="5" t="str">
        <f t="shared" si="11"/>
        <v>LTKJ</v>
      </c>
    </row>
    <row r="339" spans="1:11" s="53" customFormat="1" x14ac:dyDescent="0.25">
      <c r="A339" s="58" t="str">
        <f t="shared" si="10"/>
        <v>X TJKT 132</v>
      </c>
      <c r="B339" s="171">
        <f>COUNTIF(H$2:H339,H339)</f>
        <v>32</v>
      </c>
      <c r="C339" s="5">
        <f>'Baru NIS'!C339</f>
        <v>102519862</v>
      </c>
      <c r="D339" s="5" t="str">
        <f>'Baru NIS'!D339</f>
        <v>0097336698</v>
      </c>
      <c r="E339" s="5" t="str">
        <f>'Baru NIS'!E339</f>
        <v>102519862 /   0097336698</v>
      </c>
      <c r="F339" s="59" t="str">
        <f>'Baru NIS'!F339</f>
        <v>REZKY TRI HARDIKA</v>
      </c>
      <c r="G339" s="5" t="str">
        <f>'Baru NIS'!G339</f>
        <v>L</v>
      </c>
      <c r="H339" s="5" t="str">
        <f>'Baru NIS'!H339</f>
        <v>X TJKT 1</v>
      </c>
      <c r="I339" s="5" t="s">
        <v>5519</v>
      </c>
      <c r="J339" s="5" t="s">
        <v>4671</v>
      </c>
      <c r="K339" s="5" t="str">
        <f t="shared" si="11"/>
        <v>LTKJ</v>
      </c>
    </row>
    <row r="340" spans="1:11" s="53" customFormat="1" x14ac:dyDescent="0.25">
      <c r="A340" s="58" t="str">
        <f t="shared" si="10"/>
        <v>X TJKT 133</v>
      </c>
      <c r="B340" s="171">
        <f>COUNTIF(H$2:H340,H340)</f>
        <v>33</v>
      </c>
      <c r="C340" s="5">
        <f>'Baru NIS'!C340</f>
        <v>102519863</v>
      </c>
      <c r="D340" s="5" t="str">
        <f>'Baru NIS'!D340</f>
        <v>3106287035</v>
      </c>
      <c r="E340" s="5" t="str">
        <f>'Baru NIS'!E340</f>
        <v>102519863 /   3106287035</v>
      </c>
      <c r="F340" s="59" t="str">
        <f>'Baru NIS'!F340</f>
        <v>RIFA ROBBI RADHIYYA</v>
      </c>
      <c r="G340" s="5" t="str">
        <f>'Baru NIS'!G340</f>
        <v>P</v>
      </c>
      <c r="H340" s="5" t="str">
        <f>'Baru NIS'!H340</f>
        <v>X TJKT 1</v>
      </c>
      <c r="I340" s="5" t="s">
        <v>5519</v>
      </c>
      <c r="J340" s="5" t="s">
        <v>4671</v>
      </c>
      <c r="K340" s="5" t="str">
        <f t="shared" si="11"/>
        <v>PTKJ</v>
      </c>
    </row>
    <row r="341" spans="1:11" s="53" customFormat="1" x14ac:dyDescent="0.25">
      <c r="A341" s="58" t="str">
        <f t="shared" si="10"/>
        <v>X TJKT 134</v>
      </c>
      <c r="B341" s="171">
        <f>COUNTIF(H$2:H341,H341)</f>
        <v>34</v>
      </c>
      <c r="C341" s="5">
        <f>'Baru NIS'!C341</f>
        <v>102519864</v>
      </c>
      <c r="D341" s="5" t="str">
        <f>'Baru NIS'!D341</f>
        <v>0091217657</v>
      </c>
      <c r="E341" s="5" t="str">
        <f>'Baru NIS'!E341</f>
        <v>102519864 /   0091217657</v>
      </c>
      <c r="F341" s="59" t="str">
        <f>'Baru NIS'!F341</f>
        <v>SATRIA MAULANA A'DLY</v>
      </c>
      <c r="G341" s="5" t="str">
        <f>'Baru NIS'!G341</f>
        <v>L</v>
      </c>
      <c r="H341" s="5" t="str">
        <f>'Baru NIS'!H341</f>
        <v>X TJKT 1</v>
      </c>
      <c r="I341" s="5" t="s">
        <v>5519</v>
      </c>
      <c r="J341" s="5" t="s">
        <v>4671</v>
      </c>
      <c r="K341" s="5" t="str">
        <f t="shared" si="11"/>
        <v>LTKJ</v>
      </c>
    </row>
    <row r="342" spans="1:11" s="53" customFormat="1" x14ac:dyDescent="0.25">
      <c r="A342" s="58" t="str">
        <f t="shared" si="10"/>
        <v>X TJKT 135</v>
      </c>
      <c r="B342" s="171">
        <f>COUNTIF(H$2:H342,H342)</f>
        <v>35</v>
      </c>
      <c r="C342" s="5">
        <f>'Baru NIS'!C342</f>
        <v>102519865</v>
      </c>
      <c r="D342" s="5" t="str">
        <f>'Baru NIS'!D342</f>
        <v>0108102736</v>
      </c>
      <c r="E342" s="5" t="str">
        <f>'Baru NIS'!E342</f>
        <v>102519865 /   0108102736</v>
      </c>
      <c r="F342" s="59" t="str">
        <f>'Baru NIS'!F342</f>
        <v>SHAFA ATHALIA PUTRI AZAHRA</v>
      </c>
      <c r="G342" s="5" t="str">
        <f>'Baru NIS'!G342</f>
        <v>P</v>
      </c>
      <c r="H342" s="5" t="str">
        <f>'Baru NIS'!H342</f>
        <v>X TJKT 1</v>
      </c>
      <c r="I342" s="5" t="s">
        <v>5519</v>
      </c>
      <c r="J342" s="5" t="s">
        <v>4671</v>
      </c>
      <c r="K342" s="5" t="str">
        <f t="shared" si="11"/>
        <v>PTKJ</v>
      </c>
    </row>
    <row r="343" spans="1:11" s="53" customFormat="1" x14ac:dyDescent="0.25">
      <c r="A343" s="58" t="str">
        <f t="shared" si="10"/>
        <v>X TJKT 136</v>
      </c>
      <c r="B343" s="171">
        <f>COUNTIF(H$2:H343,H343)</f>
        <v>36</v>
      </c>
      <c r="C343" s="5">
        <f>'Baru NIS'!C343</f>
        <v>102519866</v>
      </c>
      <c r="D343" s="5" t="str">
        <f>'Baru NIS'!D343</f>
        <v>0095421044</v>
      </c>
      <c r="E343" s="5" t="str">
        <f>'Baru NIS'!E343</f>
        <v>102519866 /   0095421044</v>
      </c>
      <c r="F343" s="59" t="str">
        <f>'Baru NIS'!F343</f>
        <v>SYUKUR MEDALI AKBAR</v>
      </c>
      <c r="G343" s="5" t="str">
        <f>'Baru NIS'!G343</f>
        <v>L</v>
      </c>
      <c r="H343" s="5" t="str">
        <f>'Baru NIS'!H343</f>
        <v>X TJKT 1</v>
      </c>
      <c r="I343" s="5" t="s">
        <v>5519</v>
      </c>
      <c r="J343" s="5" t="s">
        <v>4671</v>
      </c>
      <c r="K343" s="5" t="str">
        <f t="shared" si="11"/>
        <v>LTKJ</v>
      </c>
    </row>
    <row r="344" spans="1:11" s="53" customFormat="1" x14ac:dyDescent="0.25">
      <c r="A344" s="58" t="str">
        <f t="shared" si="10"/>
        <v>X TJKT 137</v>
      </c>
      <c r="B344" s="171">
        <f>COUNTIF(H$2:H344,H344)</f>
        <v>37</v>
      </c>
      <c r="C344" s="5">
        <f>'Baru NIS'!C344</f>
        <v>102519867</v>
      </c>
      <c r="D344" s="5" t="str">
        <f>'Baru NIS'!D344</f>
        <v>0106882336</v>
      </c>
      <c r="E344" s="5" t="str">
        <f>'Baru NIS'!E344</f>
        <v>102519867 /   0106882336</v>
      </c>
      <c r="F344" s="59" t="str">
        <f>'Baru NIS'!F344</f>
        <v>TABINA RAISSA</v>
      </c>
      <c r="G344" s="5" t="str">
        <f>'Baru NIS'!G344</f>
        <v>P</v>
      </c>
      <c r="H344" s="5" t="str">
        <f>'Baru NIS'!H344</f>
        <v>X TJKT 1</v>
      </c>
      <c r="I344" s="5" t="s">
        <v>5519</v>
      </c>
      <c r="J344" s="5" t="s">
        <v>4671</v>
      </c>
      <c r="K344" s="5" t="str">
        <f t="shared" si="11"/>
        <v>PTKJ</v>
      </c>
    </row>
    <row r="345" spans="1:11" s="53" customFormat="1" x14ac:dyDescent="0.25">
      <c r="A345" s="58" t="str">
        <f t="shared" si="10"/>
        <v>X TJKT 138</v>
      </c>
      <c r="B345" s="171">
        <f>COUNTIF(H$2:H345,H345)</f>
        <v>38</v>
      </c>
      <c r="C345" s="5">
        <f>'Baru NIS'!C345</f>
        <v>102519868</v>
      </c>
      <c r="D345" s="5" t="str">
        <f>'Baru NIS'!D345</f>
        <v>0095886829</v>
      </c>
      <c r="E345" s="5" t="str">
        <f>'Baru NIS'!E345</f>
        <v>102519868 /   0095886829</v>
      </c>
      <c r="F345" s="59" t="str">
        <f>'Baru NIS'!F345</f>
        <v>VEGA FIRMANSYAH</v>
      </c>
      <c r="G345" s="5" t="str">
        <f>'Baru NIS'!G345</f>
        <v>L</v>
      </c>
      <c r="H345" s="5" t="str">
        <f>'Baru NIS'!H345</f>
        <v>X TJKT 1</v>
      </c>
      <c r="I345" s="5" t="s">
        <v>5519</v>
      </c>
      <c r="J345" s="5" t="s">
        <v>4671</v>
      </c>
      <c r="K345" s="5" t="str">
        <f t="shared" si="11"/>
        <v>LTKJ</v>
      </c>
    </row>
    <row r="346" spans="1:11" s="53" customFormat="1" x14ac:dyDescent="0.25">
      <c r="A346" s="58" t="str">
        <f t="shared" si="10"/>
        <v>X TJKT 139</v>
      </c>
      <c r="B346" s="171">
        <f>COUNTIF(H$2:H346,H346)</f>
        <v>39</v>
      </c>
      <c r="C346" s="5">
        <f>'Baru NIS'!C346</f>
        <v>102519869</v>
      </c>
      <c r="D346" s="5" t="str">
        <f>'Baru NIS'!D346</f>
        <v>3101261144</v>
      </c>
      <c r="E346" s="5" t="str">
        <f>'Baru NIS'!E346</f>
        <v>102519869 /   3101261144</v>
      </c>
      <c r="F346" s="59" t="str">
        <f>'Baru NIS'!F346</f>
        <v>ZAKY ORLANDO IRAWAN</v>
      </c>
      <c r="G346" s="5" t="str">
        <f>'Baru NIS'!G346</f>
        <v>L</v>
      </c>
      <c r="H346" s="5" t="str">
        <f>'Baru NIS'!H346</f>
        <v>X TJKT 1</v>
      </c>
      <c r="I346" s="5" t="s">
        <v>5519</v>
      </c>
      <c r="J346" s="5" t="s">
        <v>4671</v>
      </c>
      <c r="K346" s="5" t="str">
        <f t="shared" si="11"/>
        <v>LTKJ</v>
      </c>
    </row>
    <row r="347" spans="1:11" s="53" customFormat="1" x14ac:dyDescent="0.25">
      <c r="A347" s="58" t="str">
        <f t="shared" si="10"/>
        <v>X TJKT 21</v>
      </c>
      <c r="B347" s="171">
        <f>COUNTIF(H$2:H347,H347)</f>
        <v>1</v>
      </c>
      <c r="C347" s="5">
        <f>'Baru NIS'!C347</f>
        <v>102519870</v>
      </c>
      <c r="D347" s="5">
        <f>'Baru NIS'!D347</f>
        <v>0</v>
      </c>
      <c r="E347" s="5" t="str">
        <f>'Baru NIS'!E347</f>
        <v>102519870 /   0</v>
      </c>
      <c r="F347" s="59" t="str">
        <f>'Baru NIS'!F347</f>
        <v>ADITHYA SANGKHYLANG</v>
      </c>
      <c r="G347" s="5" t="str">
        <f>'Baru NIS'!G347</f>
        <v>L</v>
      </c>
      <c r="H347" s="5" t="str">
        <f>'Baru NIS'!H347</f>
        <v>X TJKT 2</v>
      </c>
      <c r="I347" s="5" t="s">
        <v>5519</v>
      </c>
      <c r="J347" s="5" t="s">
        <v>4671</v>
      </c>
      <c r="K347" s="5" t="str">
        <f t="shared" si="11"/>
        <v>LTKJ</v>
      </c>
    </row>
    <row r="348" spans="1:11" s="53" customFormat="1" x14ac:dyDescent="0.25">
      <c r="A348" s="58" t="str">
        <f t="shared" si="10"/>
        <v>X TJKT 22</v>
      </c>
      <c r="B348" s="171">
        <f>COUNTIF(H$2:H348,H348)</f>
        <v>2</v>
      </c>
      <c r="C348" s="5">
        <f>'Baru NIS'!C348</f>
        <v>102519871</v>
      </c>
      <c r="D348" s="5" t="str">
        <f>'Baru NIS'!D348</f>
        <v>0091414971</v>
      </c>
      <c r="E348" s="5" t="str">
        <f>'Baru NIS'!E348</f>
        <v>102519871 /   0091414971</v>
      </c>
      <c r="F348" s="59" t="str">
        <f>'Baru NIS'!F348</f>
        <v>AIRA SUCI RAHMADANI</v>
      </c>
      <c r="G348" s="5" t="str">
        <f>'Baru NIS'!G348</f>
        <v>P</v>
      </c>
      <c r="H348" s="5" t="str">
        <f>'Baru NIS'!H348</f>
        <v>X TJKT 2</v>
      </c>
      <c r="I348" s="5" t="s">
        <v>5519</v>
      </c>
      <c r="J348" s="5" t="s">
        <v>4671</v>
      </c>
      <c r="K348" s="5" t="str">
        <f t="shared" si="11"/>
        <v>PTKJ</v>
      </c>
    </row>
    <row r="349" spans="1:11" s="53" customFormat="1" x14ac:dyDescent="0.25">
      <c r="A349" s="58" t="str">
        <f t="shared" si="10"/>
        <v>X TJKT 23</v>
      </c>
      <c r="B349" s="171">
        <f>COUNTIF(H$2:H349,H349)</f>
        <v>3</v>
      </c>
      <c r="C349" s="5">
        <f>'Baru NIS'!C349</f>
        <v>102519872</v>
      </c>
      <c r="D349" s="5" t="str">
        <f>'Baru NIS'!D349</f>
        <v>0098142420</v>
      </c>
      <c r="E349" s="5" t="str">
        <f>'Baru NIS'!E349</f>
        <v>102519872 /   0098142420</v>
      </c>
      <c r="F349" s="59" t="str">
        <f>'Baru NIS'!F349</f>
        <v>ANDINY AZAHRA</v>
      </c>
      <c r="G349" s="5" t="str">
        <f>'Baru NIS'!G349</f>
        <v>P</v>
      </c>
      <c r="H349" s="5" t="str">
        <f>'Baru NIS'!H349</f>
        <v>X TJKT 2</v>
      </c>
      <c r="I349" s="5" t="s">
        <v>5519</v>
      </c>
      <c r="J349" s="5" t="s">
        <v>4671</v>
      </c>
      <c r="K349" s="5" t="str">
        <f t="shared" si="11"/>
        <v>PTKJ</v>
      </c>
    </row>
    <row r="350" spans="1:11" s="53" customFormat="1" x14ac:dyDescent="0.25">
      <c r="A350" s="58" t="str">
        <f t="shared" si="10"/>
        <v>X TJKT 24</v>
      </c>
      <c r="B350" s="171">
        <f>COUNTIF(H$2:H350,H350)</f>
        <v>4</v>
      </c>
      <c r="C350" s="5">
        <f>'Baru NIS'!C350</f>
        <v>102519873</v>
      </c>
      <c r="D350" s="5">
        <f>'Baru NIS'!D350</f>
        <v>0</v>
      </c>
      <c r="E350" s="5" t="str">
        <f>'Baru NIS'!E350</f>
        <v>102519873 /   0</v>
      </c>
      <c r="F350" s="59" t="str">
        <f>'Baru NIS'!F350</f>
        <v>ANDRE FAZHAR RAMADHAN</v>
      </c>
      <c r="G350" s="5" t="str">
        <f>'Baru NIS'!G350</f>
        <v>L</v>
      </c>
      <c r="H350" s="5" t="str">
        <f>'Baru NIS'!H350</f>
        <v>X TJKT 2</v>
      </c>
      <c r="I350" s="5" t="s">
        <v>5519</v>
      </c>
      <c r="J350" s="5" t="s">
        <v>4671</v>
      </c>
      <c r="K350" s="5" t="str">
        <f t="shared" si="11"/>
        <v>LTKJ</v>
      </c>
    </row>
    <row r="351" spans="1:11" s="53" customFormat="1" x14ac:dyDescent="0.25">
      <c r="A351" s="58" t="str">
        <f t="shared" si="10"/>
        <v>X TJKT 25</v>
      </c>
      <c r="B351" s="171">
        <f>COUNTIF(H$2:H351,H351)</f>
        <v>5</v>
      </c>
      <c r="C351" s="5">
        <f>'Baru NIS'!C351</f>
        <v>102519874</v>
      </c>
      <c r="D351" s="5" t="str">
        <f>'Baru NIS'!D351</f>
        <v>0109448850</v>
      </c>
      <c r="E351" s="5" t="str">
        <f>'Baru NIS'!E351</f>
        <v>102519874 /   0109448850</v>
      </c>
      <c r="F351" s="59" t="str">
        <f>'Baru NIS'!F351</f>
        <v>ARGA MAULANA</v>
      </c>
      <c r="G351" s="5" t="str">
        <f>'Baru NIS'!G351</f>
        <v>L</v>
      </c>
      <c r="H351" s="5" t="str">
        <f>'Baru NIS'!H351</f>
        <v>X TJKT 2</v>
      </c>
      <c r="I351" s="5" t="s">
        <v>5519</v>
      </c>
      <c r="J351" s="5" t="s">
        <v>4671</v>
      </c>
      <c r="K351" s="5" t="str">
        <f t="shared" si="11"/>
        <v>LTKJ</v>
      </c>
    </row>
    <row r="352" spans="1:11" s="53" customFormat="1" x14ac:dyDescent="0.25">
      <c r="A352" s="58" t="str">
        <f t="shared" si="10"/>
        <v>X TJKT 26</v>
      </c>
      <c r="B352" s="171">
        <f>COUNTIF(H$2:H352,H352)</f>
        <v>6</v>
      </c>
      <c r="C352" s="5">
        <f>'Baru NIS'!C352</f>
        <v>102519875</v>
      </c>
      <c r="D352" s="5" t="str">
        <f>'Baru NIS'!D352</f>
        <v>0095423074</v>
      </c>
      <c r="E352" s="5" t="str">
        <f>'Baru NIS'!E352</f>
        <v>102519875 /   0095423074</v>
      </c>
      <c r="F352" s="59" t="str">
        <f>'Baru NIS'!F352</f>
        <v>ARWAN MUHAMMAD ILHAM</v>
      </c>
      <c r="G352" s="5" t="str">
        <f>'Baru NIS'!G352</f>
        <v>L</v>
      </c>
      <c r="H352" s="5" t="str">
        <f>'Baru NIS'!H352</f>
        <v>X TJKT 2</v>
      </c>
      <c r="I352" s="5" t="s">
        <v>5519</v>
      </c>
      <c r="J352" s="5" t="s">
        <v>4671</v>
      </c>
      <c r="K352" s="5" t="str">
        <f t="shared" si="11"/>
        <v>LTKJ</v>
      </c>
    </row>
    <row r="353" spans="1:11" s="53" customFormat="1" x14ac:dyDescent="0.25">
      <c r="A353" s="58" t="str">
        <f t="shared" si="10"/>
        <v>X TJKT 27</v>
      </c>
      <c r="B353" s="171">
        <f>COUNTIF(H$2:H353,H353)</f>
        <v>7</v>
      </c>
      <c r="C353" s="5">
        <f>'Baru NIS'!C353</f>
        <v>102519876</v>
      </c>
      <c r="D353" s="5" t="str">
        <f>'Baru NIS'!D353</f>
        <v>0094434107</v>
      </c>
      <c r="E353" s="5" t="str">
        <f>'Baru NIS'!E353</f>
        <v>102519876 /   0094434107</v>
      </c>
      <c r="F353" s="59" t="str">
        <f>'Baru NIS'!F353</f>
        <v>ARYA MAULANA DIHARDJA</v>
      </c>
      <c r="G353" s="5" t="str">
        <f>'Baru NIS'!G353</f>
        <v>L</v>
      </c>
      <c r="H353" s="5" t="str">
        <f>'Baru NIS'!H353</f>
        <v>X TJKT 2</v>
      </c>
      <c r="I353" s="5" t="s">
        <v>5519</v>
      </c>
      <c r="J353" s="5" t="s">
        <v>4671</v>
      </c>
      <c r="K353" s="5" t="str">
        <f t="shared" si="11"/>
        <v>LTKJ</v>
      </c>
    </row>
    <row r="354" spans="1:11" s="53" customFormat="1" x14ac:dyDescent="0.25">
      <c r="A354" s="58" t="str">
        <f t="shared" si="10"/>
        <v>X TJKT 28</v>
      </c>
      <c r="B354" s="171">
        <f>COUNTIF(H$2:H354,H354)</f>
        <v>8</v>
      </c>
      <c r="C354" s="5">
        <f>'Baru NIS'!C354</f>
        <v>102519877</v>
      </c>
      <c r="D354" s="5" t="str">
        <f>'Baru NIS'!D354</f>
        <v>0102481525</v>
      </c>
      <c r="E354" s="5" t="str">
        <f>'Baru NIS'!E354</f>
        <v>102519877 /   0102481525</v>
      </c>
      <c r="F354" s="59" t="str">
        <f>'Baru NIS'!F354</f>
        <v>ATAYA FAKHRI RISQULLAH</v>
      </c>
      <c r="G354" s="5" t="str">
        <f>'Baru NIS'!G354</f>
        <v>L</v>
      </c>
      <c r="H354" s="5" t="str">
        <f>'Baru NIS'!H354</f>
        <v>X TJKT 2</v>
      </c>
      <c r="I354" s="5" t="s">
        <v>5519</v>
      </c>
      <c r="J354" s="5" t="s">
        <v>4671</v>
      </c>
      <c r="K354" s="5" t="str">
        <f t="shared" si="11"/>
        <v>LTKJ</v>
      </c>
    </row>
    <row r="355" spans="1:11" s="53" customFormat="1" x14ac:dyDescent="0.25">
      <c r="A355" s="58" t="str">
        <f t="shared" si="10"/>
        <v>X TJKT 29</v>
      </c>
      <c r="B355" s="171">
        <f>COUNTIF(H$2:H355,H355)</f>
        <v>9</v>
      </c>
      <c r="C355" s="5">
        <f>'Baru NIS'!C355</f>
        <v>102519878</v>
      </c>
      <c r="D355" s="5" t="str">
        <f>'Baru NIS'!D355</f>
        <v>0107831672</v>
      </c>
      <c r="E355" s="5" t="str">
        <f>'Baru NIS'!E355</f>
        <v>102519878 /   0107831672</v>
      </c>
      <c r="F355" s="59" t="str">
        <f>'Baru NIS'!F355</f>
        <v>AZELIA PIECESA</v>
      </c>
      <c r="G355" s="5" t="str">
        <f>'Baru NIS'!G355</f>
        <v>P</v>
      </c>
      <c r="H355" s="5" t="str">
        <f>'Baru NIS'!H355</f>
        <v>X TJKT 2</v>
      </c>
      <c r="I355" s="5" t="s">
        <v>5519</v>
      </c>
      <c r="J355" s="5" t="s">
        <v>4671</v>
      </c>
      <c r="K355" s="5" t="str">
        <f t="shared" si="11"/>
        <v>PTKJ</v>
      </c>
    </row>
    <row r="356" spans="1:11" s="53" customFormat="1" x14ac:dyDescent="0.25">
      <c r="A356" s="58" t="str">
        <f t="shared" si="10"/>
        <v>X TJKT 210</v>
      </c>
      <c r="B356" s="171">
        <f>COUNTIF(H$2:H356,H356)</f>
        <v>10</v>
      </c>
      <c r="C356" s="5">
        <f>'Baru NIS'!C356</f>
        <v>102519879</v>
      </c>
      <c r="D356" s="5" t="str">
        <f>'Baru NIS'!D356</f>
        <v>0096640879</v>
      </c>
      <c r="E356" s="5" t="str">
        <f>'Baru NIS'!E356</f>
        <v>102519879 /   0096640879</v>
      </c>
      <c r="F356" s="59" t="str">
        <f>'Baru NIS'!F356</f>
        <v>DANNY PRATAMA</v>
      </c>
      <c r="G356" s="5" t="str">
        <f>'Baru NIS'!G356</f>
        <v>L</v>
      </c>
      <c r="H356" s="5" t="str">
        <f>'Baru NIS'!H356</f>
        <v>X TJKT 2</v>
      </c>
      <c r="I356" s="5" t="s">
        <v>5519</v>
      </c>
      <c r="J356" s="5" t="s">
        <v>4671</v>
      </c>
      <c r="K356" s="5" t="str">
        <f t="shared" si="11"/>
        <v>LTKJ</v>
      </c>
    </row>
    <row r="357" spans="1:11" s="53" customFormat="1" x14ac:dyDescent="0.25">
      <c r="A357" s="58" t="str">
        <f t="shared" si="10"/>
        <v>X TJKT 211</v>
      </c>
      <c r="B357" s="171">
        <f>COUNTIF(H$2:H357,H357)</f>
        <v>11</v>
      </c>
      <c r="C357" s="5">
        <f>'Baru NIS'!C357</f>
        <v>102519880</v>
      </c>
      <c r="D357" s="5" t="str">
        <f>'Baru NIS'!D357</f>
        <v>0102890302</v>
      </c>
      <c r="E357" s="5" t="str">
        <f>'Baru NIS'!E357</f>
        <v>102519880 /   0102890302</v>
      </c>
      <c r="F357" s="59" t="str">
        <f>'Baru NIS'!F357</f>
        <v>DIKA CAHYA SAPUTRA</v>
      </c>
      <c r="G357" s="5" t="str">
        <f>'Baru NIS'!G357</f>
        <v>L</v>
      </c>
      <c r="H357" s="5" t="str">
        <f>'Baru NIS'!H357</f>
        <v>X TJKT 2</v>
      </c>
      <c r="I357" s="5" t="s">
        <v>5519</v>
      </c>
      <c r="J357" s="5" t="s">
        <v>4671</v>
      </c>
      <c r="K357" s="5" t="str">
        <f t="shared" si="11"/>
        <v>LTKJ</v>
      </c>
    </row>
    <row r="358" spans="1:11" s="53" customFormat="1" x14ac:dyDescent="0.25">
      <c r="A358" s="58" t="str">
        <f t="shared" si="10"/>
        <v>X TJKT 212</v>
      </c>
      <c r="B358" s="171">
        <f>COUNTIF(H$2:H358,H358)</f>
        <v>12</v>
      </c>
      <c r="C358" s="5">
        <f>'Baru NIS'!C358</f>
        <v>102519881</v>
      </c>
      <c r="D358" s="5" t="str">
        <f>'Baru NIS'!D358</f>
        <v>0106562369</v>
      </c>
      <c r="E358" s="5" t="str">
        <f>'Baru NIS'!E358</f>
        <v>102519881 /   0106562369</v>
      </c>
      <c r="F358" s="59" t="str">
        <f>'Baru NIS'!F358</f>
        <v>EMIR RAFANSYAH WIBOWO</v>
      </c>
      <c r="G358" s="5" t="str">
        <f>'Baru NIS'!G358</f>
        <v>L</v>
      </c>
      <c r="H358" s="5" t="str">
        <f>'Baru NIS'!H358</f>
        <v>X TJKT 2</v>
      </c>
      <c r="I358" s="5" t="s">
        <v>5519</v>
      </c>
      <c r="J358" s="5" t="s">
        <v>4671</v>
      </c>
      <c r="K358" s="5" t="str">
        <f t="shared" si="11"/>
        <v>LTKJ</v>
      </c>
    </row>
    <row r="359" spans="1:11" s="53" customFormat="1" x14ac:dyDescent="0.25">
      <c r="A359" s="58" t="str">
        <f t="shared" si="10"/>
        <v>X TJKT 213</v>
      </c>
      <c r="B359" s="171">
        <f>COUNTIF(H$2:H359,H359)</f>
        <v>13</v>
      </c>
      <c r="C359" s="5">
        <f>'Baru NIS'!C359</f>
        <v>102519882</v>
      </c>
      <c r="D359" s="5" t="str">
        <f>'Baru NIS'!D359</f>
        <v>0097556617</v>
      </c>
      <c r="E359" s="5" t="str">
        <f>'Baru NIS'!E359</f>
        <v>102519882 /   0097556617</v>
      </c>
      <c r="F359" s="59" t="str">
        <f>'Baru NIS'!F359</f>
        <v>FARIZ AKBAR KUSUMAH</v>
      </c>
      <c r="G359" s="5" t="str">
        <f>'Baru NIS'!G359</f>
        <v>L</v>
      </c>
      <c r="H359" s="5" t="str">
        <f>'Baru NIS'!H359</f>
        <v>X TJKT 2</v>
      </c>
      <c r="I359" s="5" t="s">
        <v>5519</v>
      </c>
      <c r="J359" s="5" t="s">
        <v>4671</v>
      </c>
      <c r="K359" s="5" t="str">
        <f t="shared" si="11"/>
        <v>LTKJ</v>
      </c>
    </row>
    <row r="360" spans="1:11" s="53" customFormat="1" x14ac:dyDescent="0.25">
      <c r="A360" s="58" t="str">
        <f t="shared" si="10"/>
        <v>X TJKT 214</v>
      </c>
      <c r="B360" s="171">
        <f>COUNTIF(H$2:H360,H360)</f>
        <v>14</v>
      </c>
      <c r="C360" s="5">
        <f>'Baru NIS'!C360</f>
        <v>102519883</v>
      </c>
      <c r="D360" s="5">
        <f>'Baru NIS'!D360</f>
        <v>0</v>
      </c>
      <c r="E360" s="5" t="str">
        <f>'Baru NIS'!E360</f>
        <v>102519883 /   0</v>
      </c>
      <c r="F360" s="59" t="str">
        <f>'Baru NIS'!F360</f>
        <v>FIRDAUS ARIZAL HAKIM</v>
      </c>
      <c r="G360" s="5" t="str">
        <f>'Baru NIS'!G360</f>
        <v>L</v>
      </c>
      <c r="H360" s="5" t="str">
        <f>'Baru NIS'!H360</f>
        <v>X TJKT 2</v>
      </c>
      <c r="I360" s="5" t="s">
        <v>5519</v>
      </c>
      <c r="J360" s="5" t="s">
        <v>4671</v>
      </c>
      <c r="K360" s="5" t="str">
        <f t="shared" si="11"/>
        <v>LTKJ</v>
      </c>
    </row>
    <row r="361" spans="1:11" s="53" customFormat="1" x14ac:dyDescent="0.25">
      <c r="A361" s="58" t="str">
        <f t="shared" si="10"/>
        <v>X TJKT 215</v>
      </c>
      <c r="B361" s="171">
        <f>COUNTIF(H$2:H361,H361)</f>
        <v>15</v>
      </c>
      <c r="C361" s="5">
        <f>'Baru NIS'!C361</f>
        <v>102519884</v>
      </c>
      <c r="D361" s="5" t="str">
        <f>'Baru NIS'!D361</f>
        <v>0097167723</v>
      </c>
      <c r="E361" s="5" t="str">
        <f>'Baru NIS'!E361</f>
        <v>102519884 /   0097167723</v>
      </c>
      <c r="F361" s="59" t="str">
        <f>'Baru NIS'!F361</f>
        <v>GEOVAN RIZQI PUTRANANDA SYAEFUDIN</v>
      </c>
      <c r="G361" s="5" t="str">
        <f>'Baru NIS'!G361</f>
        <v>L</v>
      </c>
      <c r="H361" s="5" t="str">
        <f>'Baru NIS'!H361</f>
        <v>X TJKT 2</v>
      </c>
      <c r="I361" s="5" t="s">
        <v>5519</v>
      </c>
      <c r="J361" s="5" t="s">
        <v>4671</v>
      </c>
      <c r="K361" s="5" t="str">
        <f t="shared" si="11"/>
        <v>LTKJ</v>
      </c>
    </row>
    <row r="362" spans="1:11" s="53" customFormat="1" x14ac:dyDescent="0.25">
      <c r="A362" s="58" t="str">
        <f t="shared" si="10"/>
        <v>X TJKT 216</v>
      </c>
      <c r="B362" s="171">
        <f>COUNTIF(H$2:H362,H362)</f>
        <v>16</v>
      </c>
      <c r="C362" s="5">
        <f>'Baru NIS'!C362</f>
        <v>102519885</v>
      </c>
      <c r="D362" s="5" t="str">
        <f>'Baru NIS'!D362</f>
        <v>0102179925</v>
      </c>
      <c r="E362" s="5" t="str">
        <f>'Baru NIS'!E362</f>
        <v>102519885 /   0102179925</v>
      </c>
      <c r="F362" s="59" t="str">
        <f>'Baru NIS'!F362</f>
        <v>KAISA PUTRI</v>
      </c>
      <c r="G362" s="5" t="str">
        <f>'Baru NIS'!G362</f>
        <v>P</v>
      </c>
      <c r="H362" s="5" t="str">
        <f>'Baru NIS'!H362</f>
        <v>X TJKT 2</v>
      </c>
      <c r="I362" s="5" t="s">
        <v>5519</v>
      </c>
      <c r="J362" s="5" t="s">
        <v>4671</v>
      </c>
      <c r="K362" s="5" t="str">
        <f t="shared" si="11"/>
        <v>PTKJ</v>
      </c>
    </row>
    <row r="363" spans="1:11" s="53" customFormat="1" x14ac:dyDescent="0.25">
      <c r="A363" s="58" t="str">
        <f t="shared" si="10"/>
        <v>X TJKT 217</v>
      </c>
      <c r="B363" s="171">
        <f>COUNTIF(H$2:H363,H363)</f>
        <v>17</v>
      </c>
      <c r="C363" s="5">
        <f>'Baru NIS'!C363</f>
        <v>102519886</v>
      </c>
      <c r="D363" s="5" t="str">
        <f>'Baru NIS'!D363</f>
        <v>0081343730</v>
      </c>
      <c r="E363" s="5" t="str">
        <f>'Baru NIS'!E363</f>
        <v>102519886 /   0081343730</v>
      </c>
      <c r="F363" s="59" t="str">
        <f>'Baru NIS'!F363</f>
        <v>LUKI SUBAGJA</v>
      </c>
      <c r="G363" s="5" t="str">
        <f>'Baru NIS'!G363</f>
        <v>L</v>
      </c>
      <c r="H363" s="5" t="str">
        <f>'Baru NIS'!H363</f>
        <v>X TJKT 2</v>
      </c>
      <c r="I363" s="5" t="s">
        <v>5519</v>
      </c>
      <c r="J363" s="5" t="s">
        <v>4671</v>
      </c>
      <c r="K363" s="5" t="str">
        <f t="shared" si="11"/>
        <v>LTKJ</v>
      </c>
    </row>
    <row r="364" spans="1:11" s="53" customFormat="1" x14ac:dyDescent="0.25">
      <c r="A364" s="58" t="str">
        <f t="shared" si="10"/>
        <v>X TJKT 218</v>
      </c>
      <c r="B364" s="171">
        <f>COUNTIF(H$2:H364,H364)</f>
        <v>18</v>
      </c>
      <c r="C364" s="5">
        <f>'Baru NIS'!C364</f>
        <v>102519887</v>
      </c>
      <c r="D364" s="5" t="str">
        <f>'Baru NIS'!D364</f>
        <v>0107931788</v>
      </c>
      <c r="E364" s="5" t="str">
        <f>'Baru NIS'!E364</f>
        <v>102519887 /   0107931788</v>
      </c>
      <c r="F364" s="59" t="str">
        <f>'Baru NIS'!F364</f>
        <v>M. NAZRIL MAULANA SAPUTRA</v>
      </c>
      <c r="G364" s="5" t="str">
        <f>'Baru NIS'!G364</f>
        <v>L</v>
      </c>
      <c r="H364" s="5" t="str">
        <f>'Baru NIS'!H364</f>
        <v>X TJKT 2</v>
      </c>
      <c r="I364" s="5" t="s">
        <v>5519</v>
      </c>
      <c r="J364" s="5" t="s">
        <v>4671</v>
      </c>
      <c r="K364" s="5" t="str">
        <f t="shared" si="11"/>
        <v>LTKJ</v>
      </c>
    </row>
    <row r="365" spans="1:11" s="53" customFormat="1" x14ac:dyDescent="0.25">
      <c r="A365" s="58" t="str">
        <f t="shared" si="10"/>
        <v>X TJKT 219</v>
      </c>
      <c r="B365" s="171">
        <f>COUNTIF(H$2:H365,H365)</f>
        <v>19</v>
      </c>
      <c r="C365" s="5">
        <f>'Baru NIS'!C365</f>
        <v>102519888</v>
      </c>
      <c r="D365" s="5" t="str">
        <f>'Baru NIS'!D365</f>
        <v>0103640448</v>
      </c>
      <c r="E365" s="5" t="str">
        <f>'Baru NIS'!E365</f>
        <v>102519888 /   0103640448</v>
      </c>
      <c r="F365" s="59" t="str">
        <f>'Baru NIS'!F365</f>
        <v>MARSYA AZAHRA</v>
      </c>
      <c r="G365" s="5" t="str">
        <f>'Baru NIS'!G365</f>
        <v>P</v>
      </c>
      <c r="H365" s="5" t="str">
        <f>'Baru NIS'!H365</f>
        <v>X TJKT 2</v>
      </c>
      <c r="I365" s="5" t="s">
        <v>5519</v>
      </c>
      <c r="J365" s="5" t="s">
        <v>4671</v>
      </c>
      <c r="K365" s="5" t="str">
        <f t="shared" si="11"/>
        <v>PTKJ</v>
      </c>
    </row>
    <row r="366" spans="1:11" s="53" customFormat="1" x14ac:dyDescent="0.25">
      <c r="A366" s="58" t="str">
        <f t="shared" si="10"/>
        <v>X TJKT 220</v>
      </c>
      <c r="B366" s="171">
        <f>COUNTIF(H$2:H366,H366)</f>
        <v>20</v>
      </c>
      <c r="C366" s="5">
        <f>'Baru NIS'!C366</f>
        <v>102519889</v>
      </c>
      <c r="D366" s="5" t="str">
        <f>'Baru NIS'!D366</f>
        <v>0092605880</v>
      </c>
      <c r="E366" s="5" t="str">
        <f>'Baru NIS'!E366</f>
        <v>102519889 /   0092605880</v>
      </c>
      <c r="F366" s="59" t="str">
        <f>'Baru NIS'!F366</f>
        <v>MOCH DZAKI PUTRA ADHIYANTO</v>
      </c>
      <c r="G366" s="5" t="str">
        <f>'Baru NIS'!G366</f>
        <v>L</v>
      </c>
      <c r="H366" s="5" t="str">
        <f>'Baru NIS'!H366</f>
        <v>X TJKT 2</v>
      </c>
      <c r="I366" s="5" t="s">
        <v>5519</v>
      </c>
      <c r="J366" s="5" t="s">
        <v>4671</v>
      </c>
      <c r="K366" s="5" t="str">
        <f t="shared" si="11"/>
        <v>LTKJ</v>
      </c>
    </row>
    <row r="367" spans="1:11" s="53" customFormat="1" x14ac:dyDescent="0.25">
      <c r="A367" s="58" t="str">
        <f t="shared" si="10"/>
        <v>X TJKT 221</v>
      </c>
      <c r="B367" s="171">
        <f>COUNTIF(H$2:H367,H367)</f>
        <v>21</v>
      </c>
      <c r="C367" s="5">
        <f>'Baru NIS'!C367</f>
        <v>102519890</v>
      </c>
      <c r="D367" s="5" t="str">
        <f>'Baru NIS'!D367</f>
        <v>0106032347</v>
      </c>
      <c r="E367" s="5" t="str">
        <f>'Baru NIS'!E367</f>
        <v>102519890 /   0106032347</v>
      </c>
      <c r="F367" s="59" t="str">
        <f>'Baru NIS'!F367</f>
        <v>MUHAMAD GIOVANNI PERDANA</v>
      </c>
      <c r="G367" s="5" t="str">
        <f>'Baru NIS'!G367</f>
        <v>L</v>
      </c>
      <c r="H367" s="5" t="str">
        <f>'Baru NIS'!H367</f>
        <v>X TJKT 2</v>
      </c>
      <c r="I367" s="5" t="s">
        <v>5519</v>
      </c>
      <c r="J367" s="5" t="s">
        <v>4671</v>
      </c>
      <c r="K367" s="5" t="str">
        <f t="shared" si="11"/>
        <v>LTKJ</v>
      </c>
    </row>
    <row r="368" spans="1:11" s="53" customFormat="1" x14ac:dyDescent="0.25">
      <c r="A368" s="58" t="str">
        <f t="shared" si="10"/>
        <v>X TJKT 222</v>
      </c>
      <c r="B368" s="171">
        <f>COUNTIF(H$2:H368,H368)</f>
        <v>22</v>
      </c>
      <c r="C368" s="5">
        <f>'Baru NIS'!C368</f>
        <v>102519891</v>
      </c>
      <c r="D368" s="5" t="str">
        <f>'Baru NIS'!D368</f>
        <v>0092406383</v>
      </c>
      <c r="E368" s="5" t="str">
        <f>'Baru NIS'!E368</f>
        <v>102519891 /   0092406383</v>
      </c>
      <c r="F368" s="59" t="str">
        <f>'Baru NIS'!F368</f>
        <v>MUHAMMAD AKMAL LATIEF AZHAR</v>
      </c>
      <c r="G368" s="5" t="str">
        <f>'Baru NIS'!G368</f>
        <v>L</v>
      </c>
      <c r="H368" s="5" t="str">
        <f>'Baru NIS'!H368</f>
        <v>X TJKT 2</v>
      </c>
      <c r="I368" s="5" t="s">
        <v>5519</v>
      </c>
      <c r="J368" s="5" t="s">
        <v>4671</v>
      </c>
      <c r="K368" s="5" t="str">
        <f t="shared" si="11"/>
        <v>LTKJ</v>
      </c>
    </row>
    <row r="369" spans="1:11" s="53" customFormat="1" x14ac:dyDescent="0.25">
      <c r="A369" s="58" t="str">
        <f t="shared" si="10"/>
        <v>X TJKT 223</v>
      </c>
      <c r="B369" s="171">
        <f>COUNTIF(H$2:H369,H369)</f>
        <v>23</v>
      </c>
      <c r="C369" s="5">
        <f>'Baru NIS'!C369</f>
        <v>102519892</v>
      </c>
      <c r="D369" s="5" t="str">
        <f>'Baru NIS'!D369</f>
        <v>0096386627</v>
      </c>
      <c r="E369" s="5" t="str">
        <f>'Baru NIS'!E369</f>
        <v>102519892 /   0096386627</v>
      </c>
      <c r="F369" s="59" t="str">
        <f>'Baru NIS'!F369</f>
        <v>MUHAMMAD RAFA RIZQ RAMADHAN RAKARSI</v>
      </c>
      <c r="G369" s="5" t="str">
        <f>'Baru NIS'!G369</f>
        <v>L</v>
      </c>
      <c r="H369" s="5" t="str">
        <f>'Baru NIS'!H369</f>
        <v>X TJKT 2</v>
      </c>
      <c r="I369" s="5" t="s">
        <v>5519</v>
      </c>
      <c r="J369" s="5" t="s">
        <v>4671</v>
      </c>
      <c r="K369" s="5" t="str">
        <f t="shared" si="11"/>
        <v>LTKJ</v>
      </c>
    </row>
    <row r="370" spans="1:11" s="53" customFormat="1" x14ac:dyDescent="0.25">
      <c r="A370" s="58" t="str">
        <f t="shared" si="10"/>
        <v>X TJKT 224</v>
      </c>
      <c r="B370" s="171">
        <f>COUNTIF(H$2:H370,H370)</f>
        <v>24</v>
      </c>
      <c r="C370" s="5">
        <f>'Baru NIS'!C370</f>
        <v>102519893</v>
      </c>
      <c r="D370" s="5" t="str">
        <f>'Baru NIS'!D370</f>
        <v>0091587183</v>
      </c>
      <c r="E370" s="5" t="str">
        <f>'Baru NIS'!E370</f>
        <v>102519893 /   0091587183</v>
      </c>
      <c r="F370" s="59" t="str">
        <f>'Baru NIS'!F370</f>
        <v>MUHAMMAD RAIFA HERMAWAN</v>
      </c>
      <c r="G370" s="5" t="str">
        <f>'Baru NIS'!G370</f>
        <v>L</v>
      </c>
      <c r="H370" s="5" t="str">
        <f>'Baru NIS'!H370</f>
        <v>X TJKT 2</v>
      </c>
      <c r="I370" s="5" t="s">
        <v>5519</v>
      </c>
      <c r="J370" s="5" t="s">
        <v>4671</v>
      </c>
      <c r="K370" s="5" t="str">
        <f t="shared" si="11"/>
        <v>LTKJ</v>
      </c>
    </row>
    <row r="371" spans="1:11" s="53" customFormat="1" x14ac:dyDescent="0.25">
      <c r="A371" s="58" t="str">
        <f t="shared" si="10"/>
        <v>X TJKT 225</v>
      </c>
      <c r="B371" s="171">
        <f>COUNTIF(H$2:H371,H371)</f>
        <v>25</v>
      </c>
      <c r="C371" s="5">
        <f>'Baru NIS'!C371</f>
        <v>102519894</v>
      </c>
      <c r="D371" s="5" t="str">
        <f>'Baru NIS'!D371</f>
        <v>3086840255</v>
      </c>
      <c r="E371" s="5" t="str">
        <f>'Baru NIS'!E371</f>
        <v>102519894 /   3086840255</v>
      </c>
      <c r="F371" s="59" t="str">
        <f>'Baru NIS'!F371</f>
        <v>RAFA HAFIDZ MUZAKKI</v>
      </c>
      <c r="G371" s="5" t="str">
        <f>'Baru NIS'!G371</f>
        <v>L</v>
      </c>
      <c r="H371" s="5" t="str">
        <f>'Baru NIS'!H371</f>
        <v>X TJKT 2</v>
      </c>
      <c r="I371" s="5" t="s">
        <v>5519</v>
      </c>
      <c r="J371" s="5" t="s">
        <v>4671</v>
      </c>
      <c r="K371" s="5" t="str">
        <f t="shared" si="11"/>
        <v>LTKJ</v>
      </c>
    </row>
    <row r="372" spans="1:11" s="53" customFormat="1" x14ac:dyDescent="0.25">
      <c r="A372" s="58" t="str">
        <f t="shared" si="10"/>
        <v>X TJKT 226</v>
      </c>
      <c r="B372" s="171">
        <f>COUNTIF(H$2:H372,H372)</f>
        <v>26</v>
      </c>
      <c r="C372" s="5">
        <f>'Baru NIS'!C372</f>
        <v>102519895</v>
      </c>
      <c r="D372" s="5">
        <f>'Baru NIS'!D372</f>
        <v>0</v>
      </c>
      <c r="E372" s="5" t="str">
        <f>'Baru NIS'!E372</f>
        <v>102519895 /   0</v>
      </c>
      <c r="F372" s="59" t="str">
        <f>'Baru NIS'!F372</f>
        <v>RAFI PUTRA KURNIAWAN</v>
      </c>
      <c r="G372" s="5" t="str">
        <f>'Baru NIS'!G372</f>
        <v>L</v>
      </c>
      <c r="H372" s="5" t="str">
        <f>'Baru NIS'!H372</f>
        <v>X TJKT 2</v>
      </c>
      <c r="I372" s="5" t="s">
        <v>5519</v>
      </c>
      <c r="J372" s="5" t="s">
        <v>4671</v>
      </c>
      <c r="K372" s="5" t="str">
        <f t="shared" si="11"/>
        <v>LTKJ</v>
      </c>
    </row>
    <row r="373" spans="1:11" s="53" customFormat="1" x14ac:dyDescent="0.25">
      <c r="A373" s="58" t="str">
        <f t="shared" si="10"/>
        <v>X TJKT 227</v>
      </c>
      <c r="B373" s="171">
        <f>COUNTIF(H$2:H373,H373)</f>
        <v>27</v>
      </c>
      <c r="C373" s="5">
        <f>'Baru NIS'!C373</f>
        <v>102519896</v>
      </c>
      <c r="D373" s="5" t="str">
        <f>'Baru NIS'!D373</f>
        <v>0095508447</v>
      </c>
      <c r="E373" s="5" t="str">
        <f>'Baru NIS'!E373</f>
        <v>102519896 /   0095508447</v>
      </c>
      <c r="F373" s="59" t="str">
        <f>'Baru NIS'!F373</f>
        <v>RANGGA MUKTI FAUZAN</v>
      </c>
      <c r="G373" s="5" t="str">
        <f>'Baru NIS'!G373</f>
        <v>L</v>
      </c>
      <c r="H373" s="5" t="str">
        <f>'Baru NIS'!H373</f>
        <v>X TJKT 2</v>
      </c>
      <c r="I373" s="5" t="s">
        <v>5519</v>
      </c>
      <c r="J373" s="5" t="s">
        <v>4671</v>
      </c>
      <c r="K373" s="5" t="str">
        <f t="shared" si="11"/>
        <v>LTKJ</v>
      </c>
    </row>
    <row r="374" spans="1:11" s="53" customFormat="1" x14ac:dyDescent="0.25">
      <c r="A374" s="58" t="str">
        <f t="shared" si="10"/>
        <v>X TJKT 228</v>
      </c>
      <c r="B374" s="171">
        <f>COUNTIF(H$2:H374,H374)</f>
        <v>28</v>
      </c>
      <c r="C374" s="5">
        <f>'Baru NIS'!C374</f>
        <v>102519897</v>
      </c>
      <c r="D374" s="5">
        <f>'Baru NIS'!D374</f>
        <v>0</v>
      </c>
      <c r="E374" s="5" t="str">
        <f>'Baru NIS'!E374</f>
        <v>102519897 /   0</v>
      </c>
      <c r="F374" s="59" t="str">
        <f>'Baru NIS'!F374</f>
        <v>RAYI BAGOES PRABOWO WICAKSONO</v>
      </c>
      <c r="G374" s="5" t="str">
        <f>'Baru NIS'!G374</f>
        <v>L</v>
      </c>
      <c r="H374" s="5" t="str">
        <f>'Baru NIS'!H374</f>
        <v>X TJKT 2</v>
      </c>
      <c r="I374" s="5" t="s">
        <v>5519</v>
      </c>
      <c r="J374" s="5" t="s">
        <v>4671</v>
      </c>
      <c r="K374" s="5" t="str">
        <f t="shared" si="11"/>
        <v>LTKJ</v>
      </c>
    </row>
    <row r="375" spans="1:11" s="53" customFormat="1" x14ac:dyDescent="0.25">
      <c r="A375" s="58" t="str">
        <f t="shared" si="10"/>
        <v>X TJKT 229</v>
      </c>
      <c r="B375" s="171">
        <f>COUNTIF(H$2:H375,H375)</f>
        <v>29</v>
      </c>
      <c r="C375" s="5">
        <f>'Baru NIS'!C375</f>
        <v>102519898</v>
      </c>
      <c r="D375" s="5" t="str">
        <f>'Baru NIS'!D375</f>
        <v>0108603304</v>
      </c>
      <c r="E375" s="5" t="str">
        <f>'Baru NIS'!E375</f>
        <v>102519898 /   0108603304</v>
      </c>
      <c r="F375" s="59" t="str">
        <f>'Baru NIS'!F375</f>
        <v>REGINA ZAHRA FADILAH</v>
      </c>
      <c r="G375" s="5" t="str">
        <f>'Baru NIS'!G375</f>
        <v>P</v>
      </c>
      <c r="H375" s="5" t="str">
        <f>'Baru NIS'!H375</f>
        <v>X TJKT 2</v>
      </c>
      <c r="I375" s="5" t="s">
        <v>5519</v>
      </c>
      <c r="J375" s="5" t="s">
        <v>4671</v>
      </c>
      <c r="K375" s="5" t="str">
        <f t="shared" si="11"/>
        <v>PTKJ</v>
      </c>
    </row>
    <row r="376" spans="1:11" s="53" customFormat="1" x14ac:dyDescent="0.25">
      <c r="A376" s="58" t="str">
        <f t="shared" si="10"/>
        <v>X TJKT 230</v>
      </c>
      <c r="B376" s="171">
        <f>COUNTIF(H$2:H376,H376)</f>
        <v>30</v>
      </c>
      <c r="C376" s="5">
        <f>'Baru NIS'!C376</f>
        <v>102519899</v>
      </c>
      <c r="D376" s="5" t="str">
        <f>'Baru NIS'!D376</f>
        <v>0103610581</v>
      </c>
      <c r="E376" s="5" t="str">
        <f>'Baru NIS'!E376</f>
        <v>102519899 /   0103610581</v>
      </c>
      <c r="F376" s="59" t="str">
        <f>'Baru NIS'!F376</f>
        <v>RENDI ATAYA PRATAMA PUTRA</v>
      </c>
      <c r="G376" s="5" t="str">
        <f>'Baru NIS'!G376</f>
        <v>L</v>
      </c>
      <c r="H376" s="5" t="str">
        <f>'Baru NIS'!H376</f>
        <v>X TJKT 2</v>
      </c>
      <c r="I376" s="5" t="s">
        <v>5519</v>
      </c>
      <c r="J376" s="5" t="s">
        <v>4671</v>
      </c>
      <c r="K376" s="5" t="str">
        <f t="shared" si="11"/>
        <v>LTKJ</v>
      </c>
    </row>
    <row r="377" spans="1:11" s="53" customFormat="1" x14ac:dyDescent="0.25">
      <c r="A377" s="58" t="str">
        <f t="shared" si="10"/>
        <v>X TJKT 231</v>
      </c>
      <c r="B377" s="171">
        <f>COUNTIF(H$2:H377,H377)</f>
        <v>31</v>
      </c>
      <c r="C377" s="5">
        <f>'Baru NIS'!C377</f>
        <v>102519900</v>
      </c>
      <c r="D377" s="5" t="str">
        <f>'Baru NIS'!D377</f>
        <v>0093116113</v>
      </c>
      <c r="E377" s="5" t="str">
        <f>'Baru NIS'!E377</f>
        <v>102519900 /   0093116113</v>
      </c>
      <c r="F377" s="59" t="str">
        <f>'Baru NIS'!F377</f>
        <v>REVAN FEBRIANSYAH</v>
      </c>
      <c r="G377" s="5" t="str">
        <f>'Baru NIS'!G377</f>
        <v>L</v>
      </c>
      <c r="H377" s="5" t="str">
        <f>'Baru NIS'!H377</f>
        <v>X TJKT 2</v>
      </c>
      <c r="I377" s="5" t="s">
        <v>5519</v>
      </c>
      <c r="J377" s="5" t="s">
        <v>4671</v>
      </c>
      <c r="K377" s="5" t="str">
        <f t="shared" si="11"/>
        <v>LTKJ</v>
      </c>
    </row>
    <row r="378" spans="1:11" s="53" customFormat="1" x14ac:dyDescent="0.25">
      <c r="A378" s="58" t="str">
        <f t="shared" si="10"/>
        <v>X TJKT 232</v>
      </c>
      <c r="B378" s="171">
        <f>COUNTIF(H$2:H378,H378)</f>
        <v>32</v>
      </c>
      <c r="C378" s="5">
        <f>'Baru NIS'!C378</f>
        <v>102519901</v>
      </c>
      <c r="D378" s="5" t="str">
        <f>'Baru NIS'!D378</f>
        <v>0097920160</v>
      </c>
      <c r="E378" s="5" t="str">
        <f>'Baru NIS'!E378</f>
        <v>102519901 /   0097920160</v>
      </c>
      <c r="F378" s="59" t="str">
        <f>'Baru NIS'!F378</f>
        <v>REZKY PUTRA MAHARDIKA</v>
      </c>
      <c r="G378" s="5" t="str">
        <f>'Baru NIS'!G378</f>
        <v>L</v>
      </c>
      <c r="H378" s="5" t="str">
        <f>'Baru NIS'!H378</f>
        <v>X TJKT 2</v>
      </c>
      <c r="I378" s="5" t="s">
        <v>5519</v>
      </c>
      <c r="J378" s="5" t="s">
        <v>4671</v>
      </c>
      <c r="K378" s="5" t="str">
        <f t="shared" si="11"/>
        <v>LTKJ</v>
      </c>
    </row>
    <row r="379" spans="1:11" s="53" customFormat="1" x14ac:dyDescent="0.25">
      <c r="A379" s="58" t="str">
        <f t="shared" si="10"/>
        <v>X TJKT 233</v>
      </c>
      <c r="B379" s="171">
        <f>COUNTIF(H$2:H379,H379)</f>
        <v>33</v>
      </c>
      <c r="C379" s="5">
        <f>'Baru NIS'!C379</f>
        <v>102519902</v>
      </c>
      <c r="D379" s="5" t="str">
        <f>'Baru NIS'!D379</f>
        <v>0096199620</v>
      </c>
      <c r="E379" s="5" t="str">
        <f>'Baru NIS'!E379</f>
        <v>102519902 /   0096199620</v>
      </c>
      <c r="F379" s="59" t="str">
        <f>'Baru NIS'!F379</f>
        <v>RIJAL MUHAMAD</v>
      </c>
      <c r="G379" s="5" t="str">
        <f>'Baru NIS'!G379</f>
        <v>L</v>
      </c>
      <c r="H379" s="5" t="str">
        <f>'Baru NIS'!H379</f>
        <v>X TJKT 2</v>
      </c>
      <c r="I379" s="5" t="s">
        <v>5519</v>
      </c>
      <c r="J379" s="5" t="s">
        <v>4671</v>
      </c>
      <c r="K379" s="5" t="str">
        <f t="shared" si="11"/>
        <v>LTKJ</v>
      </c>
    </row>
    <row r="380" spans="1:11" s="53" customFormat="1" x14ac:dyDescent="0.25">
      <c r="A380" s="58" t="str">
        <f t="shared" si="10"/>
        <v>X TJKT 234</v>
      </c>
      <c r="B380" s="171">
        <f>COUNTIF(H$2:H380,H380)</f>
        <v>34</v>
      </c>
      <c r="C380" s="5">
        <f>'Baru NIS'!C380</f>
        <v>102519903</v>
      </c>
      <c r="D380" s="5" t="str">
        <f>'Baru NIS'!D380</f>
        <v>0097140854</v>
      </c>
      <c r="E380" s="5" t="str">
        <f>'Baru NIS'!E380</f>
        <v>102519903 /   0097140854</v>
      </c>
      <c r="F380" s="59" t="str">
        <f>'Baru NIS'!F380</f>
        <v>RIVALDO RAFFAEL</v>
      </c>
      <c r="G380" s="5" t="str">
        <f>'Baru NIS'!G380</f>
        <v>L</v>
      </c>
      <c r="H380" s="5" t="str">
        <f>'Baru NIS'!H380</f>
        <v>X TJKT 2</v>
      </c>
      <c r="I380" s="5" t="s">
        <v>5519</v>
      </c>
      <c r="J380" s="5" t="s">
        <v>4671</v>
      </c>
      <c r="K380" s="5" t="str">
        <f t="shared" si="11"/>
        <v>LTKJ</v>
      </c>
    </row>
    <row r="381" spans="1:11" s="53" customFormat="1" x14ac:dyDescent="0.25">
      <c r="A381" s="58" t="str">
        <f t="shared" si="10"/>
        <v>X TJKT 235</v>
      </c>
      <c r="B381" s="171">
        <f>COUNTIF(H$2:H381,H381)</f>
        <v>35</v>
      </c>
      <c r="C381" s="5">
        <f>'Baru NIS'!C381</f>
        <v>102519904</v>
      </c>
      <c r="D381" s="5" t="str">
        <f>'Baru NIS'!D381</f>
        <v>0097401082</v>
      </c>
      <c r="E381" s="5" t="str">
        <f>'Baru NIS'!E381</f>
        <v>102519904 /   0097401082</v>
      </c>
      <c r="F381" s="59" t="str">
        <f>'Baru NIS'!F381</f>
        <v>RIZAL RAMADHANI PRATAMA</v>
      </c>
      <c r="G381" s="5" t="str">
        <f>'Baru NIS'!G381</f>
        <v>L</v>
      </c>
      <c r="H381" s="5" t="str">
        <f>'Baru NIS'!H381</f>
        <v>X TJKT 2</v>
      </c>
      <c r="I381" s="5" t="s">
        <v>5519</v>
      </c>
      <c r="J381" s="5" t="s">
        <v>4671</v>
      </c>
      <c r="K381" s="5" t="str">
        <f t="shared" si="11"/>
        <v>LTKJ</v>
      </c>
    </row>
    <row r="382" spans="1:11" s="53" customFormat="1" x14ac:dyDescent="0.25">
      <c r="A382" s="58" t="str">
        <f t="shared" si="10"/>
        <v>X TJKT 236</v>
      </c>
      <c r="B382" s="171">
        <f>COUNTIF(H$2:H382,H382)</f>
        <v>36</v>
      </c>
      <c r="C382" s="5">
        <f>'Baru NIS'!C382</f>
        <v>102519905</v>
      </c>
      <c r="D382" s="5" t="str">
        <f>'Baru NIS'!D382</f>
        <v>0094126827</v>
      </c>
      <c r="E382" s="5" t="str">
        <f>'Baru NIS'!E382</f>
        <v>102519905 /   0094126827</v>
      </c>
      <c r="F382" s="59" t="str">
        <f>'Baru NIS'!F382</f>
        <v>SATRIA PRATAMA WIBIKSANA</v>
      </c>
      <c r="G382" s="5" t="str">
        <f>'Baru NIS'!G382</f>
        <v>L</v>
      </c>
      <c r="H382" s="5" t="str">
        <f>'Baru NIS'!H382</f>
        <v>X TJKT 2</v>
      </c>
      <c r="I382" s="5" t="s">
        <v>5519</v>
      </c>
      <c r="J382" s="5" t="s">
        <v>4671</v>
      </c>
      <c r="K382" s="5" t="str">
        <f t="shared" si="11"/>
        <v>LTKJ</v>
      </c>
    </row>
    <row r="383" spans="1:11" s="53" customFormat="1" x14ac:dyDescent="0.25">
      <c r="A383" s="58" t="str">
        <f t="shared" si="10"/>
        <v>X TJKT 237</v>
      </c>
      <c r="B383" s="171">
        <f>COUNTIF(H$2:H383,H383)</f>
        <v>37</v>
      </c>
      <c r="C383" s="5">
        <f>'Baru NIS'!C383</f>
        <v>102519906</v>
      </c>
      <c r="D383" s="5" t="str">
        <f>'Baru NIS'!D383</f>
        <v>0092017600</v>
      </c>
      <c r="E383" s="5" t="str">
        <f>'Baru NIS'!E383</f>
        <v>102519906 /   0092017600</v>
      </c>
      <c r="F383" s="59" t="str">
        <f>'Baru NIS'!F383</f>
        <v>SONI SEPTIAN</v>
      </c>
      <c r="G383" s="5" t="str">
        <f>'Baru NIS'!G383</f>
        <v>L</v>
      </c>
      <c r="H383" s="5" t="str">
        <f>'Baru NIS'!H383</f>
        <v>X TJKT 2</v>
      </c>
      <c r="I383" s="5" t="s">
        <v>5519</v>
      </c>
      <c r="J383" s="5" t="s">
        <v>4671</v>
      </c>
      <c r="K383" s="5" t="str">
        <f t="shared" si="11"/>
        <v>LTKJ</v>
      </c>
    </row>
    <row r="384" spans="1:11" s="53" customFormat="1" x14ac:dyDescent="0.25">
      <c r="A384" s="58" t="str">
        <f t="shared" si="10"/>
        <v>X TJKT 238</v>
      </c>
      <c r="B384" s="171">
        <f>COUNTIF(H$2:H384,H384)</f>
        <v>38</v>
      </c>
      <c r="C384" s="5">
        <f>'Baru NIS'!C384</f>
        <v>102519907</v>
      </c>
      <c r="D384" s="5" t="str">
        <f>'Baru NIS'!D384</f>
        <v>0095634684</v>
      </c>
      <c r="E384" s="5" t="str">
        <f>'Baru NIS'!E384</f>
        <v>102519907 /   0095634684</v>
      </c>
      <c r="F384" s="59" t="str">
        <f>'Baru NIS'!F384</f>
        <v>SURYALANA</v>
      </c>
      <c r="G384" s="5" t="str">
        <f>'Baru NIS'!G384</f>
        <v>L</v>
      </c>
      <c r="H384" s="5" t="str">
        <f>'Baru NIS'!H384</f>
        <v>X TJKT 2</v>
      </c>
      <c r="I384" s="5" t="s">
        <v>5519</v>
      </c>
      <c r="J384" s="5" t="s">
        <v>4671</v>
      </c>
      <c r="K384" s="5" t="str">
        <f t="shared" si="11"/>
        <v>LTKJ</v>
      </c>
    </row>
    <row r="385" spans="1:11" s="53" customFormat="1" x14ac:dyDescent="0.25">
      <c r="A385" s="58" t="str">
        <f t="shared" si="10"/>
        <v>X TJKT 239</v>
      </c>
      <c r="B385" s="171">
        <f>COUNTIF(H$2:H385,H385)</f>
        <v>39</v>
      </c>
      <c r="C385" s="5">
        <f>'Baru NIS'!C385</f>
        <v>102519908</v>
      </c>
      <c r="D385" s="5" t="str">
        <f>'Baru NIS'!D385</f>
        <v>0096427445</v>
      </c>
      <c r="E385" s="5" t="str">
        <f>'Baru NIS'!E385</f>
        <v>102519908 /   0096427445</v>
      </c>
      <c r="F385" s="59" t="str">
        <f>'Baru NIS'!F385</f>
        <v>YEFTA SIMAMORA</v>
      </c>
      <c r="G385" s="5" t="str">
        <f>'Baru NIS'!G385</f>
        <v>L</v>
      </c>
      <c r="H385" s="5" t="str">
        <f>'Baru NIS'!H385</f>
        <v>X TJKT 2</v>
      </c>
      <c r="I385" s="5" t="s">
        <v>5519</v>
      </c>
      <c r="J385" s="5" t="s">
        <v>4671</v>
      </c>
      <c r="K385" s="5" t="str">
        <f t="shared" si="11"/>
        <v>LTKJ</v>
      </c>
    </row>
    <row r="386" spans="1:11" s="53" customFormat="1" x14ac:dyDescent="0.25">
      <c r="A386" s="58" t="str">
        <f t="shared" ref="A386:A425" si="12">H386&amp;B386</f>
        <v>X TJKT 240</v>
      </c>
      <c r="B386" s="171">
        <f>COUNTIF(H$2:H386,H386)</f>
        <v>40</v>
      </c>
      <c r="C386" s="5">
        <f>'Baru NIS'!C386</f>
        <v>102519909</v>
      </c>
      <c r="D386" s="5">
        <f>'Baru NIS'!D386</f>
        <v>0</v>
      </c>
      <c r="E386" s="5" t="str">
        <f>'Baru NIS'!E386</f>
        <v>102519909 /   0</v>
      </c>
      <c r="F386" s="59" t="str">
        <f>'Baru NIS'!F386</f>
        <v>ZAHRA FHATIE MATUNISA</v>
      </c>
      <c r="G386" s="5" t="str">
        <f>'Baru NIS'!G386</f>
        <v>P</v>
      </c>
      <c r="H386" s="5" t="str">
        <f>'Baru NIS'!H386</f>
        <v>X TJKT 2</v>
      </c>
      <c r="I386" s="5" t="s">
        <v>5519</v>
      </c>
      <c r="J386" s="5" t="s">
        <v>4671</v>
      </c>
      <c r="K386" s="5" t="str">
        <f t="shared" ref="K386:K425" si="13">G386&amp;J386</f>
        <v>PTKJ</v>
      </c>
    </row>
    <row r="387" spans="1:11" s="53" customFormat="1" x14ac:dyDescent="0.25">
      <c r="A387" s="58" t="str">
        <f t="shared" si="12"/>
        <v>X TJKT 31</v>
      </c>
      <c r="B387" s="171">
        <f>COUNTIF(H$2:H387,H387)</f>
        <v>1</v>
      </c>
      <c r="C387" s="5">
        <f>'Baru NIS'!C387</f>
        <v>102519910</v>
      </c>
      <c r="D387" s="5" t="str">
        <f>'Baru NIS'!D387</f>
        <v>0099031300</v>
      </c>
      <c r="E387" s="5" t="str">
        <f>'Baru NIS'!E387</f>
        <v>102519910 /   0099031300</v>
      </c>
      <c r="F387" s="59" t="str">
        <f>'Baru NIS'!F387</f>
        <v>ALFAN SA'BAN GIFARI</v>
      </c>
      <c r="G387" s="5" t="str">
        <f>'Baru NIS'!G387</f>
        <v>L</v>
      </c>
      <c r="H387" s="5" t="str">
        <f>'Baru NIS'!H387</f>
        <v>X TJKT 3</v>
      </c>
      <c r="I387" s="5" t="s">
        <v>5519</v>
      </c>
      <c r="J387" s="5" t="s">
        <v>4671</v>
      </c>
      <c r="K387" s="5" t="str">
        <f t="shared" si="13"/>
        <v>LTKJ</v>
      </c>
    </row>
    <row r="388" spans="1:11" s="53" customFormat="1" x14ac:dyDescent="0.25">
      <c r="A388" s="58" t="str">
        <f t="shared" si="12"/>
        <v>X TJKT 32</v>
      </c>
      <c r="B388" s="171">
        <f>COUNTIF(H$2:H388,H388)</f>
        <v>2</v>
      </c>
      <c r="C388" s="5">
        <f>'Baru NIS'!C388</f>
        <v>102519911</v>
      </c>
      <c r="D388" s="5" t="str">
        <f>'Baru NIS'!D388</f>
        <v>0098277639</v>
      </c>
      <c r="E388" s="5" t="str">
        <f>'Baru NIS'!E388</f>
        <v>102519911 /   0098277639</v>
      </c>
      <c r="F388" s="59" t="str">
        <f>'Baru NIS'!F388</f>
        <v>AMALIA DWI LESTARI</v>
      </c>
      <c r="G388" s="5" t="str">
        <f>'Baru NIS'!G388</f>
        <v>P</v>
      </c>
      <c r="H388" s="5" t="str">
        <f>'Baru NIS'!H388</f>
        <v>X TJKT 3</v>
      </c>
      <c r="I388" s="5" t="s">
        <v>5519</v>
      </c>
      <c r="J388" s="5" t="s">
        <v>4671</v>
      </c>
      <c r="K388" s="5" t="str">
        <f t="shared" si="13"/>
        <v>PTKJ</v>
      </c>
    </row>
    <row r="389" spans="1:11" s="53" customFormat="1" x14ac:dyDescent="0.25">
      <c r="A389" s="58" t="str">
        <f t="shared" si="12"/>
        <v>X TJKT 33</v>
      </c>
      <c r="B389" s="171">
        <f>COUNTIF(H$2:H389,H389)</f>
        <v>3</v>
      </c>
      <c r="C389" s="5">
        <f>'Baru NIS'!C389</f>
        <v>102519912</v>
      </c>
      <c r="D389" s="5" t="str">
        <f>'Baru NIS'!D389</f>
        <v>0092338125</v>
      </c>
      <c r="E389" s="5" t="str">
        <f>'Baru NIS'!E389</f>
        <v>102519912 /   0092338125</v>
      </c>
      <c r="F389" s="59" t="str">
        <f>'Baru NIS'!F389</f>
        <v>ANDYANA KUSNADI</v>
      </c>
      <c r="G389" s="5" t="str">
        <f>'Baru NIS'!G389</f>
        <v>L</v>
      </c>
      <c r="H389" s="5" t="str">
        <f>'Baru NIS'!H389</f>
        <v>X TJKT 3</v>
      </c>
      <c r="I389" s="5" t="s">
        <v>5519</v>
      </c>
      <c r="J389" s="5" t="s">
        <v>4671</v>
      </c>
      <c r="K389" s="5" t="str">
        <f t="shared" si="13"/>
        <v>LTKJ</v>
      </c>
    </row>
    <row r="390" spans="1:11" s="53" customFormat="1" x14ac:dyDescent="0.25">
      <c r="A390" s="58" t="str">
        <f t="shared" si="12"/>
        <v>X TJKT 34</v>
      </c>
      <c r="B390" s="171">
        <f>COUNTIF(H$2:H390,H390)</f>
        <v>4</v>
      </c>
      <c r="C390" s="5">
        <f>'Baru NIS'!C390</f>
        <v>102519913</v>
      </c>
      <c r="D390" s="5" t="str">
        <f>'Baru NIS'!D390</f>
        <v>0092157814</v>
      </c>
      <c r="E390" s="5" t="str">
        <f>'Baru NIS'!E390</f>
        <v>102519913 /   0092157814</v>
      </c>
      <c r="F390" s="59" t="str">
        <f>'Baru NIS'!F390</f>
        <v>ARIA GUSTIAN</v>
      </c>
      <c r="G390" s="5" t="str">
        <f>'Baru NIS'!G390</f>
        <v>L</v>
      </c>
      <c r="H390" s="5" t="str">
        <f>'Baru NIS'!H390</f>
        <v>X TJKT 3</v>
      </c>
      <c r="I390" s="5" t="s">
        <v>5519</v>
      </c>
      <c r="J390" s="5" t="s">
        <v>4671</v>
      </c>
      <c r="K390" s="5" t="str">
        <f t="shared" si="13"/>
        <v>LTKJ</v>
      </c>
    </row>
    <row r="391" spans="1:11" s="53" customFormat="1" x14ac:dyDescent="0.25">
      <c r="A391" s="58" t="str">
        <f t="shared" si="12"/>
        <v>X TJKT 35</v>
      </c>
      <c r="B391" s="171">
        <f>COUNTIF(H$2:H391,H391)</f>
        <v>5</v>
      </c>
      <c r="C391" s="5">
        <f>'Baru NIS'!C391</f>
        <v>102519914</v>
      </c>
      <c r="D391" s="5" t="str">
        <f>'Baru NIS'!D391</f>
        <v>3095931203</v>
      </c>
      <c r="E391" s="5" t="str">
        <f>'Baru NIS'!E391</f>
        <v>102519914 /   3095931203</v>
      </c>
      <c r="F391" s="59" t="str">
        <f>'Baru NIS'!F391</f>
        <v>ARUNGGA TOSANAJI BENTZEMA</v>
      </c>
      <c r="G391" s="5" t="str">
        <f>'Baru NIS'!G391</f>
        <v>L</v>
      </c>
      <c r="H391" s="5" t="str">
        <f>'Baru NIS'!H391</f>
        <v>X TJKT 3</v>
      </c>
      <c r="I391" s="5" t="s">
        <v>5519</v>
      </c>
      <c r="J391" s="5" t="s">
        <v>4671</v>
      </c>
      <c r="K391" s="5" t="str">
        <f t="shared" si="13"/>
        <v>LTKJ</v>
      </c>
    </row>
    <row r="392" spans="1:11" s="53" customFormat="1" x14ac:dyDescent="0.25">
      <c r="A392" s="58" t="str">
        <f t="shared" si="12"/>
        <v>X TJKT 36</v>
      </c>
      <c r="B392" s="171">
        <f>COUNTIF(H$2:H392,H392)</f>
        <v>6</v>
      </c>
      <c r="C392" s="5">
        <f>'Baru NIS'!C392</f>
        <v>102519915</v>
      </c>
      <c r="D392" s="5" t="str">
        <f>'Baru NIS'!D392</f>
        <v>0091925107</v>
      </c>
      <c r="E392" s="5" t="str">
        <f>'Baru NIS'!E392</f>
        <v>102519915 /   0091925107</v>
      </c>
      <c r="F392" s="59" t="str">
        <f>'Baru NIS'!F392</f>
        <v>CAHYANDI RIZQI MAULID</v>
      </c>
      <c r="G392" s="5" t="str">
        <f>'Baru NIS'!G392</f>
        <v>L</v>
      </c>
      <c r="H392" s="5" t="str">
        <f>'Baru NIS'!H392</f>
        <v>X TJKT 3</v>
      </c>
      <c r="I392" s="5" t="s">
        <v>5519</v>
      </c>
      <c r="J392" s="5" t="s">
        <v>4671</v>
      </c>
      <c r="K392" s="5" t="str">
        <f t="shared" si="13"/>
        <v>LTKJ</v>
      </c>
    </row>
    <row r="393" spans="1:11" s="53" customFormat="1" x14ac:dyDescent="0.25">
      <c r="A393" s="58" t="str">
        <f t="shared" si="12"/>
        <v>X TJKT 37</v>
      </c>
      <c r="B393" s="171">
        <f>COUNTIF(H$2:H393,H393)</f>
        <v>7</v>
      </c>
      <c r="C393" s="5">
        <f>'Baru NIS'!C393</f>
        <v>102519916</v>
      </c>
      <c r="D393" s="5">
        <f>'Baru NIS'!D393</f>
        <v>0</v>
      </c>
      <c r="E393" s="5" t="str">
        <f>'Baru NIS'!E393</f>
        <v>102519916 /   0</v>
      </c>
      <c r="F393" s="59" t="str">
        <f>'Baru NIS'!F393</f>
        <v>DINDA RIZKI DZAHABIYYAH</v>
      </c>
      <c r="G393" s="5" t="str">
        <f>'Baru NIS'!G393</f>
        <v>P</v>
      </c>
      <c r="H393" s="5" t="str">
        <f>'Baru NIS'!H393</f>
        <v>X TJKT 3</v>
      </c>
      <c r="I393" s="5" t="s">
        <v>5519</v>
      </c>
      <c r="J393" s="5" t="s">
        <v>4671</v>
      </c>
      <c r="K393" s="5" t="str">
        <f t="shared" si="13"/>
        <v>PTKJ</v>
      </c>
    </row>
    <row r="394" spans="1:11" s="53" customFormat="1" x14ac:dyDescent="0.25">
      <c r="A394" s="58" t="str">
        <f t="shared" si="12"/>
        <v>X TJKT 38</v>
      </c>
      <c r="B394" s="171">
        <f>COUNTIF(H$2:H394,H394)</f>
        <v>8</v>
      </c>
      <c r="C394" s="5">
        <f>'Baru NIS'!C394</f>
        <v>102519917</v>
      </c>
      <c r="D394" s="5">
        <f>'Baru NIS'!D394</f>
        <v>0</v>
      </c>
      <c r="E394" s="5" t="str">
        <f>'Baru NIS'!E394</f>
        <v>102519917 /   0</v>
      </c>
      <c r="F394" s="59" t="str">
        <f>'Baru NIS'!F394</f>
        <v>EBRAN JIBRIL EARLY</v>
      </c>
      <c r="G394" s="5" t="str">
        <f>'Baru NIS'!G394</f>
        <v>L</v>
      </c>
      <c r="H394" s="5" t="str">
        <f>'Baru NIS'!H394</f>
        <v>X TJKT 3</v>
      </c>
      <c r="I394" s="5" t="s">
        <v>5519</v>
      </c>
      <c r="J394" s="5" t="s">
        <v>4671</v>
      </c>
      <c r="K394" s="5" t="str">
        <f t="shared" si="13"/>
        <v>LTKJ</v>
      </c>
    </row>
    <row r="395" spans="1:11" s="53" customFormat="1" x14ac:dyDescent="0.25">
      <c r="A395" s="58" t="str">
        <f t="shared" si="12"/>
        <v>X TJKT 39</v>
      </c>
      <c r="B395" s="171">
        <f>COUNTIF(H$2:H395,H395)</f>
        <v>9</v>
      </c>
      <c r="C395" s="5">
        <f>'Baru NIS'!C396</f>
        <v>102519919</v>
      </c>
      <c r="D395" s="5" t="str">
        <f>'Baru NIS'!D396</f>
        <v>0091685872</v>
      </c>
      <c r="E395" s="5" t="str">
        <f>'Baru NIS'!E396</f>
        <v>102519919 /   0091685872</v>
      </c>
      <c r="F395" s="59" t="str">
        <f>'Baru NIS'!F396</f>
        <v>FARHAN LUTFIANSYAH</v>
      </c>
      <c r="G395" s="5" t="str">
        <f>'Baru NIS'!G396</f>
        <v>L</v>
      </c>
      <c r="H395" s="5" t="str">
        <f>'Baru NIS'!H396</f>
        <v>X TJKT 3</v>
      </c>
      <c r="I395" s="5" t="s">
        <v>5519</v>
      </c>
      <c r="J395" s="5" t="s">
        <v>4671</v>
      </c>
      <c r="K395" s="5" t="str">
        <f t="shared" si="13"/>
        <v>LTKJ</v>
      </c>
    </row>
    <row r="396" spans="1:11" s="53" customFormat="1" x14ac:dyDescent="0.25">
      <c r="A396" s="58" t="str">
        <f t="shared" si="12"/>
        <v>X TJKT 310</v>
      </c>
      <c r="B396" s="171">
        <f>COUNTIF(H$2:H396,H396)</f>
        <v>10</v>
      </c>
      <c r="C396" s="5">
        <f>'Baru NIS'!C397</f>
        <v>102519920</v>
      </c>
      <c r="D396" s="5" t="str">
        <f>'Baru NIS'!D397</f>
        <v>0089884756</v>
      </c>
      <c r="E396" s="5" t="str">
        <f>'Baru NIS'!E397</f>
        <v>102519920 /   0089884756</v>
      </c>
      <c r="F396" s="59" t="str">
        <f>'Baru NIS'!F397</f>
        <v>FAUZAN KUSTIAWAN</v>
      </c>
      <c r="G396" s="5" t="str">
        <f>'Baru NIS'!G397</f>
        <v>L</v>
      </c>
      <c r="H396" s="5" t="str">
        <f>'Baru NIS'!H397</f>
        <v>X TJKT 3</v>
      </c>
      <c r="I396" s="5" t="s">
        <v>5519</v>
      </c>
      <c r="J396" s="5" t="s">
        <v>4671</v>
      </c>
      <c r="K396" s="5" t="str">
        <f t="shared" si="13"/>
        <v>LTKJ</v>
      </c>
    </row>
    <row r="397" spans="1:11" s="53" customFormat="1" x14ac:dyDescent="0.25">
      <c r="A397" s="58" t="str">
        <f t="shared" si="12"/>
        <v>X TJKT 311</v>
      </c>
      <c r="B397" s="171">
        <f>COUNTIF(H$2:H397,H397)</f>
        <v>11</v>
      </c>
      <c r="C397" s="5">
        <f>'Baru NIS'!C398</f>
        <v>102519921</v>
      </c>
      <c r="D397" s="5" t="str">
        <f>'Baru NIS'!D398</f>
        <v>0096776530</v>
      </c>
      <c r="E397" s="5" t="str">
        <f>'Baru NIS'!E398</f>
        <v>102519921 /   0096776530</v>
      </c>
      <c r="F397" s="59" t="str">
        <f>'Baru NIS'!F398</f>
        <v>GALUH RAMADAN</v>
      </c>
      <c r="G397" s="5" t="str">
        <f>'Baru NIS'!G398</f>
        <v>L</v>
      </c>
      <c r="H397" s="5" t="str">
        <f>'Baru NIS'!H398</f>
        <v>X TJKT 3</v>
      </c>
      <c r="I397" s="5" t="s">
        <v>5519</v>
      </c>
      <c r="J397" s="5" t="s">
        <v>4671</v>
      </c>
      <c r="K397" s="5" t="str">
        <f t="shared" si="13"/>
        <v>LTKJ</v>
      </c>
    </row>
    <row r="398" spans="1:11" s="53" customFormat="1" x14ac:dyDescent="0.25">
      <c r="A398" s="58" t="str">
        <f t="shared" si="12"/>
        <v>X TJKT 312</v>
      </c>
      <c r="B398" s="171">
        <f>COUNTIF(H$2:H398,H398)</f>
        <v>12</v>
      </c>
      <c r="C398" s="5">
        <f>'Baru NIS'!C399</f>
        <v>102519922</v>
      </c>
      <c r="D398" s="5" t="str">
        <f>'Baru NIS'!D399</f>
        <v>0108065085</v>
      </c>
      <c r="E398" s="5" t="str">
        <f>'Baru NIS'!E399</f>
        <v>102519922 /   0108065085</v>
      </c>
      <c r="F398" s="59" t="str">
        <f>'Baru NIS'!F399</f>
        <v>HILMI TAUFIQURRAHMAN</v>
      </c>
      <c r="G398" s="5" t="str">
        <f>'Baru NIS'!G399</f>
        <v>L</v>
      </c>
      <c r="H398" s="5" t="str">
        <f>'Baru NIS'!H399</f>
        <v>X TJKT 3</v>
      </c>
      <c r="I398" s="5" t="s">
        <v>5519</v>
      </c>
      <c r="J398" s="5" t="s">
        <v>4671</v>
      </c>
      <c r="K398" s="5" t="str">
        <f t="shared" si="13"/>
        <v>LTKJ</v>
      </c>
    </row>
    <row r="399" spans="1:11" s="53" customFormat="1" x14ac:dyDescent="0.25">
      <c r="A399" s="58" t="str">
        <f t="shared" si="12"/>
        <v>X TJKT 313</v>
      </c>
      <c r="B399" s="171">
        <f>COUNTIF(H$2:H399,H399)</f>
        <v>13</v>
      </c>
      <c r="C399" s="5">
        <f>'Baru NIS'!C400</f>
        <v>102519923</v>
      </c>
      <c r="D399" s="5" t="str">
        <f>'Baru NIS'!D400</f>
        <v>0106368743</v>
      </c>
      <c r="E399" s="5" t="str">
        <f>'Baru NIS'!E400</f>
        <v>102519923 /   0106368743</v>
      </c>
      <c r="F399" s="59" t="str">
        <f>'Baru NIS'!F400</f>
        <v>KELVIN ARKENZY SALMANSYAH</v>
      </c>
      <c r="G399" s="5" t="str">
        <f>'Baru NIS'!G400</f>
        <v>L</v>
      </c>
      <c r="H399" s="5" t="str">
        <f>'Baru NIS'!H400</f>
        <v>X TJKT 3</v>
      </c>
      <c r="I399" s="5" t="s">
        <v>5519</v>
      </c>
      <c r="J399" s="5" t="s">
        <v>4671</v>
      </c>
      <c r="K399" s="5" t="str">
        <f t="shared" si="13"/>
        <v>LTKJ</v>
      </c>
    </row>
    <row r="400" spans="1:11" s="53" customFormat="1" x14ac:dyDescent="0.25">
      <c r="A400" s="58" t="str">
        <f t="shared" si="12"/>
        <v>X TJKT 314</v>
      </c>
      <c r="B400" s="171">
        <f>COUNTIF(H$2:H400,H400)</f>
        <v>14</v>
      </c>
      <c r="C400" s="5">
        <f>'Baru NIS'!C401</f>
        <v>102519924</v>
      </c>
      <c r="D400" s="5" t="str">
        <f>'Baru NIS'!D401</f>
        <v>0093029487</v>
      </c>
      <c r="E400" s="5" t="str">
        <f>'Baru NIS'!E401</f>
        <v>102519924 /   0093029487</v>
      </c>
      <c r="F400" s="59" t="str">
        <f>'Baru NIS'!F401</f>
        <v>KEYLA SELVIA AZAHRA</v>
      </c>
      <c r="G400" s="5" t="str">
        <f>'Baru NIS'!G401</f>
        <v>P</v>
      </c>
      <c r="H400" s="5" t="str">
        <f>'Baru NIS'!H401</f>
        <v>X TJKT 3</v>
      </c>
      <c r="I400" s="5" t="s">
        <v>5519</v>
      </c>
      <c r="J400" s="5" t="s">
        <v>4671</v>
      </c>
      <c r="K400" s="5" t="str">
        <f t="shared" si="13"/>
        <v>PTKJ</v>
      </c>
    </row>
    <row r="401" spans="1:11" s="53" customFormat="1" x14ac:dyDescent="0.25">
      <c r="A401" s="58" t="str">
        <f t="shared" si="12"/>
        <v>X TJKT 315</v>
      </c>
      <c r="B401" s="171">
        <f>COUNTIF(H$2:H401,H401)</f>
        <v>15</v>
      </c>
      <c r="C401" s="5">
        <f>'Baru NIS'!C402</f>
        <v>102519925</v>
      </c>
      <c r="D401" s="5">
        <f>'Baru NIS'!D402</f>
        <v>0</v>
      </c>
      <c r="E401" s="5" t="str">
        <f>'Baru NIS'!E402</f>
        <v>102519925 /   0</v>
      </c>
      <c r="F401" s="59" t="str">
        <f>'Baru NIS'!F402</f>
        <v>MILAN RAMDHANI</v>
      </c>
      <c r="G401" s="5" t="str">
        <f>'Baru NIS'!G402</f>
        <v>P</v>
      </c>
      <c r="H401" s="5" t="str">
        <f>'Baru NIS'!H402</f>
        <v>X TJKT 3</v>
      </c>
      <c r="I401" s="5" t="s">
        <v>5519</v>
      </c>
      <c r="J401" s="5" t="s">
        <v>4671</v>
      </c>
      <c r="K401" s="5" t="str">
        <f t="shared" si="13"/>
        <v>PTKJ</v>
      </c>
    </row>
    <row r="402" spans="1:11" s="53" customFormat="1" x14ac:dyDescent="0.25">
      <c r="A402" s="58" t="str">
        <f t="shared" si="12"/>
        <v>X TJKT 316</v>
      </c>
      <c r="B402" s="171">
        <f>COUNTIF(H$2:H402,H402)</f>
        <v>16</v>
      </c>
      <c r="C402" s="5">
        <f>'Baru NIS'!C403</f>
        <v>102519926</v>
      </c>
      <c r="D402" s="5" t="str">
        <f>'Baru NIS'!D403</f>
        <v>0095163747</v>
      </c>
      <c r="E402" s="5" t="str">
        <f>'Baru NIS'!E403</f>
        <v>102519926 /   0095163747</v>
      </c>
      <c r="F402" s="59" t="str">
        <f>'Baru NIS'!F403</f>
        <v>MOHAMAD FAHMI RAHADIANSYAH</v>
      </c>
      <c r="G402" s="5" t="str">
        <f>'Baru NIS'!G403</f>
        <v>L</v>
      </c>
      <c r="H402" s="5" t="str">
        <f>'Baru NIS'!H403</f>
        <v>X TJKT 3</v>
      </c>
      <c r="I402" s="5" t="s">
        <v>5519</v>
      </c>
      <c r="J402" s="5" t="s">
        <v>4671</v>
      </c>
      <c r="K402" s="5" t="str">
        <f t="shared" si="13"/>
        <v>LTKJ</v>
      </c>
    </row>
    <row r="403" spans="1:11" s="53" customFormat="1" x14ac:dyDescent="0.25">
      <c r="A403" s="58" t="str">
        <f t="shared" si="12"/>
        <v>X TJKT 317</v>
      </c>
      <c r="B403" s="171">
        <f>COUNTIF(H$2:H403,H403)</f>
        <v>17</v>
      </c>
      <c r="C403" s="5">
        <f>'Baru NIS'!C404</f>
        <v>102519927</v>
      </c>
      <c r="D403" s="5" t="str">
        <f>'Baru NIS'!D404</f>
        <v>0107695957</v>
      </c>
      <c r="E403" s="5" t="str">
        <f>'Baru NIS'!E404</f>
        <v>102519927 /   0107695957</v>
      </c>
      <c r="F403" s="59" t="str">
        <f>'Baru NIS'!F404</f>
        <v>MOHAMAD HAIKAL</v>
      </c>
      <c r="G403" s="5" t="str">
        <f>'Baru NIS'!G404</f>
        <v>L</v>
      </c>
      <c r="H403" s="5" t="str">
        <f>'Baru NIS'!H404</f>
        <v>X TJKT 3</v>
      </c>
      <c r="I403" s="5" t="s">
        <v>5519</v>
      </c>
      <c r="J403" s="5" t="s">
        <v>4671</v>
      </c>
      <c r="K403" s="5" t="str">
        <f t="shared" si="13"/>
        <v>LTKJ</v>
      </c>
    </row>
    <row r="404" spans="1:11" s="53" customFormat="1" x14ac:dyDescent="0.25">
      <c r="A404" s="58" t="str">
        <f t="shared" si="12"/>
        <v>X TJKT 318</v>
      </c>
      <c r="B404" s="171">
        <f>COUNTIF(H$2:H404,H404)</f>
        <v>18</v>
      </c>
      <c r="C404" s="5">
        <f>'Baru NIS'!C405</f>
        <v>102519928</v>
      </c>
      <c r="D404" s="5">
        <f>'Baru NIS'!D405</f>
        <v>0</v>
      </c>
      <c r="E404" s="5" t="str">
        <f>'Baru NIS'!E405</f>
        <v>102519928 /   0</v>
      </c>
      <c r="F404" s="59" t="str">
        <f>'Baru NIS'!F405</f>
        <v>MOHAMMAD ADITYA ALI PRADANA</v>
      </c>
      <c r="G404" s="5" t="str">
        <f>'Baru NIS'!G405</f>
        <v>L</v>
      </c>
      <c r="H404" s="5" t="str">
        <f>'Baru NIS'!H405</f>
        <v>X TJKT 3</v>
      </c>
      <c r="I404" s="5" t="s">
        <v>5519</v>
      </c>
      <c r="J404" s="5" t="s">
        <v>4671</v>
      </c>
      <c r="K404" s="5" t="str">
        <f t="shared" si="13"/>
        <v>LTKJ</v>
      </c>
    </row>
    <row r="405" spans="1:11" s="53" customFormat="1" x14ac:dyDescent="0.25">
      <c r="A405" s="58" t="str">
        <f t="shared" si="12"/>
        <v>X TJKT 319</v>
      </c>
      <c r="B405" s="171">
        <f>COUNTIF(H$2:H405,H405)</f>
        <v>19</v>
      </c>
      <c r="C405" s="5">
        <f>'Baru NIS'!C406</f>
        <v>102519929</v>
      </c>
      <c r="D405" s="5" t="str">
        <f>'Baru NIS'!D406</f>
        <v>0095233073</v>
      </c>
      <c r="E405" s="5" t="str">
        <f>'Baru NIS'!E406</f>
        <v>102519929 /   0095233073</v>
      </c>
      <c r="F405" s="59" t="str">
        <f>'Baru NIS'!F406</f>
        <v>MUHAMAD ADRIANSAH</v>
      </c>
      <c r="G405" s="5" t="str">
        <f>'Baru NIS'!G406</f>
        <v>L</v>
      </c>
      <c r="H405" s="5" t="str">
        <f>'Baru NIS'!H406</f>
        <v>X TJKT 3</v>
      </c>
      <c r="I405" s="5" t="s">
        <v>5519</v>
      </c>
      <c r="J405" s="5" t="s">
        <v>4671</v>
      </c>
      <c r="K405" s="5" t="str">
        <f t="shared" si="13"/>
        <v>LTKJ</v>
      </c>
    </row>
    <row r="406" spans="1:11" s="53" customFormat="1" x14ac:dyDescent="0.25">
      <c r="A406" s="58" t="str">
        <f t="shared" si="12"/>
        <v>X TJKT 320</v>
      </c>
      <c r="B406" s="171">
        <f>COUNTIF(H$2:H406,H406)</f>
        <v>20</v>
      </c>
      <c r="C406" s="5">
        <f>'Baru NIS'!C407</f>
        <v>102519930</v>
      </c>
      <c r="D406" s="5" t="str">
        <f>'Baru NIS'!D407</f>
        <v>0102625019</v>
      </c>
      <c r="E406" s="5" t="str">
        <f>'Baru NIS'!E407</f>
        <v>102519930 /   0102625019</v>
      </c>
      <c r="F406" s="59" t="str">
        <f>'Baru NIS'!F407</f>
        <v>MUHAMAD NUR HIZAM</v>
      </c>
      <c r="G406" s="5" t="str">
        <f>'Baru NIS'!G407</f>
        <v>L</v>
      </c>
      <c r="H406" s="5" t="str">
        <f>'Baru NIS'!H407</f>
        <v>X TJKT 3</v>
      </c>
      <c r="I406" s="5" t="s">
        <v>5519</v>
      </c>
      <c r="J406" s="5" t="s">
        <v>4671</v>
      </c>
      <c r="K406" s="5" t="str">
        <f t="shared" si="13"/>
        <v>LTKJ</v>
      </c>
    </row>
    <row r="407" spans="1:11" s="53" customFormat="1" x14ac:dyDescent="0.25">
      <c r="A407" s="58" t="str">
        <f t="shared" si="12"/>
        <v>X TJKT 321</v>
      </c>
      <c r="B407" s="171">
        <f>COUNTIF(H$2:H407,H407)</f>
        <v>21</v>
      </c>
      <c r="C407" s="5">
        <f>'Baru NIS'!C408</f>
        <v>102519931</v>
      </c>
      <c r="D407" s="5" t="str">
        <f>'Baru NIS'!D408</f>
        <v>0094856497</v>
      </c>
      <c r="E407" s="5" t="str">
        <f>'Baru NIS'!E408</f>
        <v>102519931 /   0094856497</v>
      </c>
      <c r="F407" s="59" t="str">
        <f>'Baru NIS'!F408</f>
        <v>MUHAMAD RIZAL</v>
      </c>
      <c r="G407" s="5" t="str">
        <f>'Baru NIS'!G408</f>
        <v>L</v>
      </c>
      <c r="H407" s="5" t="str">
        <f>'Baru NIS'!H408</f>
        <v>X TJKT 3</v>
      </c>
      <c r="I407" s="5" t="s">
        <v>5519</v>
      </c>
      <c r="J407" s="5" t="s">
        <v>4671</v>
      </c>
      <c r="K407" s="5" t="str">
        <f t="shared" si="13"/>
        <v>LTKJ</v>
      </c>
    </row>
    <row r="408" spans="1:11" s="53" customFormat="1" x14ac:dyDescent="0.25">
      <c r="A408" s="58" t="str">
        <f t="shared" si="12"/>
        <v>X TJKT 322</v>
      </c>
      <c r="B408" s="171">
        <f>COUNTIF(H$2:H408,H408)</f>
        <v>22</v>
      </c>
      <c r="C408" s="5">
        <f>'Baru NIS'!C409</f>
        <v>102519932</v>
      </c>
      <c r="D408" s="5" t="str">
        <f>'Baru NIS'!D409</f>
        <v>0086886058</v>
      </c>
      <c r="E408" s="5" t="str">
        <f>'Baru NIS'!E409</f>
        <v>102519932 /   0086886058</v>
      </c>
      <c r="F408" s="59" t="str">
        <f>'Baru NIS'!F409</f>
        <v>MUHAMMAD ASSAKHI</v>
      </c>
      <c r="G408" s="5" t="str">
        <f>'Baru NIS'!G409</f>
        <v>L</v>
      </c>
      <c r="H408" s="5" t="str">
        <f>'Baru NIS'!H409</f>
        <v>X TJKT 3</v>
      </c>
      <c r="I408" s="5" t="s">
        <v>5519</v>
      </c>
      <c r="J408" s="5" t="s">
        <v>4671</v>
      </c>
      <c r="K408" s="5" t="str">
        <f t="shared" si="13"/>
        <v>LTKJ</v>
      </c>
    </row>
    <row r="409" spans="1:11" s="53" customFormat="1" x14ac:dyDescent="0.25">
      <c r="A409" s="58" t="str">
        <f t="shared" si="12"/>
        <v>X TJKT 323</v>
      </c>
      <c r="B409" s="171">
        <f>COUNTIF(H$2:H409,H409)</f>
        <v>23</v>
      </c>
      <c r="C409" s="5">
        <f>'Baru NIS'!C410</f>
        <v>102519933</v>
      </c>
      <c r="D409" s="5" t="str">
        <f>'Baru NIS'!D410</f>
        <v>0101803419</v>
      </c>
      <c r="E409" s="5" t="str">
        <f>'Baru NIS'!E410</f>
        <v>102519933 /   0101803419</v>
      </c>
      <c r="F409" s="59" t="str">
        <f>'Baru NIS'!F410</f>
        <v>MUHAMMAD DENIS HERDIANSYAH</v>
      </c>
      <c r="G409" s="5" t="str">
        <f>'Baru NIS'!G410</f>
        <v>L</v>
      </c>
      <c r="H409" s="5" t="str">
        <f>'Baru NIS'!H410</f>
        <v>X TJKT 3</v>
      </c>
      <c r="I409" s="5" t="s">
        <v>5519</v>
      </c>
      <c r="J409" s="5" t="s">
        <v>4671</v>
      </c>
      <c r="K409" s="5" t="str">
        <f t="shared" si="13"/>
        <v>LTKJ</v>
      </c>
    </row>
    <row r="410" spans="1:11" s="53" customFormat="1" x14ac:dyDescent="0.25">
      <c r="A410" s="58" t="str">
        <f t="shared" si="12"/>
        <v>X TJKT 324</v>
      </c>
      <c r="B410" s="171">
        <f>COUNTIF(H$2:H410,H410)</f>
        <v>24</v>
      </c>
      <c r="C410" s="5">
        <f>'Baru NIS'!C411</f>
        <v>102519934</v>
      </c>
      <c r="D410" s="5" t="str">
        <f>'Baru NIS'!D411</f>
        <v>0097490476</v>
      </c>
      <c r="E410" s="5" t="str">
        <f>'Baru NIS'!E411</f>
        <v>102519934 /   0097490476</v>
      </c>
      <c r="F410" s="59" t="str">
        <f>'Baru NIS'!F411</f>
        <v>MUHAMMAD FIKRI HIDAYAT</v>
      </c>
      <c r="G410" s="5" t="str">
        <f>'Baru NIS'!G411</f>
        <v>L</v>
      </c>
      <c r="H410" s="5" t="str">
        <f>'Baru NIS'!H411</f>
        <v>X TJKT 3</v>
      </c>
      <c r="I410" s="5" t="s">
        <v>5519</v>
      </c>
      <c r="J410" s="5" t="s">
        <v>4671</v>
      </c>
      <c r="K410" s="5" t="str">
        <f t="shared" si="13"/>
        <v>LTKJ</v>
      </c>
    </row>
    <row r="411" spans="1:11" s="53" customFormat="1" x14ac:dyDescent="0.25">
      <c r="A411" s="58" t="str">
        <f t="shared" si="12"/>
        <v>X TJKT 325</v>
      </c>
      <c r="B411" s="171">
        <f>COUNTIF(H$2:H411,H411)</f>
        <v>25</v>
      </c>
      <c r="C411" s="5">
        <f>'Baru NIS'!C412</f>
        <v>102519935</v>
      </c>
      <c r="D411" s="5" t="str">
        <f>'Baru NIS'!D412</f>
        <v>0092857850</v>
      </c>
      <c r="E411" s="5" t="str">
        <f>'Baru NIS'!E412</f>
        <v>102519935 /   0092857850</v>
      </c>
      <c r="F411" s="59" t="str">
        <f>'Baru NIS'!F412</f>
        <v>MUHAMMAD NAUFAL GUNAWAN</v>
      </c>
      <c r="G411" s="5" t="str">
        <f>'Baru NIS'!G412</f>
        <v>L</v>
      </c>
      <c r="H411" s="5" t="str">
        <f>'Baru NIS'!H412</f>
        <v>X TJKT 3</v>
      </c>
      <c r="I411" s="5" t="s">
        <v>5519</v>
      </c>
      <c r="J411" s="5" t="s">
        <v>4671</v>
      </c>
      <c r="K411" s="5" t="str">
        <f t="shared" si="13"/>
        <v>LTKJ</v>
      </c>
    </row>
    <row r="412" spans="1:11" s="53" customFormat="1" x14ac:dyDescent="0.25">
      <c r="A412" s="58" t="str">
        <f t="shared" si="12"/>
        <v>X TJKT 326</v>
      </c>
      <c r="B412" s="171">
        <f>COUNTIF(H$2:H412,H412)</f>
        <v>26</v>
      </c>
      <c r="C412" s="5">
        <f>'Baru NIS'!C413</f>
        <v>102519936</v>
      </c>
      <c r="D412" s="5" t="str">
        <f>'Baru NIS'!D413</f>
        <v>0104416688</v>
      </c>
      <c r="E412" s="5" t="str">
        <f>'Baru NIS'!E413</f>
        <v>102519936 /   0104416688</v>
      </c>
      <c r="F412" s="59" t="str">
        <f>'Baru NIS'!F413</f>
        <v>RAFKA RAMLAN ROCHMATULLAH</v>
      </c>
      <c r="G412" s="5" t="str">
        <f>'Baru NIS'!G413</f>
        <v>L</v>
      </c>
      <c r="H412" s="5" t="str">
        <f>'Baru NIS'!H413</f>
        <v>X TJKT 3</v>
      </c>
      <c r="I412" s="5" t="s">
        <v>5519</v>
      </c>
      <c r="J412" s="5" t="s">
        <v>4671</v>
      </c>
      <c r="K412" s="5" t="str">
        <f t="shared" si="13"/>
        <v>LTKJ</v>
      </c>
    </row>
    <row r="413" spans="1:11" s="53" customFormat="1" x14ac:dyDescent="0.25">
      <c r="A413" s="58" t="str">
        <f t="shared" si="12"/>
        <v>X TJKT 327</v>
      </c>
      <c r="B413" s="171">
        <f>COUNTIF(H$2:H413,H413)</f>
        <v>27</v>
      </c>
      <c r="C413" s="5">
        <f>'Baru NIS'!C414</f>
        <v>102519937</v>
      </c>
      <c r="D413" s="5" t="str">
        <f>'Baru NIS'!D414</f>
        <v>0109371291</v>
      </c>
      <c r="E413" s="5" t="str">
        <f>'Baru NIS'!E414</f>
        <v>102519937 /   0109371291</v>
      </c>
      <c r="F413" s="59" t="str">
        <f>'Baru NIS'!F414</f>
        <v>RAFKHA SONAGAR PANCANALAR</v>
      </c>
      <c r="G413" s="5" t="str">
        <f>'Baru NIS'!G414</f>
        <v>L</v>
      </c>
      <c r="H413" s="5" t="str">
        <f>'Baru NIS'!H414</f>
        <v>X TJKT 3</v>
      </c>
      <c r="I413" s="5" t="s">
        <v>5519</v>
      </c>
      <c r="J413" s="5" t="s">
        <v>4671</v>
      </c>
      <c r="K413" s="5" t="str">
        <f t="shared" si="13"/>
        <v>LTKJ</v>
      </c>
    </row>
    <row r="414" spans="1:11" s="53" customFormat="1" x14ac:dyDescent="0.25">
      <c r="A414" s="58" t="str">
        <f t="shared" si="12"/>
        <v>X TJKT 328</v>
      </c>
      <c r="B414" s="171">
        <f>COUNTIF(H$2:H414,H414)</f>
        <v>28</v>
      </c>
      <c r="C414" s="5">
        <f>'Baru NIS'!C415</f>
        <v>102519938</v>
      </c>
      <c r="D414" s="5" t="str">
        <f>'Baru NIS'!D415</f>
        <v>0092161967</v>
      </c>
      <c r="E414" s="5" t="str">
        <f>'Baru NIS'!E415</f>
        <v>102519938 /   0092161967</v>
      </c>
      <c r="F414" s="59" t="str">
        <f>'Baru NIS'!F415</f>
        <v>RAINANRA YUSUF ALFAROQ</v>
      </c>
      <c r="G414" s="5" t="str">
        <f>'Baru NIS'!G415</f>
        <v>L</v>
      </c>
      <c r="H414" s="5" t="str">
        <f>'Baru NIS'!H415</f>
        <v>X TJKT 3</v>
      </c>
      <c r="I414" s="5" t="s">
        <v>5519</v>
      </c>
      <c r="J414" s="5" t="s">
        <v>4671</v>
      </c>
      <c r="K414" s="5" t="str">
        <f t="shared" si="13"/>
        <v>LTKJ</v>
      </c>
    </row>
    <row r="415" spans="1:11" s="53" customFormat="1" x14ac:dyDescent="0.25">
      <c r="A415" s="58" t="str">
        <f t="shared" si="12"/>
        <v>X TJKT 329</v>
      </c>
      <c r="B415" s="171">
        <f>COUNTIF(H$2:H415,H415)</f>
        <v>29</v>
      </c>
      <c r="C415" s="5">
        <f>'Baru NIS'!C416</f>
        <v>102519939</v>
      </c>
      <c r="D415" s="5" t="str">
        <f>'Baru NIS'!D416</f>
        <v>0104644713</v>
      </c>
      <c r="E415" s="5" t="str">
        <f>'Baru NIS'!E416</f>
        <v>102519939 /   0104644713</v>
      </c>
      <c r="F415" s="59" t="str">
        <f>'Baru NIS'!F416</f>
        <v>RASIKH RIZKY PERMANA</v>
      </c>
      <c r="G415" s="5" t="str">
        <f>'Baru NIS'!G416</f>
        <v>L</v>
      </c>
      <c r="H415" s="5" t="str">
        <f>'Baru NIS'!H416</f>
        <v>X TJKT 3</v>
      </c>
      <c r="I415" s="5" t="s">
        <v>5519</v>
      </c>
      <c r="J415" s="5" t="s">
        <v>4671</v>
      </c>
      <c r="K415" s="5" t="str">
        <f t="shared" si="13"/>
        <v>LTKJ</v>
      </c>
    </row>
    <row r="416" spans="1:11" s="53" customFormat="1" x14ac:dyDescent="0.25">
      <c r="A416" s="58" t="str">
        <f t="shared" si="12"/>
        <v>X TJKT 330</v>
      </c>
      <c r="B416" s="171">
        <f>COUNTIF(H$2:H416,H416)</f>
        <v>30</v>
      </c>
      <c r="C416" s="5">
        <f>'Baru NIS'!C417</f>
        <v>102519940</v>
      </c>
      <c r="D416" s="5" t="str">
        <f>'Baru NIS'!D417</f>
        <v>3096723914</v>
      </c>
      <c r="E416" s="5" t="str">
        <f>'Baru NIS'!E417</f>
        <v>102519940 /   3096723914</v>
      </c>
      <c r="F416" s="59" t="str">
        <f>'Baru NIS'!F417</f>
        <v>REZKY ANDRIAN</v>
      </c>
      <c r="G416" s="5" t="str">
        <f>'Baru NIS'!G417</f>
        <v>L</v>
      </c>
      <c r="H416" s="5" t="str">
        <f>'Baru NIS'!H417</f>
        <v>X TJKT 3</v>
      </c>
      <c r="I416" s="5" t="s">
        <v>5519</v>
      </c>
      <c r="J416" s="5" t="s">
        <v>4671</v>
      </c>
      <c r="K416" s="5" t="str">
        <f t="shared" si="13"/>
        <v>LTKJ</v>
      </c>
    </row>
    <row r="417" spans="1:16" s="53" customFormat="1" x14ac:dyDescent="0.25">
      <c r="A417" s="58" t="str">
        <f t="shared" si="12"/>
        <v>X TJKT 331</v>
      </c>
      <c r="B417" s="171">
        <f>COUNTIF(H$2:H417,H417)</f>
        <v>31</v>
      </c>
      <c r="C417" s="5">
        <f>'Baru NIS'!C418</f>
        <v>102519941</v>
      </c>
      <c r="D417" s="5">
        <f>'Baru NIS'!D418</f>
        <v>0</v>
      </c>
      <c r="E417" s="5" t="str">
        <f>'Baru NIS'!E418</f>
        <v>102519941 /   0</v>
      </c>
      <c r="F417" s="59" t="str">
        <f>'Baru NIS'!F418</f>
        <v>RHAZIQ SANJAYA KUSUMA</v>
      </c>
      <c r="G417" s="5" t="str">
        <f>'Baru NIS'!G418</f>
        <v>L</v>
      </c>
      <c r="H417" s="5" t="str">
        <f>'Baru NIS'!H418</f>
        <v>X TJKT 3</v>
      </c>
      <c r="I417" s="5" t="s">
        <v>5519</v>
      </c>
      <c r="J417" s="5" t="s">
        <v>4671</v>
      </c>
      <c r="K417" s="5" t="str">
        <f t="shared" si="13"/>
        <v>LTKJ</v>
      </c>
    </row>
    <row r="418" spans="1:16" s="53" customFormat="1" x14ac:dyDescent="0.25">
      <c r="A418" s="58" t="str">
        <f t="shared" si="12"/>
        <v>X TJKT 332</v>
      </c>
      <c r="B418" s="171">
        <f>COUNTIF(H$2:H418,H418)</f>
        <v>32</v>
      </c>
      <c r="C418" s="5">
        <f>'Baru NIS'!C419</f>
        <v>102519942</v>
      </c>
      <c r="D418" s="5" t="str">
        <f>'Baru NIS'!D419</f>
        <v>0107583833</v>
      </c>
      <c r="E418" s="5" t="str">
        <f>'Baru NIS'!E419</f>
        <v>102519942 /   0107583833</v>
      </c>
      <c r="F418" s="59" t="str">
        <f>'Baru NIS'!F419</f>
        <v>RIANA DANISA PUTRI INDRAWAN</v>
      </c>
      <c r="G418" s="5" t="str">
        <f>'Baru NIS'!G419</f>
        <v>P</v>
      </c>
      <c r="H418" s="5" t="str">
        <f>'Baru NIS'!H419</f>
        <v>X TJKT 3</v>
      </c>
      <c r="I418" s="5" t="s">
        <v>5519</v>
      </c>
      <c r="J418" s="5" t="s">
        <v>4671</v>
      </c>
      <c r="K418" s="5" t="str">
        <f t="shared" si="13"/>
        <v>PTKJ</v>
      </c>
    </row>
    <row r="419" spans="1:16" s="53" customFormat="1" x14ac:dyDescent="0.25">
      <c r="A419" s="58" t="str">
        <f t="shared" si="12"/>
        <v>X TJKT 333</v>
      </c>
      <c r="B419" s="171">
        <f>COUNTIF(H$2:H419,H419)</f>
        <v>33</v>
      </c>
      <c r="C419" s="5">
        <f>'Baru NIS'!C420</f>
        <v>102519943</v>
      </c>
      <c r="D419" s="5" t="str">
        <f>'Baru NIS'!D420</f>
        <v>0092710514</v>
      </c>
      <c r="E419" s="5" t="str">
        <f>'Baru NIS'!E420</f>
        <v>102519943 /   0092710514</v>
      </c>
      <c r="F419" s="59" t="str">
        <f>'Baru NIS'!F420</f>
        <v>SALMAN UBAIDILLAH</v>
      </c>
      <c r="G419" s="5" t="str">
        <f>'Baru NIS'!G420</f>
        <v>L</v>
      </c>
      <c r="H419" s="5" t="str">
        <f>'Baru NIS'!H420</f>
        <v>X TJKT 3</v>
      </c>
      <c r="I419" s="5" t="s">
        <v>5519</v>
      </c>
      <c r="J419" s="5" t="s">
        <v>4671</v>
      </c>
      <c r="K419" s="5" t="str">
        <f t="shared" si="13"/>
        <v>LTKJ</v>
      </c>
    </row>
    <row r="420" spans="1:16" s="53" customFormat="1" x14ac:dyDescent="0.25">
      <c r="A420" s="58" t="str">
        <f t="shared" si="12"/>
        <v>X TJKT 334</v>
      </c>
      <c r="B420" s="171">
        <f>COUNTIF(H$2:H420,H420)</f>
        <v>34</v>
      </c>
      <c r="C420" s="5">
        <f>'Baru NIS'!C421</f>
        <v>102519944</v>
      </c>
      <c r="D420" s="5" t="str">
        <f>'Baru NIS'!D421</f>
        <v>0106809930</v>
      </c>
      <c r="E420" s="5" t="str">
        <f>'Baru NIS'!E421</f>
        <v>102519944 /   0106809930</v>
      </c>
      <c r="F420" s="59" t="str">
        <f>'Baru NIS'!F421</f>
        <v>SALSA BILA</v>
      </c>
      <c r="G420" s="5" t="str">
        <f>'Baru NIS'!G421</f>
        <v>P</v>
      </c>
      <c r="H420" s="5" t="str">
        <f>'Baru NIS'!H421</f>
        <v>X TJKT 3</v>
      </c>
      <c r="I420" s="5" t="s">
        <v>5519</v>
      </c>
      <c r="J420" s="5" t="s">
        <v>4671</v>
      </c>
      <c r="K420" s="5" t="str">
        <f t="shared" si="13"/>
        <v>PTKJ</v>
      </c>
    </row>
    <row r="421" spans="1:16" s="53" customFormat="1" x14ac:dyDescent="0.25">
      <c r="A421" s="58" t="str">
        <f t="shared" si="12"/>
        <v>X TJKT 335</v>
      </c>
      <c r="B421" s="171">
        <f>COUNTIF(H$2:H421,H421)</f>
        <v>35</v>
      </c>
      <c r="C421" s="5">
        <f>'Baru NIS'!C422</f>
        <v>102519945</v>
      </c>
      <c r="D421" s="5" t="str">
        <f>'Baru NIS'!D422</f>
        <v>0093035901</v>
      </c>
      <c r="E421" s="5" t="str">
        <f>'Baru NIS'!E422</f>
        <v>102519945 /   0093035901</v>
      </c>
      <c r="F421" s="59" t="str">
        <f>'Baru NIS'!F422</f>
        <v>SILPANI RETMA SARI</v>
      </c>
      <c r="G421" s="5" t="str">
        <f>'Baru NIS'!G422</f>
        <v>P</v>
      </c>
      <c r="H421" s="5" t="str">
        <f>'Baru NIS'!H422</f>
        <v>X TJKT 3</v>
      </c>
      <c r="I421" s="5" t="s">
        <v>5519</v>
      </c>
      <c r="J421" s="5" t="s">
        <v>4671</v>
      </c>
      <c r="K421" s="5" t="str">
        <f t="shared" si="13"/>
        <v>PTKJ</v>
      </c>
    </row>
    <row r="422" spans="1:16" s="53" customFormat="1" x14ac:dyDescent="0.25">
      <c r="A422" s="58" t="str">
        <f t="shared" si="12"/>
        <v>X TJKT 336</v>
      </c>
      <c r="B422" s="171">
        <f>COUNTIF(H$2:H422,H422)</f>
        <v>36</v>
      </c>
      <c r="C422" s="5">
        <f>'Baru NIS'!C423</f>
        <v>102519946</v>
      </c>
      <c r="D422" s="5" t="str">
        <f>'Baru NIS'!D423</f>
        <v>0101670439</v>
      </c>
      <c r="E422" s="5" t="str">
        <f>'Baru NIS'!E423</f>
        <v>102519946 /   0101670439</v>
      </c>
      <c r="F422" s="59" t="str">
        <f>'Baru NIS'!F423</f>
        <v>SILVI FADIYALATU HIKMAH</v>
      </c>
      <c r="G422" s="5" t="str">
        <f>'Baru NIS'!G423</f>
        <v>P</v>
      </c>
      <c r="H422" s="5" t="str">
        <f>'Baru NIS'!H423</f>
        <v>X TJKT 3</v>
      </c>
      <c r="I422" s="5" t="s">
        <v>5519</v>
      </c>
      <c r="J422" s="5" t="s">
        <v>4671</v>
      </c>
      <c r="K422" s="5" t="str">
        <f t="shared" si="13"/>
        <v>PTKJ</v>
      </c>
    </row>
    <row r="423" spans="1:16" s="53" customFormat="1" x14ac:dyDescent="0.25">
      <c r="A423" s="58" t="str">
        <f t="shared" si="12"/>
        <v>X TJKT 337</v>
      </c>
      <c r="B423" s="171">
        <f>COUNTIF(H$2:H423,H423)</f>
        <v>37</v>
      </c>
      <c r="C423" s="5">
        <f>'Baru NIS'!C424</f>
        <v>102519947</v>
      </c>
      <c r="D423" s="5" t="str">
        <f>'Baru NIS'!D424</f>
        <v>0092612379</v>
      </c>
      <c r="E423" s="5" t="str">
        <f>'Baru NIS'!E424</f>
        <v>102519947 /   0092612379</v>
      </c>
      <c r="F423" s="59" t="str">
        <f>'Baru NIS'!F424</f>
        <v>STEVEN LOVELY LINGGA</v>
      </c>
      <c r="G423" s="5" t="str">
        <f>'Baru NIS'!G424</f>
        <v>L</v>
      </c>
      <c r="H423" s="5" t="str">
        <f>'Baru NIS'!H424</f>
        <v>X TJKT 3</v>
      </c>
      <c r="I423" s="5" t="s">
        <v>5519</v>
      </c>
      <c r="J423" s="5" t="s">
        <v>4671</v>
      </c>
      <c r="K423" s="5" t="str">
        <f t="shared" si="13"/>
        <v>LTKJ</v>
      </c>
    </row>
    <row r="424" spans="1:16" s="53" customFormat="1" x14ac:dyDescent="0.25">
      <c r="A424" s="58" t="str">
        <f t="shared" si="12"/>
        <v>X TJKT 338</v>
      </c>
      <c r="B424" s="171">
        <f>COUNTIF(H$2:H424,H424)</f>
        <v>38</v>
      </c>
      <c r="C424" s="5">
        <f>'Baru NIS'!C425</f>
        <v>102519948</v>
      </c>
      <c r="D424" s="5" t="str">
        <f>'Baru NIS'!D425</f>
        <v>0095493830</v>
      </c>
      <c r="E424" s="5" t="str">
        <f>'Baru NIS'!E425</f>
        <v>102519948 /   0095493830</v>
      </c>
      <c r="F424" s="59" t="str">
        <f>'Baru NIS'!F425</f>
        <v>ZAKY RASYIK IBRAHIM</v>
      </c>
      <c r="G424" s="5" t="str">
        <f>'Baru NIS'!G425</f>
        <v>L</v>
      </c>
      <c r="H424" s="5" t="str">
        <f>'Baru NIS'!H425</f>
        <v>X TJKT 3</v>
      </c>
      <c r="I424" s="5" t="s">
        <v>5519</v>
      </c>
      <c r="J424" s="5" t="s">
        <v>4671</v>
      </c>
      <c r="K424" s="5" t="str">
        <f t="shared" si="13"/>
        <v>LTKJ</v>
      </c>
    </row>
    <row r="425" spans="1:16" s="53" customFormat="1" x14ac:dyDescent="0.25">
      <c r="A425" s="58" t="str">
        <f t="shared" si="12"/>
        <v>X TJKT 339</v>
      </c>
      <c r="B425" s="171">
        <f>COUNTIF(H$2:H425,H425)</f>
        <v>39</v>
      </c>
      <c r="C425" s="5">
        <f>'Baru NIS'!C426</f>
        <v>102519949</v>
      </c>
      <c r="D425" s="5">
        <f>'Baru NIS'!D426</f>
        <v>0</v>
      </c>
      <c r="E425" s="5" t="str">
        <f>'Baru NIS'!E426</f>
        <v>102519949 /   0</v>
      </c>
      <c r="F425" s="59" t="str">
        <f>'Baru NIS'!F426</f>
        <v>ZIYAD HELMI</v>
      </c>
      <c r="G425" s="5" t="str">
        <f>'Baru NIS'!G426</f>
        <v>L</v>
      </c>
      <c r="H425" s="5" t="str">
        <f>'Baru NIS'!H426</f>
        <v>X TJKT 3</v>
      </c>
      <c r="I425" s="5" t="s">
        <v>5519</v>
      </c>
      <c r="J425" s="5" t="s">
        <v>4671</v>
      </c>
      <c r="K425" s="5" t="str">
        <f t="shared" si="13"/>
        <v>LTKJ</v>
      </c>
    </row>
    <row r="426" spans="1:16" s="53" customFormat="1" x14ac:dyDescent="0.25">
      <c r="A426" s="58" t="str">
        <f>H426&amp;B426</f>
        <v>XI KA 11</v>
      </c>
      <c r="B426" s="171">
        <f>COUNTIF(H$2:H426,H426)</f>
        <v>1</v>
      </c>
      <c r="C426" s="168">
        <v>102419135</v>
      </c>
      <c r="D426" s="168" t="s">
        <v>4280</v>
      </c>
      <c r="E426" s="168" t="s">
        <v>4679</v>
      </c>
      <c r="F426" s="198" t="s">
        <v>3868</v>
      </c>
      <c r="G426" s="168" t="s">
        <v>379</v>
      </c>
      <c r="H426" s="168" t="s">
        <v>3822</v>
      </c>
      <c r="I426" s="5" t="s">
        <v>5674</v>
      </c>
      <c r="J426" s="5" t="s">
        <v>5673</v>
      </c>
      <c r="K426" s="5" t="str">
        <f t="shared" ref="K426:K489" si="14">G426&amp;J426</f>
        <v>LKA</v>
      </c>
      <c r="P426" s="53" t="s">
        <v>379</v>
      </c>
    </row>
    <row r="427" spans="1:16" s="53" customFormat="1" x14ac:dyDescent="0.25">
      <c r="A427" s="58" t="str">
        <f t="shared" ref="A427:A490" si="15">H427&amp;B427</f>
        <v>XI KA 12</v>
      </c>
      <c r="B427" s="171">
        <f>COUNTIF(H$2:H427,H427)</f>
        <v>2</v>
      </c>
      <c r="C427" s="168">
        <v>102419136</v>
      </c>
      <c r="D427" s="168" t="s">
        <v>4281</v>
      </c>
      <c r="E427" s="168" t="s">
        <v>4680</v>
      </c>
      <c r="F427" s="198" t="s">
        <v>3869</v>
      </c>
      <c r="G427" s="168" t="s">
        <v>379</v>
      </c>
      <c r="H427" s="168" t="s">
        <v>3822</v>
      </c>
      <c r="I427" s="5" t="s">
        <v>5674</v>
      </c>
      <c r="J427" s="5" t="s">
        <v>5673</v>
      </c>
      <c r="K427" s="5" t="str">
        <f t="shared" si="14"/>
        <v>LKA</v>
      </c>
      <c r="P427" s="53" t="s">
        <v>379</v>
      </c>
    </row>
    <row r="428" spans="1:16" s="53" customFormat="1" x14ac:dyDescent="0.25">
      <c r="A428" s="58" t="str">
        <f t="shared" si="15"/>
        <v>XI KA 13</v>
      </c>
      <c r="B428" s="171">
        <f>COUNTIF(H$2:H428,H428)</f>
        <v>3</v>
      </c>
      <c r="C428" s="168">
        <v>102419137</v>
      </c>
      <c r="D428" s="168" t="s">
        <v>4282</v>
      </c>
      <c r="E428" s="168" t="s">
        <v>4681</v>
      </c>
      <c r="F428" s="198" t="s">
        <v>3870</v>
      </c>
      <c r="G428" s="168" t="s">
        <v>379</v>
      </c>
      <c r="H428" s="168" t="s">
        <v>3822</v>
      </c>
      <c r="I428" s="5" t="s">
        <v>5674</v>
      </c>
      <c r="J428" s="5" t="s">
        <v>5673</v>
      </c>
      <c r="K428" s="5" t="str">
        <f t="shared" si="14"/>
        <v>LKA</v>
      </c>
      <c r="P428" s="53" t="s">
        <v>379</v>
      </c>
    </row>
    <row r="429" spans="1:16" s="53" customFormat="1" x14ac:dyDescent="0.25">
      <c r="A429" s="58" t="str">
        <f t="shared" si="15"/>
        <v>XI KA 14</v>
      </c>
      <c r="B429" s="171">
        <f>COUNTIF(H$2:H429,H429)</f>
        <v>4</v>
      </c>
      <c r="C429" s="168">
        <v>102419138</v>
      </c>
      <c r="D429" s="168" t="s">
        <v>4283</v>
      </c>
      <c r="E429" s="168" t="s">
        <v>4682</v>
      </c>
      <c r="F429" s="198" t="s">
        <v>3871</v>
      </c>
      <c r="G429" s="168" t="s">
        <v>381</v>
      </c>
      <c r="H429" s="168" t="s">
        <v>3822</v>
      </c>
      <c r="I429" s="5" t="s">
        <v>5674</v>
      </c>
      <c r="J429" s="5" t="s">
        <v>5673</v>
      </c>
      <c r="K429" s="5" t="str">
        <f t="shared" si="14"/>
        <v>PKA</v>
      </c>
      <c r="P429" s="53" t="s">
        <v>381</v>
      </c>
    </row>
    <row r="430" spans="1:16" s="53" customFormat="1" x14ac:dyDescent="0.25">
      <c r="A430" s="58" t="str">
        <f t="shared" si="15"/>
        <v>XI KA 15</v>
      </c>
      <c r="B430" s="171">
        <f>COUNTIF(H$2:H430,H430)</f>
        <v>5</v>
      </c>
      <c r="C430" s="168">
        <v>102419139</v>
      </c>
      <c r="D430" s="168" t="s">
        <v>4284</v>
      </c>
      <c r="E430" s="168" t="s">
        <v>4683</v>
      </c>
      <c r="F430" s="198" t="s">
        <v>3872</v>
      </c>
      <c r="G430" s="168" t="s">
        <v>381</v>
      </c>
      <c r="H430" s="168" t="s">
        <v>3822</v>
      </c>
      <c r="I430" s="5" t="s">
        <v>5674</v>
      </c>
      <c r="J430" s="5" t="s">
        <v>5673</v>
      </c>
      <c r="K430" s="5" t="str">
        <f t="shared" si="14"/>
        <v>PKA</v>
      </c>
      <c r="P430" s="53" t="s">
        <v>381</v>
      </c>
    </row>
    <row r="431" spans="1:16" s="53" customFormat="1" x14ac:dyDescent="0.25">
      <c r="A431" s="58" t="str">
        <f t="shared" si="15"/>
        <v>XI KA 16</v>
      </c>
      <c r="B431" s="171">
        <f>COUNTIF(H$2:H431,H431)</f>
        <v>6</v>
      </c>
      <c r="C431" s="168">
        <v>102419140</v>
      </c>
      <c r="D431" s="168" t="s">
        <v>4285</v>
      </c>
      <c r="E431" s="168" t="s">
        <v>4684</v>
      </c>
      <c r="F431" s="198" t="s">
        <v>3873</v>
      </c>
      <c r="G431" s="168" t="s">
        <v>381</v>
      </c>
      <c r="H431" s="168" t="s">
        <v>3822</v>
      </c>
      <c r="I431" s="5" t="s">
        <v>5674</v>
      </c>
      <c r="J431" s="5" t="s">
        <v>5673</v>
      </c>
      <c r="K431" s="5" t="str">
        <f t="shared" si="14"/>
        <v>PKA</v>
      </c>
      <c r="P431" s="53" t="s">
        <v>381</v>
      </c>
    </row>
    <row r="432" spans="1:16" s="53" customFormat="1" x14ac:dyDescent="0.25">
      <c r="A432" s="58" t="str">
        <f t="shared" si="15"/>
        <v>XI KA 17</v>
      </c>
      <c r="B432" s="171">
        <f>COUNTIF(H$2:H432,H432)</f>
        <v>7</v>
      </c>
      <c r="C432" s="168">
        <v>102419141</v>
      </c>
      <c r="D432" s="168" t="s">
        <v>4286</v>
      </c>
      <c r="E432" s="168" t="s">
        <v>4685</v>
      </c>
      <c r="F432" s="198" t="s">
        <v>3874</v>
      </c>
      <c r="G432" s="168" t="s">
        <v>381</v>
      </c>
      <c r="H432" s="168" t="s">
        <v>3822</v>
      </c>
      <c r="I432" s="5" t="s">
        <v>5674</v>
      </c>
      <c r="J432" s="5" t="s">
        <v>5673</v>
      </c>
      <c r="K432" s="5" t="str">
        <f t="shared" si="14"/>
        <v>PKA</v>
      </c>
      <c r="P432" s="53" t="s">
        <v>381</v>
      </c>
    </row>
    <row r="433" spans="1:16" s="53" customFormat="1" x14ac:dyDescent="0.25">
      <c r="A433" s="58" t="str">
        <f t="shared" si="15"/>
        <v>XI KA 18</v>
      </c>
      <c r="B433" s="171">
        <f>COUNTIF(H$2:H433,H433)</f>
        <v>8</v>
      </c>
      <c r="C433" s="168">
        <v>102419142</v>
      </c>
      <c r="D433" s="168" t="s">
        <v>4287</v>
      </c>
      <c r="E433" s="168" t="s">
        <v>4686</v>
      </c>
      <c r="F433" s="198" t="s">
        <v>3875</v>
      </c>
      <c r="G433" s="168" t="s">
        <v>379</v>
      </c>
      <c r="H433" s="168" t="s">
        <v>3822</v>
      </c>
      <c r="I433" s="5" t="s">
        <v>5674</v>
      </c>
      <c r="J433" s="5" t="s">
        <v>5673</v>
      </c>
      <c r="K433" s="5" t="str">
        <f t="shared" si="14"/>
        <v>LKA</v>
      </c>
      <c r="P433" s="53" t="s">
        <v>379</v>
      </c>
    </row>
    <row r="434" spans="1:16" s="53" customFormat="1" x14ac:dyDescent="0.25">
      <c r="A434" s="58" t="str">
        <f t="shared" si="15"/>
        <v>XI KA 19</v>
      </c>
      <c r="B434" s="171">
        <f>COUNTIF(H$2:H434,H434)</f>
        <v>9</v>
      </c>
      <c r="C434" s="168">
        <v>102419143</v>
      </c>
      <c r="D434" s="168" t="s">
        <v>4288</v>
      </c>
      <c r="E434" s="168" t="s">
        <v>4687</v>
      </c>
      <c r="F434" s="198" t="s">
        <v>3876</v>
      </c>
      <c r="G434" s="168" t="s">
        <v>381</v>
      </c>
      <c r="H434" s="168" t="s">
        <v>3822</v>
      </c>
      <c r="I434" s="5" t="s">
        <v>5674</v>
      </c>
      <c r="J434" s="5" t="s">
        <v>5673</v>
      </c>
      <c r="K434" s="5" t="str">
        <f t="shared" si="14"/>
        <v>PKA</v>
      </c>
      <c r="P434" s="53" t="s">
        <v>381</v>
      </c>
    </row>
    <row r="435" spans="1:16" s="53" customFormat="1" x14ac:dyDescent="0.25">
      <c r="A435" s="58" t="str">
        <f t="shared" si="15"/>
        <v>XI KA 110</v>
      </c>
      <c r="B435" s="171">
        <f>COUNTIF(H$2:H435,H435)</f>
        <v>10</v>
      </c>
      <c r="C435" s="168">
        <v>102419144</v>
      </c>
      <c r="D435" s="168" t="s">
        <v>4289</v>
      </c>
      <c r="E435" s="168" t="s">
        <v>4688</v>
      </c>
      <c r="F435" s="198" t="s">
        <v>3877</v>
      </c>
      <c r="G435" s="168" t="s">
        <v>379</v>
      </c>
      <c r="H435" s="168" t="s">
        <v>3822</v>
      </c>
      <c r="I435" s="5" t="s">
        <v>5674</v>
      </c>
      <c r="J435" s="5" t="s">
        <v>5673</v>
      </c>
      <c r="K435" s="5" t="str">
        <f t="shared" si="14"/>
        <v>LKA</v>
      </c>
      <c r="P435" s="53" t="s">
        <v>379</v>
      </c>
    </row>
    <row r="436" spans="1:16" s="53" customFormat="1" x14ac:dyDescent="0.25">
      <c r="A436" s="58" t="str">
        <f t="shared" si="15"/>
        <v>XI KA 111</v>
      </c>
      <c r="B436" s="171">
        <f>COUNTIF(H$2:H436,H436)</f>
        <v>11</v>
      </c>
      <c r="C436" s="168">
        <v>102419145</v>
      </c>
      <c r="D436" s="168" t="s">
        <v>4290</v>
      </c>
      <c r="E436" s="168" t="s">
        <v>4689</v>
      </c>
      <c r="F436" s="198" t="s">
        <v>3878</v>
      </c>
      <c r="G436" s="168" t="s">
        <v>381</v>
      </c>
      <c r="H436" s="168" t="s">
        <v>3822</v>
      </c>
      <c r="I436" s="5" t="s">
        <v>5674</v>
      </c>
      <c r="J436" s="5" t="s">
        <v>5673</v>
      </c>
      <c r="K436" s="5" t="str">
        <f t="shared" si="14"/>
        <v>PKA</v>
      </c>
      <c r="P436" s="53" t="s">
        <v>381</v>
      </c>
    </row>
    <row r="437" spans="1:16" s="53" customFormat="1" x14ac:dyDescent="0.25">
      <c r="A437" s="58" t="str">
        <f t="shared" si="15"/>
        <v>XI KA 112</v>
      </c>
      <c r="B437" s="171">
        <f>COUNTIF(H$2:H437,H437)</f>
        <v>12</v>
      </c>
      <c r="C437" s="168">
        <v>102419146</v>
      </c>
      <c r="D437" s="168" t="s">
        <v>4291</v>
      </c>
      <c r="E437" s="168" t="s">
        <v>4690</v>
      </c>
      <c r="F437" s="198" t="s">
        <v>3879</v>
      </c>
      <c r="G437" s="168" t="s">
        <v>381</v>
      </c>
      <c r="H437" s="168" t="s">
        <v>3822</v>
      </c>
      <c r="I437" s="5" t="s">
        <v>5674</v>
      </c>
      <c r="J437" s="5" t="s">
        <v>5673</v>
      </c>
      <c r="K437" s="5" t="str">
        <f t="shared" si="14"/>
        <v>PKA</v>
      </c>
      <c r="P437" s="53" t="s">
        <v>381</v>
      </c>
    </row>
    <row r="438" spans="1:16" s="53" customFormat="1" x14ac:dyDescent="0.25">
      <c r="A438" s="58" t="str">
        <f t="shared" si="15"/>
        <v>XI KA 113</v>
      </c>
      <c r="B438" s="171">
        <f>COUNTIF(H$2:H438,H438)</f>
        <v>13</v>
      </c>
      <c r="C438" s="168">
        <v>102419148</v>
      </c>
      <c r="D438" s="168" t="s">
        <v>4293</v>
      </c>
      <c r="E438" s="168" t="s">
        <v>4692</v>
      </c>
      <c r="F438" s="198" t="s">
        <v>3881</v>
      </c>
      <c r="G438" s="168" t="s">
        <v>381</v>
      </c>
      <c r="H438" s="168" t="s">
        <v>3822</v>
      </c>
      <c r="I438" s="5" t="s">
        <v>5674</v>
      </c>
      <c r="J438" s="5" t="s">
        <v>5673</v>
      </c>
      <c r="K438" s="5" t="str">
        <f t="shared" si="14"/>
        <v>PKA</v>
      </c>
      <c r="P438" s="53" t="s">
        <v>381</v>
      </c>
    </row>
    <row r="439" spans="1:16" s="53" customFormat="1" x14ac:dyDescent="0.25">
      <c r="A439" s="58" t="str">
        <f t="shared" si="15"/>
        <v>XI KA 114</v>
      </c>
      <c r="B439" s="171">
        <f>COUNTIF(H$2:H439,H439)</f>
        <v>14</v>
      </c>
      <c r="C439" s="168">
        <v>102419149</v>
      </c>
      <c r="D439" s="168" t="s">
        <v>4294</v>
      </c>
      <c r="E439" s="168" t="s">
        <v>4693</v>
      </c>
      <c r="F439" s="198" t="s">
        <v>3882</v>
      </c>
      <c r="G439" s="168" t="str">
        <f>'Baru NIS'!G16</f>
        <v>P</v>
      </c>
      <c r="H439" s="168" t="s">
        <v>3822</v>
      </c>
      <c r="I439" s="5" t="s">
        <v>5674</v>
      </c>
      <c r="J439" s="5" t="s">
        <v>5673</v>
      </c>
      <c r="K439" s="5" t="str">
        <f t="shared" si="14"/>
        <v>PKA</v>
      </c>
      <c r="P439" s="53" t="s">
        <v>381</v>
      </c>
    </row>
    <row r="440" spans="1:16" s="53" customFormat="1" x14ac:dyDescent="0.25">
      <c r="A440" s="58" t="str">
        <f t="shared" si="15"/>
        <v>XI KA 115</v>
      </c>
      <c r="B440" s="171">
        <f>COUNTIF(H$2:H440,H440)</f>
        <v>15</v>
      </c>
      <c r="C440" s="168">
        <v>102419150</v>
      </c>
      <c r="D440" s="168" t="s">
        <v>4295</v>
      </c>
      <c r="E440" s="168" t="s">
        <v>4694</v>
      </c>
      <c r="F440" s="198" t="s">
        <v>3883</v>
      </c>
      <c r="G440" s="168" t="s">
        <v>379</v>
      </c>
      <c r="H440" s="168" t="s">
        <v>3822</v>
      </c>
      <c r="I440" s="5" t="s">
        <v>5674</v>
      </c>
      <c r="J440" s="5" t="s">
        <v>5673</v>
      </c>
      <c r="K440" s="5" t="str">
        <f t="shared" si="14"/>
        <v>LKA</v>
      </c>
      <c r="P440" s="53" t="s">
        <v>379</v>
      </c>
    </row>
    <row r="441" spans="1:16" s="53" customFormat="1" x14ac:dyDescent="0.25">
      <c r="A441" s="58" t="str">
        <f t="shared" si="15"/>
        <v>XI KA 116</v>
      </c>
      <c r="B441" s="171">
        <f>COUNTIF(H$2:H441,H441)</f>
        <v>16</v>
      </c>
      <c r="C441" s="168">
        <v>102419151</v>
      </c>
      <c r="D441" s="168" t="s">
        <v>4296</v>
      </c>
      <c r="E441" s="168" t="s">
        <v>4695</v>
      </c>
      <c r="F441" s="198" t="s">
        <v>3884</v>
      </c>
      <c r="G441" s="168" t="s">
        <v>381</v>
      </c>
      <c r="H441" s="168" t="s">
        <v>3822</v>
      </c>
      <c r="I441" s="5" t="s">
        <v>5674</v>
      </c>
      <c r="J441" s="5" t="s">
        <v>5673</v>
      </c>
      <c r="K441" s="5" t="str">
        <f t="shared" si="14"/>
        <v>PKA</v>
      </c>
      <c r="P441" s="53" t="s">
        <v>381</v>
      </c>
    </row>
    <row r="442" spans="1:16" s="53" customFormat="1" x14ac:dyDescent="0.25">
      <c r="A442" s="58" t="str">
        <f t="shared" si="15"/>
        <v>XI KA 117</v>
      </c>
      <c r="B442" s="171">
        <f>COUNTIF(H$2:H442,H442)</f>
        <v>17</v>
      </c>
      <c r="C442" s="168">
        <v>102419152</v>
      </c>
      <c r="D442" s="168" t="s">
        <v>4297</v>
      </c>
      <c r="E442" s="168" t="s">
        <v>4696</v>
      </c>
      <c r="F442" s="198" t="s">
        <v>3885</v>
      </c>
      <c r="G442" s="168" t="s">
        <v>381</v>
      </c>
      <c r="H442" s="168" t="s">
        <v>3822</v>
      </c>
      <c r="I442" s="5" t="s">
        <v>5674</v>
      </c>
      <c r="J442" s="5" t="s">
        <v>5673</v>
      </c>
      <c r="K442" s="5" t="str">
        <f t="shared" si="14"/>
        <v>PKA</v>
      </c>
      <c r="P442" s="53" t="s">
        <v>381</v>
      </c>
    </row>
    <row r="443" spans="1:16" s="53" customFormat="1" x14ac:dyDescent="0.25">
      <c r="A443" s="58" t="str">
        <f t="shared" si="15"/>
        <v>XI KA 118</v>
      </c>
      <c r="B443" s="171">
        <f>COUNTIF(H$2:H443,H443)</f>
        <v>18</v>
      </c>
      <c r="C443" s="168">
        <v>102419153</v>
      </c>
      <c r="D443" s="168" t="s">
        <v>4298</v>
      </c>
      <c r="E443" s="168" t="s">
        <v>4697</v>
      </c>
      <c r="F443" s="198" t="s">
        <v>3886</v>
      </c>
      <c r="G443" s="168" t="s">
        <v>381</v>
      </c>
      <c r="H443" s="168" t="s">
        <v>3822</v>
      </c>
      <c r="I443" s="5" t="s">
        <v>5674</v>
      </c>
      <c r="J443" s="5" t="s">
        <v>5673</v>
      </c>
      <c r="K443" s="5" t="str">
        <f t="shared" si="14"/>
        <v>PKA</v>
      </c>
      <c r="P443" s="53" t="s">
        <v>381</v>
      </c>
    </row>
    <row r="444" spans="1:16" s="53" customFormat="1" x14ac:dyDescent="0.25">
      <c r="A444" s="58" t="str">
        <f t="shared" si="15"/>
        <v>XI KA 119</v>
      </c>
      <c r="B444" s="171">
        <f>COUNTIF(H$2:H444,H444)</f>
        <v>19</v>
      </c>
      <c r="C444" s="168">
        <v>102419154</v>
      </c>
      <c r="D444" s="168" t="s">
        <v>4299</v>
      </c>
      <c r="E444" s="168" t="s">
        <v>4698</v>
      </c>
      <c r="F444" s="198" t="s">
        <v>3887</v>
      </c>
      <c r="G444" s="168" t="s">
        <v>381</v>
      </c>
      <c r="H444" s="168" t="s">
        <v>3822</v>
      </c>
      <c r="I444" s="5" t="s">
        <v>5674</v>
      </c>
      <c r="J444" s="5" t="s">
        <v>5673</v>
      </c>
      <c r="K444" s="5" t="str">
        <f t="shared" si="14"/>
        <v>PKA</v>
      </c>
      <c r="P444" s="53" t="s">
        <v>381</v>
      </c>
    </row>
    <row r="445" spans="1:16" s="53" customFormat="1" x14ac:dyDescent="0.25">
      <c r="A445" s="58" t="str">
        <f t="shared" si="15"/>
        <v>XI KA 120</v>
      </c>
      <c r="B445" s="171">
        <f>COUNTIF(H$2:H445,H445)</f>
        <v>20</v>
      </c>
      <c r="C445" s="168">
        <v>102419155</v>
      </c>
      <c r="D445" s="168" t="s">
        <v>4300</v>
      </c>
      <c r="E445" s="168" t="s">
        <v>4699</v>
      </c>
      <c r="F445" s="198" t="s">
        <v>3888</v>
      </c>
      <c r="G445" s="168" t="s">
        <v>381</v>
      </c>
      <c r="H445" s="168" t="s">
        <v>3822</v>
      </c>
      <c r="I445" s="5" t="s">
        <v>5674</v>
      </c>
      <c r="J445" s="5" t="s">
        <v>5673</v>
      </c>
      <c r="K445" s="5" t="str">
        <f t="shared" si="14"/>
        <v>PKA</v>
      </c>
      <c r="P445" s="53" t="s">
        <v>381</v>
      </c>
    </row>
    <row r="446" spans="1:16" s="53" customFormat="1" x14ac:dyDescent="0.25">
      <c r="A446" s="58" t="str">
        <f t="shared" si="15"/>
        <v>XI KA 121</v>
      </c>
      <c r="B446" s="171">
        <f>COUNTIF(H$2:H446,H446)</f>
        <v>21</v>
      </c>
      <c r="C446" s="168">
        <v>102419156</v>
      </c>
      <c r="D446" s="168" t="s">
        <v>4301</v>
      </c>
      <c r="E446" s="168" t="s">
        <v>4700</v>
      </c>
      <c r="F446" s="198" t="s">
        <v>3889</v>
      </c>
      <c r="G446" s="168" t="s">
        <v>381</v>
      </c>
      <c r="H446" s="168" t="s">
        <v>3822</v>
      </c>
      <c r="I446" s="5" t="s">
        <v>5674</v>
      </c>
      <c r="J446" s="5" t="s">
        <v>5673</v>
      </c>
      <c r="K446" s="5" t="str">
        <f t="shared" si="14"/>
        <v>PKA</v>
      </c>
      <c r="P446" s="53" t="s">
        <v>381</v>
      </c>
    </row>
    <row r="447" spans="1:16" s="53" customFormat="1" x14ac:dyDescent="0.25">
      <c r="A447" s="58" t="str">
        <f t="shared" si="15"/>
        <v>XI KA 122</v>
      </c>
      <c r="B447" s="171">
        <f>COUNTIF(H$2:H447,H447)</f>
        <v>22</v>
      </c>
      <c r="C447" s="168">
        <v>102419157</v>
      </c>
      <c r="D447" s="168" t="s">
        <v>4302</v>
      </c>
      <c r="E447" s="168" t="s">
        <v>4701</v>
      </c>
      <c r="F447" s="198" t="s">
        <v>3890</v>
      </c>
      <c r="G447" s="168" t="s">
        <v>381</v>
      </c>
      <c r="H447" s="168" t="s">
        <v>3822</v>
      </c>
      <c r="I447" s="5" t="s">
        <v>5674</v>
      </c>
      <c r="J447" s="5" t="s">
        <v>5673</v>
      </c>
      <c r="K447" s="5" t="str">
        <f t="shared" si="14"/>
        <v>PKA</v>
      </c>
      <c r="P447" s="53" t="s">
        <v>381</v>
      </c>
    </row>
    <row r="448" spans="1:16" s="53" customFormat="1" x14ac:dyDescent="0.25">
      <c r="A448" s="58" t="str">
        <f t="shared" si="15"/>
        <v>XI KA 123</v>
      </c>
      <c r="B448" s="171">
        <f>COUNTIF(H$2:H448,H448)</f>
        <v>23</v>
      </c>
      <c r="C448" s="168">
        <v>102419158</v>
      </c>
      <c r="D448" s="168" t="s">
        <v>4303</v>
      </c>
      <c r="E448" s="168" t="s">
        <v>4702</v>
      </c>
      <c r="F448" s="198" t="s">
        <v>3891</v>
      </c>
      <c r="G448" s="168" t="s">
        <v>381</v>
      </c>
      <c r="H448" s="168" t="s">
        <v>3822</v>
      </c>
      <c r="I448" s="5" t="s">
        <v>5674</v>
      </c>
      <c r="J448" s="5" t="s">
        <v>5673</v>
      </c>
      <c r="K448" s="5" t="str">
        <f t="shared" si="14"/>
        <v>PKA</v>
      </c>
      <c r="P448" s="53" t="s">
        <v>381</v>
      </c>
    </row>
    <row r="449" spans="1:16" s="53" customFormat="1" x14ac:dyDescent="0.25">
      <c r="A449" s="58" t="str">
        <f t="shared" si="15"/>
        <v>XI KA 124</v>
      </c>
      <c r="B449" s="171">
        <f>COUNTIF(H$2:H449,H449)</f>
        <v>24</v>
      </c>
      <c r="C449" s="168">
        <v>102419159</v>
      </c>
      <c r="D449" s="168" t="s">
        <v>4304</v>
      </c>
      <c r="E449" s="168" t="s">
        <v>4703</v>
      </c>
      <c r="F449" s="198" t="s">
        <v>3892</v>
      </c>
      <c r="G449" s="168" t="s">
        <v>381</v>
      </c>
      <c r="H449" s="168" t="s">
        <v>3822</v>
      </c>
      <c r="I449" s="5" t="s">
        <v>5674</v>
      </c>
      <c r="J449" s="5" t="s">
        <v>5673</v>
      </c>
      <c r="K449" s="5" t="str">
        <f t="shared" si="14"/>
        <v>PKA</v>
      </c>
      <c r="P449" s="53" t="s">
        <v>381</v>
      </c>
    </row>
    <row r="450" spans="1:16" s="53" customFormat="1" x14ac:dyDescent="0.25">
      <c r="A450" s="58" t="str">
        <f t="shared" si="15"/>
        <v>XI KA 125</v>
      </c>
      <c r="B450" s="171">
        <f>COUNTIF(H$2:H450,H450)</f>
        <v>25</v>
      </c>
      <c r="C450" s="168">
        <v>102419160</v>
      </c>
      <c r="D450" s="168" t="s">
        <v>4305</v>
      </c>
      <c r="E450" s="168" t="s">
        <v>4704</v>
      </c>
      <c r="F450" s="198" t="s">
        <v>3893</v>
      </c>
      <c r="G450" s="168" t="s">
        <v>381</v>
      </c>
      <c r="H450" s="168" t="s">
        <v>3822</v>
      </c>
      <c r="I450" s="5" t="s">
        <v>5674</v>
      </c>
      <c r="J450" s="5" t="s">
        <v>5673</v>
      </c>
      <c r="K450" s="5" t="str">
        <f t="shared" si="14"/>
        <v>PKA</v>
      </c>
      <c r="P450" s="53" t="s">
        <v>381</v>
      </c>
    </row>
    <row r="451" spans="1:16" s="53" customFormat="1" x14ac:dyDescent="0.25">
      <c r="A451" s="58" t="str">
        <f t="shared" si="15"/>
        <v>XI KA 126</v>
      </c>
      <c r="B451" s="171">
        <f>COUNTIF(H$2:H451,H451)</f>
        <v>26</v>
      </c>
      <c r="C451" s="168">
        <v>102419161</v>
      </c>
      <c r="D451" s="168" t="s">
        <v>4306</v>
      </c>
      <c r="E451" s="168" t="s">
        <v>4705</v>
      </c>
      <c r="F451" s="198" t="s">
        <v>3894</v>
      </c>
      <c r="G451" s="168" t="s">
        <v>381</v>
      </c>
      <c r="H451" s="168" t="s">
        <v>3822</v>
      </c>
      <c r="I451" s="5" t="s">
        <v>5674</v>
      </c>
      <c r="J451" s="5" t="s">
        <v>5673</v>
      </c>
      <c r="K451" s="5" t="str">
        <f t="shared" si="14"/>
        <v>PKA</v>
      </c>
      <c r="P451" s="53" t="s">
        <v>381</v>
      </c>
    </row>
    <row r="452" spans="1:16" s="53" customFormat="1" x14ac:dyDescent="0.25">
      <c r="A452" s="58" t="str">
        <f t="shared" si="15"/>
        <v>XI KA 127</v>
      </c>
      <c r="B452" s="171">
        <f>COUNTIF(H$2:H452,H452)</f>
        <v>27</v>
      </c>
      <c r="C452" s="168">
        <v>102419163</v>
      </c>
      <c r="D452" s="168" t="s">
        <v>4308</v>
      </c>
      <c r="E452" s="168" t="s">
        <v>4707</v>
      </c>
      <c r="F452" s="198" t="s">
        <v>3895</v>
      </c>
      <c r="G452" s="168" t="s">
        <v>381</v>
      </c>
      <c r="H452" s="168" t="s">
        <v>3822</v>
      </c>
      <c r="I452" s="5" t="s">
        <v>5674</v>
      </c>
      <c r="J452" s="5" t="s">
        <v>5673</v>
      </c>
      <c r="K452" s="5" t="str">
        <f t="shared" si="14"/>
        <v>PKA</v>
      </c>
      <c r="P452" s="53" t="s">
        <v>381</v>
      </c>
    </row>
    <row r="453" spans="1:16" s="53" customFormat="1" x14ac:dyDescent="0.25">
      <c r="A453" s="58" t="str">
        <f t="shared" si="15"/>
        <v>XI KA 128</v>
      </c>
      <c r="B453" s="171">
        <f>COUNTIF(H$2:H453,H453)</f>
        <v>28</v>
      </c>
      <c r="C453" s="168">
        <v>102419164</v>
      </c>
      <c r="D453" s="168" t="s">
        <v>4309</v>
      </c>
      <c r="E453" s="168" t="s">
        <v>4708</v>
      </c>
      <c r="F453" s="198" t="s">
        <v>3896</v>
      </c>
      <c r="G453" s="168" t="s">
        <v>381</v>
      </c>
      <c r="H453" s="168" t="s">
        <v>3822</v>
      </c>
      <c r="I453" s="5" t="s">
        <v>5674</v>
      </c>
      <c r="J453" s="5" t="s">
        <v>5673</v>
      </c>
      <c r="K453" s="5" t="str">
        <f t="shared" si="14"/>
        <v>PKA</v>
      </c>
      <c r="P453" s="53" t="s">
        <v>381</v>
      </c>
    </row>
    <row r="454" spans="1:16" s="53" customFormat="1" x14ac:dyDescent="0.25">
      <c r="A454" s="58" t="str">
        <f t="shared" si="15"/>
        <v>XI KA 129</v>
      </c>
      <c r="B454" s="171">
        <f>COUNTIF(H$2:H454,H454)</f>
        <v>29</v>
      </c>
      <c r="C454" s="168">
        <v>102419165</v>
      </c>
      <c r="D454" s="168" t="s">
        <v>4310</v>
      </c>
      <c r="E454" s="168" t="s">
        <v>4709</v>
      </c>
      <c r="F454" s="198" t="s">
        <v>3897</v>
      </c>
      <c r="G454" s="168" t="s">
        <v>381</v>
      </c>
      <c r="H454" s="168" t="s">
        <v>3822</v>
      </c>
      <c r="I454" s="5" t="s">
        <v>5674</v>
      </c>
      <c r="J454" s="5" t="s">
        <v>5673</v>
      </c>
      <c r="K454" s="5" t="str">
        <f t="shared" si="14"/>
        <v>PKA</v>
      </c>
      <c r="P454" s="53" t="s">
        <v>381</v>
      </c>
    </row>
    <row r="455" spans="1:16" s="53" customFormat="1" x14ac:dyDescent="0.25">
      <c r="A455" s="58" t="str">
        <f t="shared" si="15"/>
        <v>XI KA 130</v>
      </c>
      <c r="B455" s="171">
        <f>COUNTIF(H$2:H455,H455)</f>
        <v>30</v>
      </c>
      <c r="C455" s="168">
        <v>102419166</v>
      </c>
      <c r="D455" s="168" t="s">
        <v>4311</v>
      </c>
      <c r="E455" s="168" t="s">
        <v>4710</v>
      </c>
      <c r="F455" s="198" t="s">
        <v>3898</v>
      </c>
      <c r="G455" s="168" t="s">
        <v>381</v>
      </c>
      <c r="H455" s="168" t="s">
        <v>3822</v>
      </c>
      <c r="I455" s="5" t="s">
        <v>5674</v>
      </c>
      <c r="J455" s="5" t="s">
        <v>5673</v>
      </c>
      <c r="K455" s="5" t="str">
        <f t="shared" si="14"/>
        <v>PKA</v>
      </c>
      <c r="P455" s="53" t="s">
        <v>381</v>
      </c>
    </row>
    <row r="456" spans="1:16" s="53" customFormat="1" x14ac:dyDescent="0.25">
      <c r="A456" s="58" t="str">
        <f t="shared" si="15"/>
        <v>XI KA 131</v>
      </c>
      <c r="B456" s="171">
        <f>COUNTIF(H$2:H456,H456)</f>
        <v>31</v>
      </c>
      <c r="C456" s="168">
        <v>102419167</v>
      </c>
      <c r="D456" s="168" t="s">
        <v>4312</v>
      </c>
      <c r="E456" s="168" t="s">
        <v>4711</v>
      </c>
      <c r="F456" s="198" t="s">
        <v>3899</v>
      </c>
      <c r="G456" s="168" t="s">
        <v>381</v>
      </c>
      <c r="H456" s="168" t="s">
        <v>3822</v>
      </c>
      <c r="I456" s="5" t="s">
        <v>5674</v>
      </c>
      <c r="J456" s="5" t="s">
        <v>5673</v>
      </c>
      <c r="K456" s="5" t="str">
        <f t="shared" si="14"/>
        <v>PKA</v>
      </c>
      <c r="P456" s="53" t="s">
        <v>381</v>
      </c>
    </row>
    <row r="457" spans="1:16" s="53" customFormat="1" x14ac:dyDescent="0.25">
      <c r="A457" s="58" t="str">
        <f t="shared" si="15"/>
        <v>XI KA 132</v>
      </c>
      <c r="B457" s="171">
        <f>COUNTIF(H$2:H457,H457)</f>
        <v>32</v>
      </c>
      <c r="C457" s="168">
        <v>102419170</v>
      </c>
      <c r="D457" s="168" t="s">
        <v>4315</v>
      </c>
      <c r="E457" s="168" t="s">
        <v>4714</v>
      </c>
      <c r="F457" s="198" t="s">
        <v>3902</v>
      </c>
      <c r="G457" s="168" t="s">
        <v>381</v>
      </c>
      <c r="H457" s="168" t="s">
        <v>3822</v>
      </c>
      <c r="I457" s="5" t="s">
        <v>5674</v>
      </c>
      <c r="J457" s="5" t="s">
        <v>5673</v>
      </c>
      <c r="K457" s="5" t="str">
        <f t="shared" si="14"/>
        <v>PKA</v>
      </c>
      <c r="P457" s="53" t="s">
        <v>381</v>
      </c>
    </row>
    <row r="458" spans="1:16" s="53" customFormat="1" x14ac:dyDescent="0.25">
      <c r="A458" s="58" t="str">
        <f t="shared" si="15"/>
        <v>XI KA 21</v>
      </c>
      <c r="B458" s="171">
        <f>COUNTIF(H$2:H458,H458)</f>
        <v>1</v>
      </c>
      <c r="C458" s="168">
        <v>102419171</v>
      </c>
      <c r="D458" s="168" t="s">
        <v>4316</v>
      </c>
      <c r="E458" s="168" t="s">
        <v>4715</v>
      </c>
      <c r="F458" s="198" t="s">
        <v>3903</v>
      </c>
      <c r="G458" s="218" t="s">
        <v>379</v>
      </c>
      <c r="H458" s="168" t="s">
        <v>3823</v>
      </c>
      <c r="I458" s="5" t="s">
        <v>5674</v>
      </c>
      <c r="J458" s="5" t="s">
        <v>5673</v>
      </c>
      <c r="K458" s="5" t="str">
        <f t="shared" si="14"/>
        <v>LKA</v>
      </c>
      <c r="P458" s="53" t="s">
        <v>379</v>
      </c>
    </row>
    <row r="459" spans="1:16" s="53" customFormat="1" x14ac:dyDescent="0.25">
      <c r="A459" s="58" t="str">
        <f t="shared" si="15"/>
        <v>XI KA 22</v>
      </c>
      <c r="B459" s="171">
        <f>COUNTIF(H$2:H459,H459)</f>
        <v>2</v>
      </c>
      <c r="C459" s="168">
        <v>102419172</v>
      </c>
      <c r="D459" s="168" t="s">
        <v>4317</v>
      </c>
      <c r="E459" s="168" t="s">
        <v>4716</v>
      </c>
      <c r="F459" s="198" t="s">
        <v>3904</v>
      </c>
      <c r="G459" s="218" t="s">
        <v>381</v>
      </c>
      <c r="H459" s="168" t="s">
        <v>3823</v>
      </c>
      <c r="I459" s="5" t="s">
        <v>5674</v>
      </c>
      <c r="J459" s="5" t="s">
        <v>5673</v>
      </c>
      <c r="K459" s="5" t="str">
        <f t="shared" si="14"/>
        <v>PKA</v>
      </c>
      <c r="P459" s="53" t="s">
        <v>381</v>
      </c>
    </row>
    <row r="460" spans="1:16" s="53" customFormat="1" x14ac:dyDescent="0.25">
      <c r="A460" s="58" t="str">
        <f t="shared" si="15"/>
        <v>XI KA 23</v>
      </c>
      <c r="B460" s="171">
        <f>COUNTIF(H$2:H460,H460)</f>
        <v>3</v>
      </c>
      <c r="C460" s="168">
        <v>102419173</v>
      </c>
      <c r="D460" s="168" t="s">
        <v>4318</v>
      </c>
      <c r="E460" s="168" t="s">
        <v>4717</v>
      </c>
      <c r="F460" s="198" t="s">
        <v>3905</v>
      </c>
      <c r="G460" s="218" t="s">
        <v>381</v>
      </c>
      <c r="H460" s="168" t="s">
        <v>3823</v>
      </c>
      <c r="I460" s="5" t="s">
        <v>5674</v>
      </c>
      <c r="J460" s="5" t="s">
        <v>5673</v>
      </c>
      <c r="K460" s="5" t="str">
        <f t="shared" si="14"/>
        <v>PKA</v>
      </c>
      <c r="P460" s="53" t="s">
        <v>381</v>
      </c>
    </row>
    <row r="461" spans="1:16" s="53" customFormat="1" x14ac:dyDescent="0.25">
      <c r="A461" s="58" t="str">
        <f t="shared" si="15"/>
        <v>XI KA 24</v>
      </c>
      <c r="B461" s="171">
        <f>COUNTIF(H$2:H461,H461)</f>
        <v>4</v>
      </c>
      <c r="C461" s="168">
        <v>102419174</v>
      </c>
      <c r="D461" s="168" t="s">
        <v>4319</v>
      </c>
      <c r="E461" s="168" t="s">
        <v>4718</v>
      </c>
      <c r="F461" s="198" t="s">
        <v>3906</v>
      </c>
      <c r="G461" s="218" t="s">
        <v>381</v>
      </c>
      <c r="H461" s="168" t="s">
        <v>3823</v>
      </c>
      <c r="I461" s="5" t="s">
        <v>5674</v>
      </c>
      <c r="J461" s="5" t="s">
        <v>5673</v>
      </c>
      <c r="K461" s="5" t="str">
        <f t="shared" si="14"/>
        <v>PKA</v>
      </c>
      <c r="P461" s="53" t="s">
        <v>381</v>
      </c>
    </row>
    <row r="462" spans="1:16" s="53" customFormat="1" x14ac:dyDescent="0.25">
      <c r="A462" s="58" t="str">
        <f t="shared" si="15"/>
        <v>XI KA 25</v>
      </c>
      <c r="B462" s="171">
        <f>COUNTIF(H$2:H462,H462)</f>
        <v>5</v>
      </c>
      <c r="C462" s="168">
        <v>102419175</v>
      </c>
      <c r="D462" s="168" t="s">
        <v>4320</v>
      </c>
      <c r="E462" s="168" t="s">
        <v>4719</v>
      </c>
      <c r="F462" s="198" t="s">
        <v>3907</v>
      </c>
      <c r="G462" s="218" t="s">
        <v>381</v>
      </c>
      <c r="H462" s="168" t="s">
        <v>3823</v>
      </c>
      <c r="I462" s="5" t="s">
        <v>5674</v>
      </c>
      <c r="J462" s="5" t="s">
        <v>5673</v>
      </c>
      <c r="K462" s="5" t="str">
        <f t="shared" si="14"/>
        <v>PKA</v>
      </c>
      <c r="P462" s="53" t="s">
        <v>381</v>
      </c>
    </row>
    <row r="463" spans="1:16" s="53" customFormat="1" x14ac:dyDescent="0.25">
      <c r="A463" s="58" t="str">
        <f t="shared" si="15"/>
        <v>XI KA 26</v>
      </c>
      <c r="B463" s="171">
        <f>COUNTIF(H$2:H463,H463)</f>
        <v>6</v>
      </c>
      <c r="C463" s="168">
        <v>102419176</v>
      </c>
      <c r="D463" s="168" t="s">
        <v>4321</v>
      </c>
      <c r="E463" s="168" t="s">
        <v>4720</v>
      </c>
      <c r="F463" s="198" t="s">
        <v>3909</v>
      </c>
      <c r="G463" s="218" t="s">
        <v>379</v>
      </c>
      <c r="H463" s="168" t="s">
        <v>3823</v>
      </c>
      <c r="I463" s="5" t="s">
        <v>5674</v>
      </c>
      <c r="J463" s="5" t="s">
        <v>5673</v>
      </c>
      <c r="K463" s="5" t="str">
        <f t="shared" si="14"/>
        <v>LKA</v>
      </c>
      <c r="P463" s="53" t="s">
        <v>379</v>
      </c>
    </row>
    <row r="464" spans="1:16" s="53" customFormat="1" x14ac:dyDescent="0.25">
      <c r="A464" s="58" t="str">
        <f t="shared" si="15"/>
        <v>XI KA 27</v>
      </c>
      <c r="B464" s="171">
        <f>COUNTIF(H$2:H464,H464)</f>
        <v>7</v>
      </c>
      <c r="C464" s="168">
        <v>102419177</v>
      </c>
      <c r="D464" s="168" t="s">
        <v>4322</v>
      </c>
      <c r="E464" s="168" t="s">
        <v>4721</v>
      </c>
      <c r="F464" s="198" t="s">
        <v>3910</v>
      </c>
      <c r="G464" s="218" t="s">
        <v>379</v>
      </c>
      <c r="H464" s="168" t="s">
        <v>3823</v>
      </c>
      <c r="I464" s="5" t="s">
        <v>5674</v>
      </c>
      <c r="J464" s="5" t="s">
        <v>5673</v>
      </c>
      <c r="K464" s="5" t="str">
        <f t="shared" si="14"/>
        <v>LKA</v>
      </c>
      <c r="P464" s="53" t="s">
        <v>379</v>
      </c>
    </row>
    <row r="465" spans="1:16" s="53" customFormat="1" x14ac:dyDescent="0.25">
      <c r="A465" s="58" t="str">
        <f t="shared" si="15"/>
        <v>XI KA 28</v>
      </c>
      <c r="B465" s="171">
        <f>COUNTIF(H$2:H465,H465)</f>
        <v>8</v>
      </c>
      <c r="C465" s="168">
        <v>102419178</v>
      </c>
      <c r="D465" s="168" t="s">
        <v>4323</v>
      </c>
      <c r="E465" s="168" t="s">
        <v>4722</v>
      </c>
      <c r="F465" s="198" t="s">
        <v>4055</v>
      </c>
      <c r="G465" s="218" t="s">
        <v>379</v>
      </c>
      <c r="H465" s="168" t="s">
        <v>3823</v>
      </c>
      <c r="I465" s="5" t="s">
        <v>5674</v>
      </c>
      <c r="J465" s="5" t="s">
        <v>5673</v>
      </c>
      <c r="K465" s="5" t="str">
        <f t="shared" si="14"/>
        <v>LKA</v>
      </c>
      <c r="P465" s="53" t="s">
        <v>379</v>
      </c>
    </row>
    <row r="466" spans="1:16" s="53" customFormat="1" x14ac:dyDescent="0.25">
      <c r="A466" s="58" t="str">
        <f t="shared" si="15"/>
        <v>XI KA 29</v>
      </c>
      <c r="B466" s="171">
        <f>COUNTIF(H$2:H466,H466)</f>
        <v>9</v>
      </c>
      <c r="C466" s="168">
        <v>102419179</v>
      </c>
      <c r="D466" s="168" t="s">
        <v>4324</v>
      </c>
      <c r="E466" s="168" t="s">
        <v>4723</v>
      </c>
      <c r="F466" s="198" t="s">
        <v>4057</v>
      </c>
      <c r="G466" s="218" t="s">
        <v>379</v>
      </c>
      <c r="H466" s="168" t="s">
        <v>3823</v>
      </c>
      <c r="I466" s="5" t="s">
        <v>5674</v>
      </c>
      <c r="J466" s="5" t="s">
        <v>5673</v>
      </c>
      <c r="K466" s="5" t="str">
        <f t="shared" si="14"/>
        <v>LKA</v>
      </c>
      <c r="P466" s="53" t="s">
        <v>379</v>
      </c>
    </row>
    <row r="467" spans="1:16" s="53" customFormat="1" x14ac:dyDescent="0.25">
      <c r="A467" s="58" t="str">
        <f t="shared" si="15"/>
        <v>XI KA 210</v>
      </c>
      <c r="B467" s="171">
        <f>COUNTIF(H$2:H467,H467)</f>
        <v>10</v>
      </c>
      <c r="C467" s="168">
        <v>102419180</v>
      </c>
      <c r="D467" s="168" t="s">
        <v>4325</v>
      </c>
      <c r="E467" s="168" t="s">
        <v>4724</v>
      </c>
      <c r="F467" s="198" t="s">
        <v>3911</v>
      </c>
      <c r="G467" s="218" t="s">
        <v>379</v>
      </c>
      <c r="H467" s="168" t="s">
        <v>3823</v>
      </c>
      <c r="I467" s="5" t="s">
        <v>5674</v>
      </c>
      <c r="J467" s="5" t="s">
        <v>5673</v>
      </c>
      <c r="K467" s="5" t="str">
        <f t="shared" si="14"/>
        <v>LKA</v>
      </c>
      <c r="P467" s="53" t="s">
        <v>379</v>
      </c>
    </row>
    <row r="468" spans="1:16" s="53" customFormat="1" x14ac:dyDescent="0.25">
      <c r="A468" s="58" t="str">
        <f t="shared" si="15"/>
        <v>XI KA 211</v>
      </c>
      <c r="B468" s="171">
        <f>COUNTIF(H$2:H468,H468)</f>
        <v>11</v>
      </c>
      <c r="C468" s="168">
        <v>102419181</v>
      </c>
      <c r="D468" s="168" t="s">
        <v>4326</v>
      </c>
      <c r="E468" s="168" t="s">
        <v>4725</v>
      </c>
      <c r="F468" s="198" t="s">
        <v>3913</v>
      </c>
      <c r="G468" s="218" t="s">
        <v>381</v>
      </c>
      <c r="H468" s="168" t="s">
        <v>3823</v>
      </c>
      <c r="I468" s="5" t="s">
        <v>5674</v>
      </c>
      <c r="J468" s="5" t="s">
        <v>5673</v>
      </c>
      <c r="K468" s="5" t="str">
        <f t="shared" si="14"/>
        <v>PKA</v>
      </c>
      <c r="P468" s="53" t="s">
        <v>381</v>
      </c>
    </row>
    <row r="469" spans="1:16" s="53" customFormat="1" x14ac:dyDescent="0.25">
      <c r="A469" s="58" t="str">
        <f t="shared" si="15"/>
        <v>XI KA 212</v>
      </c>
      <c r="B469" s="171">
        <f>COUNTIF(H$2:H469,H469)</f>
        <v>12</v>
      </c>
      <c r="C469" s="168">
        <v>102419182</v>
      </c>
      <c r="D469" s="168" t="s">
        <v>4327</v>
      </c>
      <c r="E469" s="168" t="s">
        <v>4726</v>
      </c>
      <c r="F469" s="198" t="s">
        <v>3914</v>
      </c>
      <c r="G469" s="218" t="s">
        <v>381</v>
      </c>
      <c r="H469" s="168" t="s">
        <v>3823</v>
      </c>
      <c r="I469" s="5" t="s">
        <v>5674</v>
      </c>
      <c r="J469" s="5" t="s">
        <v>5673</v>
      </c>
      <c r="K469" s="5" t="str">
        <f t="shared" si="14"/>
        <v>PKA</v>
      </c>
      <c r="P469" s="53" t="s">
        <v>381</v>
      </c>
    </row>
    <row r="470" spans="1:16" s="53" customFormat="1" x14ac:dyDescent="0.25">
      <c r="A470" s="58" t="str">
        <f t="shared" si="15"/>
        <v>XI KA 213</v>
      </c>
      <c r="B470" s="171">
        <f>COUNTIF(H$2:H470,H470)</f>
        <v>13</v>
      </c>
      <c r="C470" s="168">
        <v>102419183</v>
      </c>
      <c r="D470" s="168" t="s">
        <v>4328</v>
      </c>
      <c r="E470" s="168" t="s">
        <v>4727</v>
      </c>
      <c r="F470" s="198" t="s">
        <v>3915</v>
      </c>
      <c r="G470" s="218" t="s">
        <v>381</v>
      </c>
      <c r="H470" s="168" t="s">
        <v>3823</v>
      </c>
      <c r="I470" s="5" t="s">
        <v>5674</v>
      </c>
      <c r="J470" s="5" t="s">
        <v>5673</v>
      </c>
      <c r="K470" s="5" t="str">
        <f t="shared" si="14"/>
        <v>PKA</v>
      </c>
      <c r="P470" s="53" t="s">
        <v>381</v>
      </c>
    </row>
    <row r="471" spans="1:16" s="53" customFormat="1" x14ac:dyDescent="0.25">
      <c r="A471" s="58" t="str">
        <f t="shared" si="15"/>
        <v>XI KA 214</v>
      </c>
      <c r="B471" s="171">
        <f>COUNTIF(H$2:H471,H471)</f>
        <v>14</v>
      </c>
      <c r="C471" s="168">
        <v>102419184</v>
      </c>
      <c r="D471" s="168" t="s">
        <v>4329</v>
      </c>
      <c r="E471" s="168" t="s">
        <v>4728</v>
      </c>
      <c r="F471" s="198" t="s">
        <v>3916</v>
      </c>
      <c r="G471" s="218" t="s">
        <v>381</v>
      </c>
      <c r="H471" s="168" t="s">
        <v>3823</v>
      </c>
      <c r="I471" s="5" t="s">
        <v>5674</v>
      </c>
      <c r="J471" s="5" t="s">
        <v>5673</v>
      </c>
      <c r="K471" s="5" t="str">
        <f t="shared" si="14"/>
        <v>PKA</v>
      </c>
      <c r="P471" s="53" t="s">
        <v>381</v>
      </c>
    </row>
    <row r="472" spans="1:16" s="53" customFormat="1" x14ac:dyDescent="0.25">
      <c r="A472" s="58" t="str">
        <f t="shared" si="15"/>
        <v>XI KA 215</v>
      </c>
      <c r="B472" s="171">
        <f>COUNTIF(H$2:H472,H472)</f>
        <v>15</v>
      </c>
      <c r="C472" s="168">
        <v>102419185</v>
      </c>
      <c r="D472" s="168" t="s">
        <v>4330</v>
      </c>
      <c r="E472" s="168" t="s">
        <v>4729</v>
      </c>
      <c r="F472" s="198" t="s">
        <v>3917</v>
      </c>
      <c r="G472" s="218" t="s">
        <v>381</v>
      </c>
      <c r="H472" s="168" t="s">
        <v>3823</v>
      </c>
      <c r="I472" s="5" t="s">
        <v>5674</v>
      </c>
      <c r="J472" s="5" t="s">
        <v>5673</v>
      </c>
      <c r="K472" s="5" t="str">
        <f t="shared" si="14"/>
        <v>PKA</v>
      </c>
      <c r="P472" s="53" t="s">
        <v>381</v>
      </c>
    </row>
    <row r="473" spans="1:16" s="53" customFormat="1" x14ac:dyDescent="0.25">
      <c r="A473" s="58" t="str">
        <f t="shared" si="15"/>
        <v>XI KA 216</v>
      </c>
      <c r="B473" s="171">
        <f>COUNTIF(H$2:H473,H473)</f>
        <v>16</v>
      </c>
      <c r="C473" s="168">
        <v>102419186</v>
      </c>
      <c r="D473" s="168" t="s">
        <v>4331</v>
      </c>
      <c r="E473" s="168" t="s">
        <v>4730</v>
      </c>
      <c r="F473" s="198" t="s">
        <v>3918</v>
      </c>
      <c r="G473" s="218" t="s">
        <v>381</v>
      </c>
      <c r="H473" s="168" t="s">
        <v>3823</v>
      </c>
      <c r="I473" s="5" t="s">
        <v>5674</v>
      </c>
      <c r="J473" s="5" t="s">
        <v>5673</v>
      </c>
      <c r="K473" s="5" t="str">
        <f t="shared" si="14"/>
        <v>PKA</v>
      </c>
      <c r="P473" s="53" t="s">
        <v>381</v>
      </c>
    </row>
    <row r="474" spans="1:16" s="53" customFormat="1" x14ac:dyDescent="0.25">
      <c r="A474" s="58" t="str">
        <f t="shared" si="15"/>
        <v>XI KA 217</v>
      </c>
      <c r="B474" s="171">
        <f>COUNTIF(H$2:H474,H474)</f>
        <v>17</v>
      </c>
      <c r="C474" s="168">
        <v>102419187</v>
      </c>
      <c r="D474" s="168" t="s">
        <v>4332</v>
      </c>
      <c r="E474" s="168" t="s">
        <v>4731</v>
      </c>
      <c r="F474" s="198" t="s">
        <v>4263</v>
      </c>
      <c r="G474" s="218" t="s">
        <v>381</v>
      </c>
      <c r="H474" s="168" t="s">
        <v>3823</v>
      </c>
      <c r="I474" s="5" t="s">
        <v>5674</v>
      </c>
      <c r="J474" s="5" t="s">
        <v>5673</v>
      </c>
      <c r="K474" s="5" t="str">
        <f t="shared" si="14"/>
        <v>PKA</v>
      </c>
      <c r="P474" s="53" t="s">
        <v>381</v>
      </c>
    </row>
    <row r="475" spans="1:16" s="53" customFormat="1" x14ac:dyDescent="0.25">
      <c r="A475" s="58" t="str">
        <f t="shared" si="15"/>
        <v>XI KA 218</v>
      </c>
      <c r="B475" s="171">
        <f>COUNTIF(H$2:H475,H475)</f>
        <v>18</v>
      </c>
      <c r="C475" s="168">
        <v>102419188</v>
      </c>
      <c r="D475" s="168" t="s">
        <v>4333</v>
      </c>
      <c r="E475" s="168" t="s">
        <v>4732</v>
      </c>
      <c r="F475" s="198" t="s">
        <v>3919</v>
      </c>
      <c r="G475" s="218" t="s">
        <v>381</v>
      </c>
      <c r="H475" s="168" t="s">
        <v>3823</v>
      </c>
      <c r="I475" s="5" t="s">
        <v>5674</v>
      </c>
      <c r="J475" s="5" t="s">
        <v>5673</v>
      </c>
      <c r="K475" s="5" t="str">
        <f t="shared" si="14"/>
        <v>PKA</v>
      </c>
      <c r="P475" s="53" t="s">
        <v>381</v>
      </c>
    </row>
    <row r="476" spans="1:16" s="53" customFormat="1" x14ac:dyDescent="0.25">
      <c r="A476" s="58" t="str">
        <f t="shared" si="15"/>
        <v>XI KA 219</v>
      </c>
      <c r="B476" s="171">
        <f>COUNTIF(H$2:H476,H476)</f>
        <v>19</v>
      </c>
      <c r="C476" s="168">
        <v>102419189</v>
      </c>
      <c r="D476" s="168" t="s">
        <v>4334</v>
      </c>
      <c r="E476" s="168" t="s">
        <v>4733</v>
      </c>
      <c r="F476" s="198" t="s">
        <v>3920</v>
      </c>
      <c r="G476" s="218" t="s">
        <v>381</v>
      </c>
      <c r="H476" s="168" t="s">
        <v>3823</v>
      </c>
      <c r="I476" s="5" t="s">
        <v>5674</v>
      </c>
      <c r="J476" s="5" t="s">
        <v>5673</v>
      </c>
      <c r="K476" s="5" t="str">
        <f t="shared" si="14"/>
        <v>PKA</v>
      </c>
      <c r="P476" s="53" t="s">
        <v>381</v>
      </c>
    </row>
    <row r="477" spans="1:16" s="53" customFormat="1" x14ac:dyDescent="0.25">
      <c r="A477" s="58" t="str">
        <f t="shared" si="15"/>
        <v>XI KA 220</v>
      </c>
      <c r="B477" s="171">
        <f>COUNTIF(H$2:H477,H477)</f>
        <v>20</v>
      </c>
      <c r="C477" s="168">
        <v>102419190</v>
      </c>
      <c r="D477" s="168" t="s">
        <v>4335</v>
      </c>
      <c r="E477" s="168" t="s">
        <v>4734</v>
      </c>
      <c r="F477" s="198" t="s">
        <v>4066</v>
      </c>
      <c r="G477" s="218" t="s">
        <v>379</v>
      </c>
      <c r="H477" s="168" t="s">
        <v>3823</v>
      </c>
      <c r="I477" s="5" t="s">
        <v>5674</v>
      </c>
      <c r="J477" s="5" t="s">
        <v>5673</v>
      </c>
      <c r="K477" s="5" t="str">
        <f t="shared" si="14"/>
        <v>LKA</v>
      </c>
      <c r="P477" s="53" t="s">
        <v>379</v>
      </c>
    </row>
    <row r="478" spans="1:16" s="53" customFormat="1" x14ac:dyDescent="0.25">
      <c r="A478" s="58" t="str">
        <f t="shared" si="15"/>
        <v>XI KA 221</v>
      </c>
      <c r="B478" s="171">
        <f>COUNTIF(H$2:H478,H478)</f>
        <v>21</v>
      </c>
      <c r="C478" s="168">
        <v>102419191</v>
      </c>
      <c r="D478" s="168" t="s">
        <v>4336</v>
      </c>
      <c r="E478" s="168" t="s">
        <v>4735</v>
      </c>
      <c r="F478" s="198" t="s">
        <v>3921</v>
      </c>
      <c r="G478" s="218" t="s">
        <v>381</v>
      </c>
      <c r="H478" s="168" t="s">
        <v>3823</v>
      </c>
      <c r="I478" s="5" t="s">
        <v>5674</v>
      </c>
      <c r="J478" s="5" t="s">
        <v>5673</v>
      </c>
      <c r="K478" s="5" t="str">
        <f t="shared" si="14"/>
        <v>PKA</v>
      </c>
      <c r="P478" s="53" t="s">
        <v>381</v>
      </c>
    </row>
    <row r="479" spans="1:16" s="53" customFormat="1" x14ac:dyDescent="0.25">
      <c r="A479" s="58" t="str">
        <f t="shared" si="15"/>
        <v>XI KA 222</v>
      </c>
      <c r="B479" s="171">
        <f>COUNTIF(H$2:H479,H479)</f>
        <v>22</v>
      </c>
      <c r="C479" s="168">
        <v>102419192</v>
      </c>
      <c r="D479" s="168" t="s">
        <v>4337</v>
      </c>
      <c r="E479" s="168" t="s">
        <v>4736</v>
      </c>
      <c r="F479" s="198" t="s">
        <v>3923</v>
      </c>
      <c r="G479" s="218" t="s">
        <v>381</v>
      </c>
      <c r="H479" s="168" t="s">
        <v>3823</v>
      </c>
      <c r="I479" s="5" t="s">
        <v>5674</v>
      </c>
      <c r="J479" s="5" t="s">
        <v>5673</v>
      </c>
      <c r="K479" s="5" t="str">
        <f t="shared" si="14"/>
        <v>PKA</v>
      </c>
      <c r="P479" s="53" t="s">
        <v>381</v>
      </c>
    </row>
    <row r="480" spans="1:16" s="53" customFormat="1" x14ac:dyDescent="0.25">
      <c r="A480" s="58" t="str">
        <f t="shared" si="15"/>
        <v>XI KA 223</v>
      </c>
      <c r="B480" s="171">
        <f>COUNTIF(H$2:H480,H480)</f>
        <v>23</v>
      </c>
      <c r="C480" s="168">
        <v>102419193</v>
      </c>
      <c r="D480" s="168" t="s">
        <v>4338</v>
      </c>
      <c r="E480" s="168" t="s">
        <v>4737</v>
      </c>
      <c r="F480" s="198" t="s">
        <v>3924</v>
      </c>
      <c r="G480" s="218" t="s">
        <v>381</v>
      </c>
      <c r="H480" s="168" t="s">
        <v>3823</v>
      </c>
      <c r="I480" s="5" t="s">
        <v>5674</v>
      </c>
      <c r="J480" s="5" t="s">
        <v>5673</v>
      </c>
      <c r="K480" s="5" t="str">
        <f t="shared" si="14"/>
        <v>PKA</v>
      </c>
      <c r="P480" s="53" t="s">
        <v>381</v>
      </c>
    </row>
    <row r="481" spans="1:16" s="53" customFormat="1" x14ac:dyDescent="0.25">
      <c r="A481" s="58" t="str">
        <f t="shared" si="15"/>
        <v>XI KA 224</v>
      </c>
      <c r="B481" s="171">
        <f>COUNTIF(H$2:H481,H481)</f>
        <v>24</v>
      </c>
      <c r="C481" s="168">
        <v>102419194</v>
      </c>
      <c r="D481" s="168" t="s">
        <v>4339</v>
      </c>
      <c r="E481" s="168" t="s">
        <v>4738</v>
      </c>
      <c r="F481" s="198" t="s">
        <v>4069</v>
      </c>
      <c r="G481" s="218" t="s">
        <v>379</v>
      </c>
      <c r="H481" s="168" t="s">
        <v>3823</v>
      </c>
      <c r="I481" s="5" t="s">
        <v>5674</v>
      </c>
      <c r="J481" s="5" t="s">
        <v>5673</v>
      </c>
      <c r="K481" s="5" t="str">
        <f t="shared" si="14"/>
        <v>LKA</v>
      </c>
      <c r="P481" s="53" t="s">
        <v>379</v>
      </c>
    </row>
    <row r="482" spans="1:16" s="53" customFormat="1" x14ac:dyDescent="0.25">
      <c r="A482" s="58" t="str">
        <f t="shared" si="15"/>
        <v>XI KA 225</v>
      </c>
      <c r="B482" s="171">
        <f>COUNTIF(H$2:H482,H482)</f>
        <v>25</v>
      </c>
      <c r="C482" s="168">
        <v>102419195</v>
      </c>
      <c r="D482" s="168" t="s">
        <v>4340</v>
      </c>
      <c r="E482" s="168" t="s">
        <v>4739</v>
      </c>
      <c r="F482" s="198" t="s">
        <v>3925</v>
      </c>
      <c r="G482" s="218" t="s">
        <v>381</v>
      </c>
      <c r="H482" s="168" t="s">
        <v>3823</v>
      </c>
      <c r="I482" s="5" t="s">
        <v>5674</v>
      </c>
      <c r="J482" s="5" t="s">
        <v>5673</v>
      </c>
      <c r="K482" s="5" t="str">
        <f t="shared" si="14"/>
        <v>PKA</v>
      </c>
      <c r="P482" s="53" t="s">
        <v>381</v>
      </c>
    </row>
    <row r="483" spans="1:16" s="53" customFormat="1" x14ac:dyDescent="0.25">
      <c r="A483" s="58" t="str">
        <f t="shared" si="15"/>
        <v>XI KA 226</v>
      </c>
      <c r="B483" s="171">
        <f>COUNTIF(H$2:H483,H483)</f>
        <v>26</v>
      </c>
      <c r="C483" s="168">
        <v>102419196</v>
      </c>
      <c r="D483" s="168" t="s">
        <v>4341</v>
      </c>
      <c r="E483" s="168" t="s">
        <v>4740</v>
      </c>
      <c r="F483" s="198" t="s">
        <v>3926</v>
      </c>
      <c r="G483" s="218" t="s">
        <v>381</v>
      </c>
      <c r="H483" s="168" t="s">
        <v>3823</v>
      </c>
      <c r="I483" s="5" t="s">
        <v>5674</v>
      </c>
      <c r="J483" s="5" t="s">
        <v>5673</v>
      </c>
      <c r="K483" s="5" t="str">
        <f t="shared" si="14"/>
        <v>PKA</v>
      </c>
      <c r="P483" s="53" t="s">
        <v>381</v>
      </c>
    </row>
    <row r="484" spans="1:16" s="53" customFormat="1" x14ac:dyDescent="0.25">
      <c r="A484" s="58" t="str">
        <f t="shared" si="15"/>
        <v>XI KA 227</v>
      </c>
      <c r="B484" s="171">
        <f>COUNTIF(H$2:H484,H484)</f>
        <v>27</v>
      </c>
      <c r="C484" s="168">
        <v>102419197</v>
      </c>
      <c r="D484" s="168" t="s">
        <v>4342</v>
      </c>
      <c r="E484" s="168" t="s">
        <v>4741</v>
      </c>
      <c r="F484" s="198" t="s">
        <v>3927</v>
      </c>
      <c r="G484" s="218" t="s">
        <v>381</v>
      </c>
      <c r="H484" s="168" t="s">
        <v>3823</v>
      </c>
      <c r="I484" s="5" t="s">
        <v>5674</v>
      </c>
      <c r="J484" s="5" t="s">
        <v>5673</v>
      </c>
      <c r="K484" s="5" t="str">
        <f t="shared" si="14"/>
        <v>PKA</v>
      </c>
      <c r="P484" s="53" t="s">
        <v>381</v>
      </c>
    </row>
    <row r="485" spans="1:16" s="53" customFormat="1" x14ac:dyDescent="0.25">
      <c r="A485" s="58" t="str">
        <f t="shared" si="15"/>
        <v>XI KA 228</v>
      </c>
      <c r="B485" s="171">
        <f>COUNTIF(H$2:H485,H485)</f>
        <v>28</v>
      </c>
      <c r="C485" s="168">
        <v>102419198</v>
      </c>
      <c r="D485" s="168" t="s">
        <v>4343</v>
      </c>
      <c r="E485" s="168" t="s">
        <v>4742</v>
      </c>
      <c r="F485" s="198" t="s">
        <v>3928</v>
      </c>
      <c r="G485" s="218" t="s">
        <v>381</v>
      </c>
      <c r="H485" s="168" t="s">
        <v>3823</v>
      </c>
      <c r="I485" s="5" t="s">
        <v>5674</v>
      </c>
      <c r="J485" s="5" t="s">
        <v>5673</v>
      </c>
      <c r="K485" s="5" t="str">
        <f t="shared" si="14"/>
        <v>PKA</v>
      </c>
      <c r="P485" s="53" t="s">
        <v>381</v>
      </c>
    </row>
    <row r="486" spans="1:16" s="53" customFormat="1" x14ac:dyDescent="0.25">
      <c r="A486" s="58" t="str">
        <f t="shared" si="15"/>
        <v>XI KA 229</v>
      </c>
      <c r="B486" s="171">
        <f>COUNTIF(H$2:H486,H486)</f>
        <v>29</v>
      </c>
      <c r="C486" s="168">
        <v>102419199</v>
      </c>
      <c r="D486" s="168" t="s">
        <v>4344</v>
      </c>
      <c r="E486" s="168" t="s">
        <v>4743</v>
      </c>
      <c r="F486" s="198" t="s">
        <v>3929</v>
      </c>
      <c r="G486" s="218" t="s">
        <v>381</v>
      </c>
      <c r="H486" s="168" t="s">
        <v>3823</v>
      </c>
      <c r="I486" s="5" t="s">
        <v>5674</v>
      </c>
      <c r="J486" s="5" t="s">
        <v>5673</v>
      </c>
      <c r="K486" s="5" t="str">
        <f t="shared" si="14"/>
        <v>PKA</v>
      </c>
      <c r="P486" s="53" t="s">
        <v>381</v>
      </c>
    </row>
    <row r="487" spans="1:16" s="53" customFormat="1" x14ac:dyDescent="0.25">
      <c r="A487" s="58" t="str">
        <f t="shared" si="15"/>
        <v>XI KA 230</v>
      </c>
      <c r="B487" s="171">
        <f>COUNTIF(H$2:H487,H487)</f>
        <v>30</v>
      </c>
      <c r="C487" s="168">
        <v>102419200</v>
      </c>
      <c r="D487" s="168" t="s">
        <v>4345</v>
      </c>
      <c r="E487" s="168" t="s">
        <v>4744</v>
      </c>
      <c r="F487" s="198" t="s">
        <v>3931</v>
      </c>
      <c r="G487" s="218" t="s">
        <v>381</v>
      </c>
      <c r="H487" s="168" t="s">
        <v>3823</v>
      </c>
      <c r="I487" s="5" t="s">
        <v>5674</v>
      </c>
      <c r="J487" s="5" t="s">
        <v>5673</v>
      </c>
      <c r="K487" s="5" t="str">
        <f t="shared" si="14"/>
        <v>PKA</v>
      </c>
      <c r="P487" s="53" t="s">
        <v>381</v>
      </c>
    </row>
    <row r="488" spans="1:16" s="53" customFormat="1" x14ac:dyDescent="0.25">
      <c r="A488" s="58" t="str">
        <f t="shared" si="15"/>
        <v>XI KA 231</v>
      </c>
      <c r="B488" s="171">
        <f>COUNTIF(H$2:H488,H488)</f>
        <v>31</v>
      </c>
      <c r="C488" s="168">
        <v>102419201</v>
      </c>
      <c r="D488" s="168" t="s">
        <v>4346</v>
      </c>
      <c r="E488" s="168" t="s">
        <v>4745</v>
      </c>
      <c r="F488" s="198" t="s">
        <v>3932</v>
      </c>
      <c r="G488" s="218" t="s">
        <v>381</v>
      </c>
      <c r="H488" s="168" t="s">
        <v>3823</v>
      </c>
      <c r="I488" s="5" t="s">
        <v>5674</v>
      </c>
      <c r="J488" s="5" t="s">
        <v>5673</v>
      </c>
      <c r="K488" s="5" t="str">
        <f t="shared" si="14"/>
        <v>PKA</v>
      </c>
      <c r="P488" s="53" t="s">
        <v>381</v>
      </c>
    </row>
    <row r="489" spans="1:16" s="53" customFormat="1" x14ac:dyDescent="0.25">
      <c r="A489" s="58" t="str">
        <f t="shared" si="15"/>
        <v>XI KA 232</v>
      </c>
      <c r="B489" s="171">
        <f>COUNTIF(H$2:H489,H489)</f>
        <v>32</v>
      </c>
      <c r="C489" s="168">
        <v>102419202</v>
      </c>
      <c r="D489" s="168" t="s">
        <v>4347</v>
      </c>
      <c r="E489" s="168" t="s">
        <v>4746</v>
      </c>
      <c r="F489" s="198" t="s">
        <v>3933</v>
      </c>
      <c r="G489" s="218" t="s">
        <v>381</v>
      </c>
      <c r="H489" s="168" t="s">
        <v>3823</v>
      </c>
      <c r="I489" s="5" t="s">
        <v>5674</v>
      </c>
      <c r="J489" s="5" t="s">
        <v>5673</v>
      </c>
      <c r="K489" s="5" t="str">
        <f t="shared" si="14"/>
        <v>PKA</v>
      </c>
      <c r="P489" s="53" t="s">
        <v>381</v>
      </c>
    </row>
    <row r="490" spans="1:16" s="53" customFormat="1" x14ac:dyDescent="0.25">
      <c r="A490" s="58" t="str">
        <f t="shared" si="15"/>
        <v>XI KA 233</v>
      </c>
      <c r="B490" s="171">
        <f>COUNTIF(H$2:H490,H490)</f>
        <v>33</v>
      </c>
      <c r="C490" s="168">
        <v>102419203</v>
      </c>
      <c r="D490" s="168" t="s">
        <v>4348</v>
      </c>
      <c r="E490" s="168" t="s">
        <v>4747</v>
      </c>
      <c r="F490" s="198" t="s">
        <v>3934</v>
      </c>
      <c r="G490" s="218" t="s">
        <v>381</v>
      </c>
      <c r="H490" s="168" t="s">
        <v>3823</v>
      </c>
      <c r="I490" s="5" t="s">
        <v>5674</v>
      </c>
      <c r="J490" s="5" t="s">
        <v>5673</v>
      </c>
      <c r="K490" s="5" t="str">
        <f t="shared" ref="K490:K552" si="16">G490&amp;J490</f>
        <v>PKA</v>
      </c>
      <c r="P490" s="53" t="s">
        <v>381</v>
      </c>
    </row>
    <row r="491" spans="1:16" s="53" customFormat="1" x14ac:dyDescent="0.25">
      <c r="A491" s="58" t="str">
        <f t="shared" ref="A491:A553" si="17">H491&amp;B491</f>
        <v>XI KA 234</v>
      </c>
      <c r="B491" s="171">
        <f>COUNTIF(H$2:H491,H491)</f>
        <v>34</v>
      </c>
      <c r="C491" s="168">
        <v>102419205</v>
      </c>
      <c r="D491" s="168" t="s">
        <v>4350</v>
      </c>
      <c r="E491" s="168" t="s">
        <v>4749</v>
      </c>
      <c r="F491" s="198" t="s">
        <v>3936</v>
      </c>
      <c r="G491" s="218" t="s">
        <v>381</v>
      </c>
      <c r="H491" s="168" t="s">
        <v>3823</v>
      </c>
      <c r="I491" s="5" t="s">
        <v>5674</v>
      </c>
      <c r="J491" s="5" t="s">
        <v>5673</v>
      </c>
      <c r="K491" s="5" t="str">
        <f t="shared" si="16"/>
        <v>PKA</v>
      </c>
      <c r="P491" s="53" t="s">
        <v>381</v>
      </c>
    </row>
    <row r="492" spans="1:16" s="53" customFormat="1" x14ac:dyDescent="0.25">
      <c r="A492" s="58" t="str">
        <f t="shared" si="17"/>
        <v>XI KA 235</v>
      </c>
      <c r="B492" s="171">
        <f>COUNTIF(H$2:H492,H492)</f>
        <v>35</v>
      </c>
      <c r="C492" s="168">
        <v>102419206</v>
      </c>
      <c r="D492" s="168" t="s">
        <v>4351</v>
      </c>
      <c r="E492" s="168" t="s">
        <v>4750</v>
      </c>
      <c r="F492" s="198" t="s">
        <v>3937</v>
      </c>
      <c r="G492" s="218" t="s">
        <v>381</v>
      </c>
      <c r="H492" s="168" t="s">
        <v>3823</v>
      </c>
      <c r="I492" s="5" t="s">
        <v>5674</v>
      </c>
      <c r="J492" s="5" t="s">
        <v>5673</v>
      </c>
      <c r="K492" s="5" t="str">
        <f t="shared" si="16"/>
        <v>PKA</v>
      </c>
      <c r="P492" s="53" t="s">
        <v>381</v>
      </c>
    </row>
    <row r="493" spans="1:16" s="53" customFormat="1" x14ac:dyDescent="0.25">
      <c r="A493" s="58" t="str">
        <f t="shared" si="17"/>
        <v>XI KA 31</v>
      </c>
      <c r="B493" s="171">
        <f>COUNTIF(H$2:H493,H493)</f>
        <v>1</v>
      </c>
      <c r="C493" s="168">
        <v>102419207</v>
      </c>
      <c r="D493" s="168" t="s">
        <v>4352</v>
      </c>
      <c r="E493" s="168" t="s">
        <v>4751</v>
      </c>
      <c r="F493" s="198" t="s">
        <v>3938</v>
      </c>
      <c r="G493" s="168" t="s">
        <v>381</v>
      </c>
      <c r="H493" s="168" t="s">
        <v>3824</v>
      </c>
      <c r="I493" s="5" t="s">
        <v>5674</v>
      </c>
      <c r="J493" s="5" t="s">
        <v>5673</v>
      </c>
      <c r="K493" s="5" t="str">
        <f t="shared" si="16"/>
        <v>PKA</v>
      </c>
      <c r="P493" s="53" t="s">
        <v>381</v>
      </c>
    </row>
    <row r="494" spans="1:16" s="53" customFormat="1" x14ac:dyDescent="0.25">
      <c r="A494" s="58" t="str">
        <f t="shared" si="17"/>
        <v>XI KA 32</v>
      </c>
      <c r="B494" s="171">
        <f>COUNTIF(H$2:H494,H494)</f>
        <v>2</v>
      </c>
      <c r="C494" s="168">
        <v>102419208</v>
      </c>
      <c r="D494" s="168" t="s">
        <v>4353</v>
      </c>
      <c r="E494" s="168" t="s">
        <v>4752</v>
      </c>
      <c r="F494" s="198" t="s">
        <v>3939</v>
      </c>
      <c r="G494" s="168" t="s">
        <v>381</v>
      </c>
      <c r="H494" s="168" t="s">
        <v>3824</v>
      </c>
      <c r="I494" s="5" t="s">
        <v>5674</v>
      </c>
      <c r="J494" s="5" t="s">
        <v>5673</v>
      </c>
      <c r="K494" s="5" t="str">
        <f t="shared" si="16"/>
        <v>PKA</v>
      </c>
      <c r="P494" s="53" t="s">
        <v>381</v>
      </c>
    </row>
    <row r="495" spans="1:16" s="53" customFormat="1" x14ac:dyDescent="0.25">
      <c r="A495" s="58" t="str">
        <f t="shared" si="17"/>
        <v>XI KA 33</v>
      </c>
      <c r="B495" s="171">
        <f>COUNTIF(H$2:H495,H495)</f>
        <v>3</v>
      </c>
      <c r="C495" s="168">
        <v>102419209</v>
      </c>
      <c r="D495" s="168" t="s">
        <v>4354</v>
      </c>
      <c r="E495" s="168" t="s">
        <v>4753</v>
      </c>
      <c r="F495" s="198" t="s">
        <v>3940</v>
      </c>
      <c r="G495" s="168" t="s">
        <v>381</v>
      </c>
      <c r="H495" s="168" t="s">
        <v>3824</v>
      </c>
      <c r="I495" s="5" t="s">
        <v>5674</v>
      </c>
      <c r="J495" s="5" t="s">
        <v>5673</v>
      </c>
      <c r="K495" s="5" t="str">
        <f t="shared" si="16"/>
        <v>PKA</v>
      </c>
      <c r="P495" s="53" t="s">
        <v>381</v>
      </c>
    </row>
    <row r="496" spans="1:16" s="53" customFormat="1" x14ac:dyDescent="0.25">
      <c r="A496" s="58" t="str">
        <f t="shared" si="17"/>
        <v>XI KA 34</v>
      </c>
      <c r="B496" s="171">
        <f>COUNTIF(H$2:H496,H496)</f>
        <v>4</v>
      </c>
      <c r="C496" s="168">
        <v>102419210</v>
      </c>
      <c r="D496" s="168" t="s">
        <v>4355</v>
      </c>
      <c r="E496" s="168" t="s">
        <v>4754</v>
      </c>
      <c r="F496" s="198" t="s">
        <v>3941</v>
      </c>
      <c r="G496" s="168" t="s">
        <v>379</v>
      </c>
      <c r="H496" s="168" t="s">
        <v>3824</v>
      </c>
      <c r="I496" s="5" t="s">
        <v>5674</v>
      </c>
      <c r="J496" s="5" t="s">
        <v>5673</v>
      </c>
      <c r="K496" s="5" t="str">
        <f t="shared" si="16"/>
        <v>LKA</v>
      </c>
      <c r="P496" s="53" t="s">
        <v>379</v>
      </c>
    </row>
    <row r="497" spans="1:16" s="53" customFormat="1" x14ac:dyDescent="0.25">
      <c r="A497" s="58" t="str">
        <f t="shared" si="17"/>
        <v>XI KA 35</v>
      </c>
      <c r="B497" s="171">
        <f>COUNTIF(H$2:H497,H497)</f>
        <v>5</v>
      </c>
      <c r="C497" s="168">
        <v>102419211</v>
      </c>
      <c r="D497" s="168" t="s">
        <v>4356</v>
      </c>
      <c r="E497" s="168" t="s">
        <v>4755</v>
      </c>
      <c r="F497" s="198" t="s">
        <v>3942</v>
      </c>
      <c r="G497" s="168" t="s">
        <v>381</v>
      </c>
      <c r="H497" s="168" t="s">
        <v>3824</v>
      </c>
      <c r="I497" s="5" t="s">
        <v>5674</v>
      </c>
      <c r="J497" s="5" t="s">
        <v>5673</v>
      </c>
      <c r="K497" s="5" t="str">
        <f t="shared" si="16"/>
        <v>PKA</v>
      </c>
      <c r="P497" s="53" t="s">
        <v>381</v>
      </c>
    </row>
    <row r="498" spans="1:16" s="53" customFormat="1" x14ac:dyDescent="0.25">
      <c r="A498" s="58" t="str">
        <f t="shared" si="17"/>
        <v>XI KA 36</v>
      </c>
      <c r="B498" s="171">
        <f>COUNTIF(H$2:H498,H498)</f>
        <v>6</v>
      </c>
      <c r="C498" s="168">
        <v>102419212</v>
      </c>
      <c r="D498" s="168" t="s">
        <v>4667</v>
      </c>
      <c r="E498" s="168" t="s">
        <v>4756</v>
      </c>
      <c r="F498" s="198" t="s">
        <v>3943</v>
      </c>
      <c r="G498" s="168" t="s">
        <v>379</v>
      </c>
      <c r="H498" s="168" t="s">
        <v>3824</v>
      </c>
      <c r="I498" s="5" t="s">
        <v>5674</v>
      </c>
      <c r="J498" s="5" t="s">
        <v>5673</v>
      </c>
      <c r="K498" s="5" t="str">
        <f t="shared" si="16"/>
        <v>LKA</v>
      </c>
      <c r="P498" s="53" t="s">
        <v>379</v>
      </c>
    </row>
    <row r="499" spans="1:16" s="53" customFormat="1" x14ac:dyDescent="0.25">
      <c r="A499" s="58" t="str">
        <f t="shared" si="17"/>
        <v>XI KA 37</v>
      </c>
      <c r="B499" s="171">
        <f>COUNTIF(H$2:H499,H499)</f>
        <v>7</v>
      </c>
      <c r="C499" s="168">
        <v>102419213</v>
      </c>
      <c r="D499" s="168" t="s">
        <v>4357</v>
      </c>
      <c r="E499" s="168" t="s">
        <v>4757</v>
      </c>
      <c r="F499" s="198" t="s">
        <v>3944</v>
      </c>
      <c r="G499" s="168" t="s">
        <v>379</v>
      </c>
      <c r="H499" s="168" t="s">
        <v>3824</v>
      </c>
      <c r="I499" s="5" t="s">
        <v>5674</v>
      </c>
      <c r="J499" s="5" t="s">
        <v>5673</v>
      </c>
      <c r="K499" s="5" t="str">
        <f t="shared" si="16"/>
        <v>LKA</v>
      </c>
      <c r="P499" s="53" t="s">
        <v>379</v>
      </c>
    </row>
    <row r="500" spans="1:16" s="53" customFormat="1" x14ac:dyDescent="0.25">
      <c r="A500" s="58" t="str">
        <f t="shared" si="17"/>
        <v>XI KA 38</v>
      </c>
      <c r="B500" s="171">
        <f>COUNTIF(H$2:H500,H500)</f>
        <v>8</v>
      </c>
      <c r="C500" s="168">
        <v>102419214</v>
      </c>
      <c r="D500" s="168" t="s">
        <v>4358</v>
      </c>
      <c r="E500" s="168" t="s">
        <v>4758</v>
      </c>
      <c r="F500" s="198" t="s">
        <v>3945</v>
      </c>
      <c r="G500" s="168" t="s">
        <v>379</v>
      </c>
      <c r="H500" s="168" t="s">
        <v>3824</v>
      </c>
      <c r="I500" s="5" t="s">
        <v>5674</v>
      </c>
      <c r="J500" s="5" t="s">
        <v>5673</v>
      </c>
      <c r="K500" s="5" t="str">
        <f t="shared" si="16"/>
        <v>LKA</v>
      </c>
      <c r="P500" s="53" t="s">
        <v>379</v>
      </c>
    </row>
    <row r="501" spans="1:16" s="53" customFormat="1" x14ac:dyDescent="0.25">
      <c r="A501" s="58" t="str">
        <f t="shared" si="17"/>
        <v>XI KA 39</v>
      </c>
      <c r="B501" s="171">
        <f>COUNTIF(H$2:H501,H501)</f>
        <v>9</v>
      </c>
      <c r="C501" s="168">
        <v>102419215</v>
      </c>
      <c r="D501" s="168" t="s">
        <v>4359</v>
      </c>
      <c r="E501" s="168" t="s">
        <v>4759</v>
      </c>
      <c r="F501" s="198" t="s">
        <v>3946</v>
      </c>
      <c r="G501" s="168" t="s">
        <v>381</v>
      </c>
      <c r="H501" s="168" t="s">
        <v>3824</v>
      </c>
      <c r="I501" s="5" t="s">
        <v>5674</v>
      </c>
      <c r="J501" s="5" t="s">
        <v>5673</v>
      </c>
      <c r="K501" s="5" t="str">
        <f t="shared" si="16"/>
        <v>PKA</v>
      </c>
      <c r="P501" s="53" t="s">
        <v>381</v>
      </c>
    </row>
    <row r="502" spans="1:16" s="53" customFormat="1" x14ac:dyDescent="0.25">
      <c r="A502" s="58" t="str">
        <f t="shared" si="17"/>
        <v>XI KA 310</v>
      </c>
      <c r="B502" s="171">
        <f>COUNTIF(H$2:H502,H502)</f>
        <v>10</v>
      </c>
      <c r="C502" s="168">
        <v>102419216</v>
      </c>
      <c r="D502" s="168" t="s">
        <v>4360</v>
      </c>
      <c r="E502" s="168" t="s">
        <v>4760</v>
      </c>
      <c r="F502" s="198" t="s">
        <v>3947</v>
      </c>
      <c r="G502" s="168" t="s">
        <v>379</v>
      </c>
      <c r="H502" s="168" t="s">
        <v>3824</v>
      </c>
      <c r="I502" s="5" t="s">
        <v>5674</v>
      </c>
      <c r="J502" s="5" t="s">
        <v>5673</v>
      </c>
      <c r="K502" s="5" t="str">
        <f t="shared" si="16"/>
        <v>LKA</v>
      </c>
      <c r="P502" s="53" t="s">
        <v>379</v>
      </c>
    </row>
    <row r="503" spans="1:16" s="53" customFormat="1" x14ac:dyDescent="0.25">
      <c r="A503" s="58" t="str">
        <f t="shared" si="17"/>
        <v>XI KA 311</v>
      </c>
      <c r="B503" s="171">
        <f>COUNTIF(H$2:H503,H503)</f>
        <v>11</v>
      </c>
      <c r="C503" s="168">
        <v>102419217</v>
      </c>
      <c r="D503" s="168" t="s">
        <v>4361</v>
      </c>
      <c r="E503" s="168" t="s">
        <v>4761</v>
      </c>
      <c r="F503" s="198" t="s">
        <v>3948</v>
      </c>
      <c r="G503" s="168" t="s">
        <v>381</v>
      </c>
      <c r="H503" s="168" t="s">
        <v>3824</v>
      </c>
      <c r="I503" s="5" t="s">
        <v>5674</v>
      </c>
      <c r="J503" s="5" t="s">
        <v>5673</v>
      </c>
      <c r="K503" s="5" t="str">
        <f t="shared" si="16"/>
        <v>PKA</v>
      </c>
      <c r="P503" s="53" t="s">
        <v>381</v>
      </c>
    </row>
    <row r="504" spans="1:16" s="53" customFormat="1" x14ac:dyDescent="0.25">
      <c r="A504" s="58" t="str">
        <f t="shared" si="17"/>
        <v>XI KA 312</v>
      </c>
      <c r="B504" s="171">
        <f>COUNTIF(H$2:H504,H504)</f>
        <v>12</v>
      </c>
      <c r="C504" s="168">
        <v>102419218</v>
      </c>
      <c r="D504" s="168" t="s">
        <v>4362</v>
      </c>
      <c r="E504" s="168" t="s">
        <v>4762</v>
      </c>
      <c r="F504" s="198" t="s">
        <v>3949</v>
      </c>
      <c r="G504" s="168" t="s">
        <v>379</v>
      </c>
      <c r="H504" s="168" t="s">
        <v>3824</v>
      </c>
      <c r="I504" s="5" t="s">
        <v>5674</v>
      </c>
      <c r="J504" s="5" t="s">
        <v>5673</v>
      </c>
      <c r="K504" s="5" t="str">
        <f t="shared" si="16"/>
        <v>LKA</v>
      </c>
      <c r="P504" s="53" t="s">
        <v>379</v>
      </c>
    </row>
    <row r="505" spans="1:16" s="53" customFormat="1" x14ac:dyDescent="0.25">
      <c r="A505" s="58" t="str">
        <f t="shared" si="17"/>
        <v>XI KA 313</v>
      </c>
      <c r="B505" s="171">
        <f>COUNTIF(H$2:H505,H505)</f>
        <v>13</v>
      </c>
      <c r="C505" s="168">
        <v>102419219</v>
      </c>
      <c r="D505" s="168" t="s">
        <v>4363</v>
      </c>
      <c r="E505" s="168" t="s">
        <v>4763</v>
      </c>
      <c r="F505" s="198" t="s">
        <v>3950</v>
      </c>
      <c r="G505" s="168" t="s">
        <v>381</v>
      </c>
      <c r="H505" s="168" t="s">
        <v>3824</v>
      </c>
      <c r="I505" s="5" t="s">
        <v>5674</v>
      </c>
      <c r="J505" s="5" t="s">
        <v>5673</v>
      </c>
      <c r="K505" s="5" t="str">
        <f t="shared" si="16"/>
        <v>PKA</v>
      </c>
      <c r="P505" s="53" t="s">
        <v>381</v>
      </c>
    </row>
    <row r="506" spans="1:16" s="53" customFormat="1" x14ac:dyDescent="0.25">
      <c r="A506" s="58" t="str">
        <f t="shared" si="17"/>
        <v>XI KA 314</v>
      </c>
      <c r="B506" s="171">
        <f>COUNTIF(H$2:H506,H506)</f>
        <v>14</v>
      </c>
      <c r="C506" s="168">
        <v>102419220</v>
      </c>
      <c r="D506" s="168" t="s">
        <v>4364</v>
      </c>
      <c r="E506" s="168" t="s">
        <v>4764</v>
      </c>
      <c r="F506" s="198" t="s">
        <v>3951</v>
      </c>
      <c r="G506" s="168" t="s">
        <v>381</v>
      </c>
      <c r="H506" s="168" t="s">
        <v>3824</v>
      </c>
      <c r="I506" s="5" t="s">
        <v>5674</v>
      </c>
      <c r="J506" s="5" t="s">
        <v>5673</v>
      </c>
      <c r="K506" s="5" t="str">
        <f t="shared" si="16"/>
        <v>PKA</v>
      </c>
      <c r="P506" s="53" t="s">
        <v>381</v>
      </c>
    </row>
    <row r="507" spans="1:16" s="53" customFormat="1" x14ac:dyDescent="0.25">
      <c r="A507" s="58" t="str">
        <f t="shared" si="17"/>
        <v>XI KA 315</v>
      </c>
      <c r="B507" s="171">
        <f>COUNTIF(H$2:H507,H507)</f>
        <v>15</v>
      </c>
      <c r="C507" s="168">
        <v>102419221</v>
      </c>
      <c r="D507" s="168" t="s">
        <v>4365</v>
      </c>
      <c r="E507" s="168" t="s">
        <v>4765</v>
      </c>
      <c r="F507" s="198" t="s">
        <v>3952</v>
      </c>
      <c r="G507" s="168" t="s">
        <v>381</v>
      </c>
      <c r="H507" s="168" t="s">
        <v>3824</v>
      </c>
      <c r="I507" s="5" t="s">
        <v>5674</v>
      </c>
      <c r="J507" s="5" t="s">
        <v>5673</v>
      </c>
      <c r="K507" s="5" t="str">
        <f t="shared" si="16"/>
        <v>PKA</v>
      </c>
      <c r="P507" s="53" t="s">
        <v>381</v>
      </c>
    </row>
    <row r="508" spans="1:16" s="53" customFormat="1" x14ac:dyDescent="0.25">
      <c r="A508" s="58" t="str">
        <f t="shared" si="17"/>
        <v>XI KA 316</v>
      </c>
      <c r="B508" s="171">
        <f>COUNTIF(H$2:H508,H508)</f>
        <v>16</v>
      </c>
      <c r="C508" s="168">
        <v>102419222</v>
      </c>
      <c r="D508" s="168" t="s">
        <v>4366</v>
      </c>
      <c r="E508" s="168" t="s">
        <v>4766</v>
      </c>
      <c r="F508" s="198" t="s">
        <v>3953</v>
      </c>
      <c r="G508" s="168" t="s">
        <v>379</v>
      </c>
      <c r="H508" s="168" t="s">
        <v>3824</v>
      </c>
      <c r="I508" s="5" t="s">
        <v>5674</v>
      </c>
      <c r="J508" s="5" t="s">
        <v>5673</v>
      </c>
      <c r="K508" s="5" t="str">
        <f t="shared" si="16"/>
        <v>LKA</v>
      </c>
      <c r="P508" s="53" t="s">
        <v>379</v>
      </c>
    </row>
    <row r="509" spans="1:16" s="53" customFormat="1" x14ac:dyDescent="0.25">
      <c r="A509" s="58" t="str">
        <f t="shared" si="17"/>
        <v>XI KA 317</v>
      </c>
      <c r="B509" s="171">
        <f>COUNTIF(H$2:H509,H509)</f>
        <v>17</v>
      </c>
      <c r="C509" s="168">
        <v>102419223</v>
      </c>
      <c r="D509" s="168" t="s">
        <v>4367</v>
      </c>
      <c r="E509" s="168" t="s">
        <v>4767</v>
      </c>
      <c r="F509" s="198" t="s">
        <v>3954</v>
      </c>
      <c r="G509" s="168" t="s">
        <v>381</v>
      </c>
      <c r="H509" s="168" t="s">
        <v>3824</v>
      </c>
      <c r="I509" s="5" t="s">
        <v>5674</v>
      </c>
      <c r="J509" s="5" t="s">
        <v>5673</v>
      </c>
      <c r="K509" s="5" t="str">
        <f t="shared" si="16"/>
        <v>PKA</v>
      </c>
      <c r="P509" s="53" t="s">
        <v>381</v>
      </c>
    </row>
    <row r="510" spans="1:16" s="53" customFormat="1" x14ac:dyDescent="0.25">
      <c r="A510" s="58" t="str">
        <f t="shared" si="17"/>
        <v>XI KA 318</v>
      </c>
      <c r="B510" s="171">
        <f>COUNTIF(H$2:H510,H510)</f>
        <v>18</v>
      </c>
      <c r="C510" s="168">
        <v>102419224</v>
      </c>
      <c r="D510" s="168" t="s">
        <v>4368</v>
      </c>
      <c r="E510" s="168" t="s">
        <v>4768</v>
      </c>
      <c r="F510" s="198" t="s">
        <v>3955</v>
      </c>
      <c r="G510" s="168" t="s">
        <v>381</v>
      </c>
      <c r="H510" s="168" t="s">
        <v>3824</v>
      </c>
      <c r="I510" s="5" t="s">
        <v>5674</v>
      </c>
      <c r="J510" s="5" t="s">
        <v>5673</v>
      </c>
      <c r="K510" s="5" t="str">
        <f t="shared" si="16"/>
        <v>PKA</v>
      </c>
      <c r="P510" s="53" t="s">
        <v>381</v>
      </c>
    </row>
    <row r="511" spans="1:16" s="53" customFormat="1" x14ac:dyDescent="0.25">
      <c r="A511" s="58" t="str">
        <f t="shared" si="17"/>
        <v>XI KA 319</v>
      </c>
      <c r="B511" s="171">
        <f>COUNTIF(H$2:H511,H511)</f>
        <v>19</v>
      </c>
      <c r="C511" s="168">
        <v>102419228</v>
      </c>
      <c r="D511" s="168" t="s">
        <v>4372</v>
      </c>
      <c r="E511" s="168" t="s">
        <v>4772</v>
      </c>
      <c r="F511" s="198" t="s">
        <v>3958</v>
      </c>
      <c r="G511" s="168" t="s">
        <v>379</v>
      </c>
      <c r="H511" s="168" t="s">
        <v>3824</v>
      </c>
      <c r="I511" s="5" t="s">
        <v>5674</v>
      </c>
      <c r="J511" s="5" t="s">
        <v>5673</v>
      </c>
      <c r="K511" s="5" t="str">
        <f t="shared" si="16"/>
        <v>LKA</v>
      </c>
      <c r="P511" s="53" t="s">
        <v>379</v>
      </c>
    </row>
    <row r="512" spans="1:16" s="53" customFormat="1" x14ac:dyDescent="0.25">
      <c r="A512" s="58" t="str">
        <f t="shared" si="17"/>
        <v>XI KA 320</v>
      </c>
      <c r="B512" s="171">
        <f>COUNTIF(H$2:H512,H512)</f>
        <v>20</v>
      </c>
      <c r="C512" s="168">
        <v>102419229</v>
      </c>
      <c r="D512" s="168" t="s">
        <v>4373</v>
      </c>
      <c r="E512" s="168" t="s">
        <v>4773</v>
      </c>
      <c r="F512" s="198" t="s">
        <v>3959</v>
      </c>
      <c r="G512" s="168" t="s">
        <v>381</v>
      </c>
      <c r="H512" s="168" t="s">
        <v>3824</v>
      </c>
      <c r="I512" s="5" t="s">
        <v>5674</v>
      </c>
      <c r="J512" s="5" t="s">
        <v>5673</v>
      </c>
      <c r="K512" s="5" t="str">
        <f t="shared" si="16"/>
        <v>PKA</v>
      </c>
      <c r="P512" s="53" t="s">
        <v>381</v>
      </c>
    </row>
    <row r="513" spans="1:16" s="53" customFormat="1" x14ac:dyDescent="0.25">
      <c r="A513" s="58" t="str">
        <f t="shared" si="17"/>
        <v>XI KA 321</v>
      </c>
      <c r="B513" s="171">
        <f>COUNTIF(H$2:H513,H513)</f>
        <v>21</v>
      </c>
      <c r="C513" s="168">
        <v>102419230</v>
      </c>
      <c r="D513" s="168" t="s">
        <v>4374</v>
      </c>
      <c r="E513" s="168" t="s">
        <v>4774</v>
      </c>
      <c r="F513" s="198" t="s">
        <v>3960</v>
      </c>
      <c r="G513" s="168" t="s">
        <v>381</v>
      </c>
      <c r="H513" s="168" t="s">
        <v>3824</v>
      </c>
      <c r="I513" s="5" t="s">
        <v>5674</v>
      </c>
      <c r="J513" s="5" t="s">
        <v>5673</v>
      </c>
      <c r="K513" s="5" t="str">
        <f t="shared" si="16"/>
        <v>PKA</v>
      </c>
      <c r="P513" s="53" t="s">
        <v>381</v>
      </c>
    </row>
    <row r="514" spans="1:16" s="53" customFormat="1" x14ac:dyDescent="0.25">
      <c r="A514" s="58" t="str">
        <f t="shared" si="17"/>
        <v>XI KA 322</v>
      </c>
      <c r="B514" s="171">
        <f>COUNTIF(H$2:H514,H514)</f>
        <v>22</v>
      </c>
      <c r="C514" s="168">
        <v>102419231</v>
      </c>
      <c r="D514" s="168" t="s">
        <v>4375</v>
      </c>
      <c r="E514" s="168" t="s">
        <v>4775</v>
      </c>
      <c r="F514" s="198" t="s">
        <v>3961</v>
      </c>
      <c r="G514" s="168" t="s">
        <v>379</v>
      </c>
      <c r="H514" s="168" t="s">
        <v>3824</v>
      </c>
      <c r="I514" s="5" t="s">
        <v>5674</v>
      </c>
      <c r="J514" s="5" t="s">
        <v>5673</v>
      </c>
      <c r="K514" s="5" t="str">
        <f t="shared" si="16"/>
        <v>LKA</v>
      </c>
      <c r="P514" s="53" t="s">
        <v>379</v>
      </c>
    </row>
    <row r="515" spans="1:16" s="53" customFormat="1" x14ac:dyDescent="0.25">
      <c r="A515" s="58" t="str">
        <f t="shared" si="17"/>
        <v>XI KA 323</v>
      </c>
      <c r="B515" s="171">
        <f>COUNTIF(H$2:H515,H515)</f>
        <v>23</v>
      </c>
      <c r="C515" s="168">
        <v>102419232</v>
      </c>
      <c r="D515" s="168" t="s">
        <v>4376</v>
      </c>
      <c r="E515" s="168" t="s">
        <v>4776</v>
      </c>
      <c r="F515" s="198" t="s">
        <v>3962</v>
      </c>
      <c r="G515" s="168" t="s">
        <v>381</v>
      </c>
      <c r="H515" s="168" t="s">
        <v>3824</v>
      </c>
      <c r="I515" s="5" t="s">
        <v>5674</v>
      </c>
      <c r="J515" s="5" t="s">
        <v>5673</v>
      </c>
      <c r="K515" s="5" t="str">
        <f t="shared" si="16"/>
        <v>PKA</v>
      </c>
      <c r="P515" s="53" t="s">
        <v>381</v>
      </c>
    </row>
    <row r="516" spans="1:16" s="53" customFormat="1" x14ac:dyDescent="0.25">
      <c r="A516" s="58" t="str">
        <f t="shared" si="17"/>
        <v>XI KA 324</v>
      </c>
      <c r="B516" s="171">
        <f>COUNTIF(H$2:H516,H516)</f>
        <v>24</v>
      </c>
      <c r="C516" s="168">
        <v>102419233</v>
      </c>
      <c r="D516" s="168" t="s">
        <v>4377</v>
      </c>
      <c r="E516" s="168" t="s">
        <v>4777</v>
      </c>
      <c r="F516" s="198" t="s">
        <v>3963</v>
      </c>
      <c r="G516" s="168" t="s">
        <v>379</v>
      </c>
      <c r="H516" s="168" t="s">
        <v>3824</v>
      </c>
      <c r="I516" s="5" t="s">
        <v>5674</v>
      </c>
      <c r="J516" s="5" t="s">
        <v>5673</v>
      </c>
      <c r="K516" s="5" t="str">
        <f t="shared" si="16"/>
        <v>LKA</v>
      </c>
      <c r="P516" s="53" t="s">
        <v>379</v>
      </c>
    </row>
    <row r="517" spans="1:16" s="53" customFormat="1" x14ac:dyDescent="0.25">
      <c r="A517" s="58" t="str">
        <f t="shared" si="17"/>
        <v>XI KA 325</v>
      </c>
      <c r="B517" s="171">
        <f>COUNTIF(H$2:H517,H517)</f>
        <v>25</v>
      </c>
      <c r="C517" s="168">
        <v>102419234</v>
      </c>
      <c r="D517" s="168" t="s">
        <v>4378</v>
      </c>
      <c r="E517" s="168" t="s">
        <v>4778</v>
      </c>
      <c r="F517" s="198" t="s">
        <v>3964</v>
      </c>
      <c r="G517" s="168" t="s">
        <v>379</v>
      </c>
      <c r="H517" s="168" t="s">
        <v>3824</v>
      </c>
      <c r="I517" s="5" t="s">
        <v>5674</v>
      </c>
      <c r="J517" s="5" t="s">
        <v>5673</v>
      </c>
      <c r="K517" s="5" t="str">
        <f t="shared" si="16"/>
        <v>LKA</v>
      </c>
      <c r="P517" s="53" t="s">
        <v>379</v>
      </c>
    </row>
    <row r="518" spans="1:16" s="53" customFormat="1" x14ac:dyDescent="0.25">
      <c r="A518" s="58" t="str">
        <f t="shared" si="17"/>
        <v>XI KA 326</v>
      </c>
      <c r="B518" s="171">
        <f>COUNTIF(H$2:H518,H518)</f>
        <v>26</v>
      </c>
      <c r="C518" s="168">
        <v>102419235</v>
      </c>
      <c r="D518" s="168" t="s">
        <v>4379</v>
      </c>
      <c r="E518" s="168" t="s">
        <v>4779</v>
      </c>
      <c r="F518" s="198" t="s">
        <v>3965</v>
      </c>
      <c r="G518" s="168" t="s">
        <v>381</v>
      </c>
      <c r="H518" s="168" t="s">
        <v>3824</v>
      </c>
      <c r="I518" s="5" t="s">
        <v>5674</v>
      </c>
      <c r="J518" s="5" t="s">
        <v>5673</v>
      </c>
      <c r="K518" s="5" t="str">
        <f t="shared" si="16"/>
        <v>PKA</v>
      </c>
      <c r="P518" s="53" t="s">
        <v>381</v>
      </c>
    </row>
    <row r="519" spans="1:16" s="53" customFormat="1" x14ac:dyDescent="0.25">
      <c r="A519" s="58" t="str">
        <f t="shared" si="17"/>
        <v>XI KA 327</v>
      </c>
      <c r="B519" s="171">
        <f>COUNTIF(H$2:H519,H519)</f>
        <v>27</v>
      </c>
      <c r="C519" s="168">
        <v>102419236</v>
      </c>
      <c r="D519" s="168" t="s">
        <v>4380</v>
      </c>
      <c r="E519" s="168" t="s">
        <v>4780</v>
      </c>
      <c r="F519" s="198" t="s">
        <v>3966</v>
      </c>
      <c r="G519" s="168" t="s">
        <v>381</v>
      </c>
      <c r="H519" s="168" t="s">
        <v>3824</v>
      </c>
      <c r="I519" s="5" t="s">
        <v>5674</v>
      </c>
      <c r="J519" s="5" t="s">
        <v>5673</v>
      </c>
      <c r="K519" s="5" t="str">
        <f t="shared" si="16"/>
        <v>PKA</v>
      </c>
      <c r="P519" s="53" t="s">
        <v>381</v>
      </c>
    </row>
    <row r="520" spans="1:16" s="53" customFormat="1" x14ac:dyDescent="0.25">
      <c r="A520" s="58" t="str">
        <f t="shared" si="17"/>
        <v>XI KA 328</v>
      </c>
      <c r="B520" s="171">
        <f>COUNTIF(H$2:H520,H520)</f>
        <v>28</v>
      </c>
      <c r="C520" s="168">
        <v>102419237</v>
      </c>
      <c r="D520" s="168" t="s">
        <v>4381</v>
      </c>
      <c r="E520" s="168" t="s">
        <v>4781</v>
      </c>
      <c r="F520" s="198" t="s">
        <v>3967</v>
      </c>
      <c r="G520" s="168" t="s">
        <v>381</v>
      </c>
      <c r="H520" s="168" t="s">
        <v>3824</v>
      </c>
      <c r="I520" s="5" t="s">
        <v>5674</v>
      </c>
      <c r="J520" s="5" t="s">
        <v>5673</v>
      </c>
      <c r="K520" s="5" t="str">
        <f t="shared" si="16"/>
        <v>PKA</v>
      </c>
      <c r="P520" s="53" t="s">
        <v>381</v>
      </c>
    </row>
    <row r="521" spans="1:16" s="53" customFormat="1" x14ac:dyDescent="0.25">
      <c r="A521" s="58" t="str">
        <f t="shared" si="17"/>
        <v>XI KA 329</v>
      </c>
      <c r="B521" s="171">
        <f>COUNTIF(H$2:H521,H521)</f>
        <v>29</v>
      </c>
      <c r="C521" s="168">
        <v>102419238</v>
      </c>
      <c r="D521" s="168" t="s">
        <v>4382</v>
      </c>
      <c r="E521" s="168" t="s">
        <v>4782</v>
      </c>
      <c r="F521" s="198" t="s">
        <v>3968</v>
      </c>
      <c r="G521" s="168" t="s">
        <v>381</v>
      </c>
      <c r="H521" s="168" t="s">
        <v>3824</v>
      </c>
      <c r="I521" s="5" t="s">
        <v>5674</v>
      </c>
      <c r="J521" s="5" t="s">
        <v>5673</v>
      </c>
      <c r="K521" s="5" t="str">
        <f t="shared" si="16"/>
        <v>PKA</v>
      </c>
      <c r="P521" s="53" t="s">
        <v>381</v>
      </c>
    </row>
    <row r="522" spans="1:16" s="53" customFormat="1" x14ac:dyDescent="0.25">
      <c r="A522" s="58" t="str">
        <f t="shared" si="17"/>
        <v>XI KA 330</v>
      </c>
      <c r="B522" s="171">
        <f>COUNTIF(H$2:H522,H522)</f>
        <v>30</v>
      </c>
      <c r="C522" s="168">
        <v>102419239</v>
      </c>
      <c r="D522" s="168" t="s">
        <v>4383</v>
      </c>
      <c r="E522" s="168" t="s">
        <v>4783</v>
      </c>
      <c r="F522" s="198" t="s">
        <v>3969</v>
      </c>
      <c r="G522" s="168" t="s">
        <v>381</v>
      </c>
      <c r="H522" s="168" t="s">
        <v>3824</v>
      </c>
      <c r="I522" s="5" t="s">
        <v>5674</v>
      </c>
      <c r="J522" s="5" t="s">
        <v>5673</v>
      </c>
      <c r="K522" s="5" t="str">
        <f t="shared" si="16"/>
        <v>PKA</v>
      </c>
      <c r="P522" s="53" t="s">
        <v>381</v>
      </c>
    </row>
    <row r="523" spans="1:16" s="53" customFormat="1" x14ac:dyDescent="0.25">
      <c r="A523" s="58" t="str">
        <f t="shared" si="17"/>
        <v>XI KA 331</v>
      </c>
      <c r="B523" s="171">
        <f>COUNTIF(H$2:H523,H523)</f>
        <v>31</v>
      </c>
      <c r="C523" s="168">
        <v>102419240</v>
      </c>
      <c r="D523" s="168" t="s">
        <v>4384</v>
      </c>
      <c r="E523" s="168" t="s">
        <v>4784</v>
      </c>
      <c r="F523" s="198" t="s">
        <v>3970</v>
      </c>
      <c r="G523" s="168" t="s">
        <v>381</v>
      </c>
      <c r="H523" s="168" t="s">
        <v>3824</v>
      </c>
      <c r="I523" s="5" t="s">
        <v>5674</v>
      </c>
      <c r="J523" s="5" t="s">
        <v>5673</v>
      </c>
      <c r="K523" s="5" t="str">
        <f t="shared" si="16"/>
        <v>PKA</v>
      </c>
      <c r="P523" s="53" t="s">
        <v>381</v>
      </c>
    </row>
    <row r="524" spans="1:16" s="53" customFormat="1" x14ac:dyDescent="0.25">
      <c r="A524" s="58" t="str">
        <f t="shared" si="17"/>
        <v>XI KA 332</v>
      </c>
      <c r="B524" s="171">
        <f>COUNTIF(H$2:H524,H524)</f>
        <v>32</v>
      </c>
      <c r="C524" s="168">
        <v>102419241</v>
      </c>
      <c r="D524" s="168" t="s">
        <v>4385</v>
      </c>
      <c r="E524" s="168" t="s">
        <v>4785</v>
      </c>
      <c r="F524" s="198" t="s">
        <v>3971</v>
      </c>
      <c r="G524" s="168" t="s">
        <v>381</v>
      </c>
      <c r="H524" s="168" t="s">
        <v>3824</v>
      </c>
      <c r="I524" s="5" t="s">
        <v>5674</v>
      </c>
      <c r="J524" s="5" t="s">
        <v>5673</v>
      </c>
      <c r="K524" s="5" t="str">
        <f t="shared" si="16"/>
        <v>PKA</v>
      </c>
      <c r="P524" s="53" t="s">
        <v>381</v>
      </c>
    </row>
    <row r="525" spans="1:16" s="53" customFormat="1" x14ac:dyDescent="0.25">
      <c r="A525" s="58" t="str">
        <f t="shared" si="17"/>
        <v>XI KA 333</v>
      </c>
      <c r="B525" s="171">
        <f>COUNTIF(H$2:H525,H525)</f>
        <v>33</v>
      </c>
      <c r="C525" s="168">
        <v>102419242</v>
      </c>
      <c r="D525" s="168" t="s">
        <v>4386</v>
      </c>
      <c r="E525" s="168" t="s">
        <v>4786</v>
      </c>
      <c r="F525" s="198" t="s">
        <v>3972</v>
      </c>
      <c r="G525" s="168" t="s">
        <v>379</v>
      </c>
      <c r="H525" s="168" t="s">
        <v>3824</v>
      </c>
      <c r="I525" s="5" t="s">
        <v>5674</v>
      </c>
      <c r="J525" s="5" t="s">
        <v>5673</v>
      </c>
      <c r="K525" s="5" t="str">
        <f t="shared" si="16"/>
        <v>LKA</v>
      </c>
      <c r="P525" s="53" t="s">
        <v>379</v>
      </c>
    </row>
    <row r="526" spans="1:16" s="53" customFormat="1" x14ac:dyDescent="0.25">
      <c r="A526" s="58" t="str">
        <f t="shared" si="17"/>
        <v>XI KA 41</v>
      </c>
      <c r="B526" s="171">
        <f>COUNTIF(H$2:H526,H526)</f>
        <v>1</v>
      </c>
      <c r="C526" s="168">
        <v>102419243</v>
      </c>
      <c r="D526" s="168" t="s">
        <v>4387</v>
      </c>
      <c r="E526" s="168" t="s">
        <v>4787</v>
      </c>
      <c r="F526" s="198" t="s">
        <v>3973</v>
      </c>
      <c r="G526" s="168" t="s">
        <v>381</v>
      </c>
      <c r="H526" s="168" t="s">
        <v>3825</v>
      </c>
      <c r="I526" s="5" t="s">
        <v>5674</v>
      </c>
      <c r="J526" s="5" t="s">
        <v>5673</v>
      </c>
      <c r="K526" s="5" t="str">
        <f t="shared" si="16"/>
        <v>PKA</v>
      </c>
      <c r="P526" s="53" t="s">
        <v>381</v>
      </c>
    </row>
    <row r="527" spans="1:16" s="53" customFormat="1" x14ac:dyDescent="0.25">
      <c r="A527" s="58" t="str">
        <f t="shared" si="17"/>
        <v>XI KA 42</v>
      </c>
      <c r="B527" s="171">
        <f>COUNTIF(H$2:H527,H527)</f>
        <v>2</v>
      </c>
      <c r="C527" s="168">
        <v>102419244</v>
      </c>
      <c r="D527" s="168" t="s">
        <v>4388</v>
      </c>
      <c r="E527" s="168" t="s">
        <v>4788</v>
      </c>
      <c r="F527" s="198" t="s">
        <v>3974</v>
      </c>
      <c r="G527" s="168" t="s">
        <v>381</v>
      </c>
      <c r="H527" s="168" t="s">
        <v>3825</v>
      </c>
      <c r="I527" s="5" t="s">
        <v>5674</v>
      </c>
      <c r="J527" s="5" t="s">
        <v>5673</v>
      </c>
      <c r="K527" s="5" t="str">
        <f t="shared" si="16"/>
        <v>PKA</v>
      </c>
      <c r="P527" s="53" t="s">
        <v>381</v>
      </c>
    </row>
    <row r="528" spans="1:16" s="53" customFormat="1" x14ac:dyDescent="0.25">
      <c r="A528" s="58" t="str">
        <f t="shared" si="17"/>
        <v>XI KA 43</v>
      </c>
      <c r="B528" s="171">
        <f>COUNTIF(H$2:H528,H528)</f>
        <v>3</v>
      </c>
      <c r="C528" s="168">
        <v>102419245</v>
      </c>
      <c r="D528" s="168" t="s">
        <v>4389</v>
      </c>
      <c r="E528" s="168" t="s">
        <v>4789</v>
      </c>
      <c r="F528" s="198" t="s">
        <v>3975</v>
      </c>
      <c r="G528" s="168" t="s">
        <v>381</v>
      </c>
      <c r="H528" s="168" t="s">
        <v>3825</v>
      </c>
      <c r="I528" s="5" t="s">
        <v>5674</v>
      </c>
      <c r="J528" s="5" t="s">
        <v>5673</v>
      </c>
      <c r="K528" s="5" t="str">
        <f t="shared" si="16"/>
        <v>PKA</v>
      </c>
      <c r="P528" s="53" t="s">
        <v>381</v>
      </c>
    </row>
    <row r="529" spans="1:16" s="53" customFormat="1" x14ac:dyDescent="0.25">
      <c r="A529" s="58" t="str">
        <f t="shared" si="17"/>
        <v>XI KA 44</v>
      </c>
      <c r="B529" s="171">
        <f>COUNTIF(H$2:H529,H529)</f>
        <v>4</v>
      </c>
      <c r="C529" s="168">
        <v>102419246</v>
      </c>
      <c r="D529" s="168" t="s">
        <v>4390</v>
      </c>
      <c r="E529" s="168" t="s">
        <v>4790</v>
      </c>
      <c r="F529" s="198" t="s">
        <v>3976</v>
      </c>
      <c r="G529" s="168" t="s">
        <v>379</v>
      </c>
      <c r="H529" s="168" t="s">
        <v>3825</v>
      </c>
      <c r="I529" s="5" t="s">
        <v>5674</v>
      </c>
      <c r="J529" s="5" t="s">
        <v>5673</v>
      </c>
      <c r="K529" s="5" t="str">
        <f t="shared" si="16"/>
        <v>LKA</v>
      </c>
      <c r="P529" s="53" t="s">
        <v>379</v>
      </c>
    </row>
    <row r="530" spans="1:16" s="53" customFormat="1" x14ac:dyDescent="0.25">
      <c r="A530" s="58" t="str">
        <f t="shared" si="17"/>
        <v>XI KA 45</v>
      </c>
      <c r="B530" s="171">
        <f>COUNTIF(H$2:H530,H530)</f>
        <v>5</v>
      </c>
      <c r="C530" s="168">
        <v>102419247</v>
      </c>
      <c r="D530" s="168" t="s">
        <v>4391</v>
      </c>
      <c r="E530" s="168" t="s">
        <v>4791</v>
      </c>
      <c r="F530" s="198" t="s">
        <v>3977</v>
      </c>
      <c r="G530" s="168" t="s">
        <v>381</v>
      </c>
      <c r="H530" s="168" t="s">
        <v>3825</v>
      </c>
      <c r="I530" s="5" t="s">
        <v>5674</v>
      </c>
      <c r="J530" s="5" t="s">
        <v>5673</v>
      </c>
      <c r="K530" s="5" t="str">
        <f t="shared" si="16"/>
        <v>PKA</v>
      </c>
      <c r="P530" s="53" t="s">
        <v>381</v>
      </c>
    </row>
    <row r="531" spans="1:16" s="53" customFormat="1" x14ac:dyDescent="0.25">
      <c r="A531" s="58" t="str">
        <f t="shared" si="17"/>
        <v>XI KA 46</v>
      </c>
      <c r="B531" s="171">
        <f>COUNTIF(H$2:H531,H531)</f>
        <v>6</v>
      </c>
      <c r="C531" s="168">
        <v>102419248</v>
      </c>
      <c r="D531" s="168" t="s">
        <v>4392</v>
      </c>
      <c r="E531" s="168" t="s">
        <v>4792</v>
      </c>
      <c r="F531" s="198" t="s">
        <v>3978</v>
      </c>
      <c r="G531" s="168" t="s">
        <v>379</v>
      </c>
      <c r="H531" s="168" t="s">
        <v>3825</v>
      </c>
      <c r="I531" s="5" t="s">
        <v>5674</v>
      </c>
      <c r="J531" s="5" t="s">
        <v>5673</v>
      </c>
      <c r="K531" s="5" t="str">
        <f t="shared" si="16"/>
        <v>LKA</v>
      </c>
      <c r="P531" s="53" t="s">
        <v>379</v>
      </c>
    </row>
    <row r="532" spans="1:16" s="53" customFormat="1" x14ac:dyDescent="0.25">
      <c r="A532" s="58" t="str">
        <f t="shared" si="17"/>
        <v>XI KA 47</v>
      </c>
      <c r="B532" s="171">
        <f>COUNTIF(H$2:H532,H532)</f>
        <v>7</v>
      </c>
      <c r="C532" s="168">
        <v>102419249</v>
      </c>
      <c r="D532" s="168" t="s">
        <v>4393</v>
      </c>
      <c r="E532" s="168" t="s">
        <v>4793</v>
      </c>
      <c r="F532" s="198" t="s">
        <v>3979</v>
      </c>
      <c r="G532" s="168" t="s">
        <v>381</v>
      </c>
      <c r="H532" s="168" t="s">
        <v>3825</v>
      </c>
      <c r="I532" s="5" t="s">
        <v>5674</v>
      </c>
      <c r="J532" s="5" t="s">
        <v>5673</v>
      </c>
      <c r="K532" s="5" t="str">
        <f t="shared" si="16"/>
        <v>PKA</v>
      </c>
      <c r="P532" s="53" t="s">
        <v>381</v>
      </c>
    </row>
    <row r="533" spans="1:16" s="53" customFormat="1" x14ac:dyDescent="0.25">
      <c r="A533" s="58" t="str">
        <f t="shared" si="17"/>
        <v>XI KA 48</v>
      </c>
      <c r="B533" s="171">
        <f>COUNTIF(H$2:H533,H533)</f>
        <v>8</v>
      </c>
      <c r="C533" s="168">
        <v>102419250</v>
      </c>
      <c r="D533" s="168" t="s">
        <v>4394</v>
      </c>
      <c r="E533" s="168" t="s">
        <v>4794</v>
      </c>
      <c r="F533" s="198" t="s">
        <v>3980</v>
      </c>
      <c r="G533" s="168" t="s">
        <v>381</v>
      </c>
      <c r="H533" s="168" t="s">
        <v>3825</v>
      </c>
      <c r="I533" s="5" t="s">
        <v>5674</v>
      </c>
      <c r="J533" s="5" t="s">
        <v>5673</v>
      </c>
      <c r="K533" s="5" t="str">
        <f t="shared" si="16"/>
        <v>PKA</v>
      </c>
      <c r="P533" s="53" t="s">
        <v>381</v>
      </c>
    </row>
    <row r="534" spans="1:16" s="53" customFormat="1" x14ac:dyDescent="0.25">
      <c r="A534" s="58" t="str">
        <f t="shared" si="17"/>
        <v>XI KA 49</v>
      </c>
      <c r="B534" s="171">
        <f>COUNTIF(H$2:H534,H534)</f>
        <v>9</v>
      </c>
      <c r="C534" s="168">
        <v>102419251</v>
      </c>
      <c r="D534" s="168" t="s">
        <v>4395</v>
      </c>
      <c r="E534" s="168" t="s">
        <v>4795</v>
      </c>
      <c r="F534" s="198" t="s">
        <v>3981</v>
      </c>
      <c r="G534" s="168" t="s">
        <v>381</v>
      </c>
      <c r="H534" s="168" t="s">
        <v>3825</v>
      </c>
      <c r="I534" s="5" t="s">
        <v>5674</v>
      </c>
      <c r="J534" s="5" t="s">
        <v>5673</v>
      </c>
      <c r="K534" s="5" t="str">
        <f t="shared" si="16"/>
        <v>PKA</v>
      </c>
      <c r="P534" s="53" t="s">
        <v>381</v>
      </c>
    </row>
    <row r="535" spans="1:16" s="53" customFormat="1" x14ac:dyDescent="0.25">
      <c r="A535" s="58" t="str">
        <f t="shared" si="17"/>
        <v>XI KA 410</v>
      </c>
      <c r="B535" s="171">
        <f>COUNTIF(H$2:H535,H535)</f>
        <v>10</v>
      </c>
      <c r="C535" s="168">
        <v>102419252</v>
      </c>
      <c r="D535" s="168" t="s">
        <v>4396</v>
      </c>
      <c r="E535" s="168" t="s">
        <v>4796</v>
      </c>
      <c r="F535" s="198" t="s">
        <v>3982</v>
      </c>
      <c r="G535" s="168" t="s">
        <v>381</v>
      </c>
      <c r="H535" s="168" t="s">
        <v>3825</v>
      </c>
      <c r="I535" s="5" t="s">
        <v>5674</v>
      </c>
      <c r="J535" s="5" t="s">
        <v>5673</v>
      </c>
      <c r="K535" s="5" t="str">
        <f t="shared" si="16"/>
        <v>PKA</v>
      </c>
      <c r="P535" s="53" t="s">
        <v>381</v>
      </c>
    </row>
    <row r="536" spans="1:16" s="53" customFormat="1" x14ac:dyDescent="0.25">
      <c r="A536" s="58" t="str">
        <f t="shared" si="17"/>
        <v>XI KA 411</v>
      </c>
      <c r="B536" s="171">
        <f>COUNTIF(H$2:H536,H536)</f>
        <v>11</v>
      </c>
      <c r="C536" s="168">
        <v>102419253</v>
      </c>
      <c r="D536" s="168" t="s">
        <v>4397</v>
      </c>
      <c r="E536" s="168" t="s">
        <v>4797</v>
      </c>
      <c r="F536" s="198" t="s">
        <v>3983</v>
      </c>
      <c r="G536" s="168" t="s">
        <v>379</v>
      </c>
      <c r="H536" s="168" t="s">
        <v>3825</v>
      </c>
      <c r="I536" s="5" t="s">
        <v>5674</v>
      </c>
      <c r="J536" s="5" t="s">
        <v>5673</v>
      </c>
      <c r="K536" s="5" t="str">
        <f t="shared" si="16"/>
        <v>LKA</v>
      </c>
      <c r="P536" s="53" t="s">
        <v>379</v>
      </c>
    </row>
    <row r="537" spans="1:16" s="53" customFormat="1" x14ac:dyDescent="0.25">
      <c r="A537" s="58" t="str">
        <f t="shared" si="17"/>
        <v>XI KA 412</v>
      </c>
      <c r="B537" s="171">
        <f>COUNTIF(H$2:H537,H537)</f>
        <v>12</v>
      </c>
      <c r="C537" s="168">
        <v>102419254</v>
      </c>
      <c r="D537" s="168" t="s">
        <v>4398</v>
      </c>
      <c r="E537" s="168" t="s">
        <v>4798</v>
      </c>
      <c r="F537" s="198" t="s">
        <v>3984</v>
      </c>
      <c r="G537" s="168" t="s">
        <v>381</v>
      </c>
      <c r="H537" s="168" t="s">
        <v>3825</v>
      </c>
      <c r="I537" s="5" t="s">
        <v>5674</v>
      </c>
      <c r="J537" s="5" t="s">
        <v>5673</v>
      </c>
      <c r="K537" s="5" t="str">
        <f t="shared" si="16"/>
        <v>PKA</v>
      </c>
      <c r="P537" s="53" t="s">
        <v>381</v>
      </c>
    </row>
    <row r="538" spans="1:16" s="53" customFormat="1" x14ac:dyDescent="0.25">
      <c r="A538" s="58" t="str">
        <f t="shared" si="17"/>
        <v>XI KA 413</v>
      </c>
      <c r="B538" s="171">
        <f>COUNTIF(H$2:H538,H538)</f>
        <v>13</v>
      </c>
      <c r="C538" s="168">
        <v>102419255</v>
      </c>
      <c r="D538" s="168" t="s">
        <v>4399</v>
      </c>
      <c r="E538" s="168" t="s">
        <v>4799</v>
      </c>
      <c r="F538" s="198" t="s">
        <v>3985</v>
      </c>
      <c r="G538" s="168" t="s">
        <v>381</v>
      </c>
      <c r="H538" s="168" t="s">
        <v>3825</v>
      </c>
      <c r="I538" s="5" t="s">
        <v>5674</v>
      </c>
      <c r="J538" s="5" t="s">
        <v>5673</v>
      </c>
      <c r="K538" s="5" t="str">
        <f t="shared" si="16"/>
        <v>PKA</v>
      </c>
      <c r="P538" s="53" t="s">
        <v>381</v>
      </c>
    </row>
    <row r="539" spans="1:16" s="53" customFormat="1" x14ac:dyDescent="0.25">
      <c r="A539" s="58" t="str">
        <f t="shared" si="17"/>
        <v>XI KA 414</v>
      </c>
      <c r="B539" s="171">
        <f>COUNTIF(H$2:H539,H539)</f>
        <v>14</v>
      </c>
      <c r="C539" s="168">
        <v>102419256</v>
      </c>
      <c r="D539" s="168" t="s">
        <v>4400</v>
      </c>
      <c r="E539" s="168" t="s">
        <v>4800</v>
      </c>
      <c r="F539" s="198" t="s">
        <v>3986</v>
      </c>
      <c r="G539" s="168" t="s">
        <v>381</v>
      </c>
      <c r="H539" s="168" t="s">
        <v>3825</v>
      </c>
      <c r="I539" s="5" t="s">
        <v>5674</v>
      </c>
      <c r="J539" s="5" t="s">
        <v>5673</v>
      </c>
      <c r="K539" s="5" t="str">
        <f t="shared" si="16"/>
        <v>PKA</v>
      </c>
      <c r="P539" s="53" t="s">
        <v>381</v>
      </c>
    </row>
    <row r="540" spans="1:16" s="53" customFormat="1" x14ac:dyDescent="0.25">
      <c r="A540" s="58" t="str">
        <f t="shared" si="17"/>
        <v>XI KA 415</v>
      </c>
      <c r="B540" s="171">
        <f>COUNTIF(H$2:H540,H540)</f>
        <v>15</v>
      </c>
      <c r="C540" s="168">
        <v>102419257</v>
      </c>
      <c r="D540" s="168" t="s">
        <v>4401</v>
      </c>
      <c r="E540" s="168" t="s">
        <v>4801</v>
      </c>
      <c r="F540" s="198" t="s">
        <v>3987</v>
      </c>
      <c r="G540" s="168" t="s">
        <v>379</v>
      </c>
      <c r="H540" s="168" t="s">
        <v>3825</v>
      </c>
      <c r="I540" s="5" t="s">
        <v>5674</v>
      </c>
      <c r="J540" s="5" t="s">
        <v>5673</v>
      </c>
      <c r="K540" s="5" t="str">
        <f t="shared" si="16"/>
        <v>LKA</v>
      </c>
      <c r="P540" s="53" t="s">
        <v>379</v>
      </c>
    </row>
    <row r="541" spans="1:16" s="53" customFormat="1" x14ac:dyDescent="0.25">
      <c r="A541" s="58" t="str">
        <f t="shared" si="17"/>
        <v>XI KA 416</v>
      </c>
      <c r="B541" s="171">
        <f>COUNTIF(H$2:H541,H541)</f>
        <v>16</v>
      </c>
      <c r="C541" s="168">
        <v>102419258</v>
      </c>
      <c r="D541" s="168" t="s">
        <v>4402</v>
      </c>
      <c r="E541" s="168" t="s">
        <v>4802</v>
      </c>
      <c r="F541" s="198" t="s">
        <v>3988</v>
      </c>
      <c r="G541" s="168" t="s">
        <v>379</v>
      </c>
      <c r="H541" s="168" t="s">
        <v>3825</v>
      </c>
      <c r="I541" s="5" t="s">
        <v>5674</v>
      </c>
      <c r="J541" s="5" t="s">
        <v>5673</v>
      </c>
      <c r="K541" s="5" t="str">
        <f t="shared" si="16"/>
        <v>LKA</v>
      </c>
      <c r="P541" s="53" t="s">
        <v>379</v>
      </c>
    </row>
    <row r="542" spans="1:16" s="53" customFormat="1" x14ac:dyDescent="0.25">
      <c r="A542" s="58" t="str">
        <f t="shared" si="17"/>
        <v>XI KA 417</v>
      </c>
      <c r="B542" s="171">
        <f>COUNTIF(H$2:H542,H542)</f>
        <v>17</v>
      </c>
      <c r="C542" s="168">
        <v>102419259</v>
      </c>
      <c r="D542" s="168" t="s">
        <v>4403</v>
      </c>
      <c r="E542" s="168" t="s">
        <v>4803</v>
      </c>
      <c r="F542" s="198" t="s">
        <v>3989</v>
      </c>
      <c r="G542" s="168" t="s">
        <v>379</v>
      </c>
      <c r="H542" s="168" t="s">
        <v>3825</v>
      </c>
      <c r="I542" s="5" t="s">
        <v>5674</v>
      </c>
      <c r="J542" s="5" t="s">
        <v>5673</v>
      </c>
      <c r="K542" s="5" t="str">
        <f t="shared" si="16"/>
        <v>LKA</v>
      </c>
      <c r="P542" s="53" t="s">
        <v>379</v>
      </c>
    </row>
    <row r="543" spans="1:16" s="53" customFormat="1" x14ac:dyDescent="0.25">
      <c r="A543" s="58" t="str">
        <f t="shared" si="17"/>
        <v>XI KA 418</v>
      </c>
      <c r="B543" s="171">
        <f>COUNTIF(H$2:H543,H543)</f>
        <v>18</v>
      </c>
      <c r="C543" s="168">
        <v>102419260</v>
      </c>
      <c r="D543" s="168" t="s">
        <v>4404</v>
      </c>
      <c r="E543" s="168" t="s">
        <v>4804</v>
      </c>
      <c r="F543" s="198" t="s">
        <v>3990</v>
      </c>
      <c r="G543" s="168" t="s">
        <v>379</v>
      </c>
      <c r="H543" s="168" t="s">
        <v>3825</v>
      </c>
      <c r="I543" s="5" t="s">
        <v>5674</v>
      </c>
      <c r="J543" s="5" t="s">
        <v>5673</v>
      </c>
      <c r="K543" s="5" t="str">
        <f t="shared" si="16"/>
        <v>LKA</v>
      </c>
      <c r="P543" s="53" t="s">
        <v>379</v>
      </c>
    </row>
    <row r="544" spans="1:16" s="53" customFormat="1" x14ac:dyDescent="0.25">
      <c r="A544" s="58" t="str">
        <f t="shared" si="17"/>
        <v>XI KA 419</v>
      </c>
      <c r="B544" s="171">
        <f>COUNTIF(H$2:H544,H544)</f>
        <v>19</v>
      </c>
      <c r="C544" s="168">
        <v>102419261</v>
      </c>
      <c r="D544" s="168" t="s">
        <v>4405</v>
      </c>
      <c r="E544" s="168" t="s">
        <v>4805</v>
      </c>
      <c r="F544" s="198" t="s">
        <v>3991</v>
      </c>
      <c r="G544" s="168" t="s">
        <v>381</v>
      </c>
      <c r="H544" s="168" t="s">
        <v>3825</v>
      </c>
      <c r="I544" s="5" t="s">
        <v>5674</v>
      </c>
      <c r="J544" s="5" t="s">
        <v>5673</v>
      </c>
      <c r="K544" s="5" t="str">
        <f t="shared" si="16"/>
        <v>PKA</v>
      </c>
      <c r="P544" s="53" t="s">
        <v>381</v>
      </c>
    </row>
    <row r="545" spans="1:16" s="53" customFormat="1" x14ac:dyDescent="0.25">
      <c r="A545" s="58" t="str">
        <f t="shared" si="17"/>
        <v>XI KA 420</v>
      </c>
      <c r="B545" s="171">
        <f>COUNTIF(H$2:H545,H545)</f>
        <v>20</v>
      </c>
      <c r="C545" s="168">
        <v>102419262</v>
      </c>
      <c r="D545" s="168" t="s">
        <v>4406</v>
      </c>
      <c r="E545" s="168" t="s">
        <v>4806</v>
      </c>
      <c r="F545" s="198" t="s">
        <v>3992</v>
      </c>
      <c r="G545" s="168" t="s">
        <v>379</v>
      </c>
      <c r="H545" s="168" t="s">
        <v>3825</v>
      </c>
      <c r="I545" s="5" t="s">
        <v>5674</v>
      </c>
      <c r="J545" s="5" t="s">
        <v>5673</v>
      </c>
      <c r="K545" s="5" t="str">
        <f t="shared" si="16"/>
        <v>LKA</v>
      </c>
      <c r="P545" s="53" t="s">
        <v>379</v>
      </c>
    </row>
    <row r="546" spans="1:16" s="53" customFormat="1" x14ac:dyDescent="0.25">
      <c r="A546" s="58" t="str">
        <f t="shared" si="17"/>
        <v>XI KA 421</v>
      </c>
      <c r="B546" s="171">
        <f>COUNTIF(H$2:H546,H546)</f>
        <v>21</v>
      </c>
      <c r="C546" s="168">
        <v>102419263</v>
      </c>
      <c r="D546" s="168" t="s">
        <v>4407</v>
      </c>
      <c r="E546" s="168" t="s">
        <v>4807</v>
      </c>
      <c r="F546" s="198" t="s">
        <v>3993</v>
      </c>
      <c r="G546" s="168" t="s">
        <v>381</v>
      </c>
      <c r="H546" s="168" t="s">
        <v>3825</v>
      </c>
      <c r="I546" s="5" t="s">
        <v>5674</v>
      </c>
      <c r="J546" s="5" t="s">
        <v>5673</v>
      </c>
      <c r="K546" s="5" t="str">
        <f t="shared" si="16"/>
        <v>PKA</v>
      </c>
      <c r="P546" s="53" t="s">
        <v>381</v>
      </c>
    </row>
    <row r="547" spans="1:16" s="53" customFormat="1" x14ac:dyDescent="0.25">
      <c r="A547" s="58" t="str">
        <f t="shared" si="17"/>
        <v>XI KA 422</v>
      </c>
      <c r="B547" s="171">
        <f>COUNTIF(H$2:H547,H547)</f>
        <v>22</v>
      </c>
      <c r="C547" s="168">
        <v>102419264</v>
      </c>
      <c r="D547" s="168" t="s">
        <v>4408</v>
      </c>
      <c r="E547" s="168" t="s">
        <v>4808</v>
      </c>
      <c r="F547" s="198" t="s">
        <v>3994</v>
      </c>
      <c r="G547" s="168" t="s">
        <v>381</v>
      </c>
      <c r="H547" s="168" t="s">
        <v>3825</v>
      </c>
      <c r="I547" s="5" t="s">
        <v>5674</v>
      </c>
      <c r="J547" s="5" t="s">
        <v>5673</v>
      </c>
      <c r="K547" s="5" t="str">
        <f t="shared" si="16"/>
        <v>PKA</v>
      </c>
      <c r="P547" s="53" t="s">
        <v>381</v>
      </c>
    </row>
    <row r="548" spans="1:16" s="53" customFormat="1" x14ac:dyDescent="0.25">
      <c r="A548" s="58" t="str">
        <f t="shared" si="17"/>
        <v>XI KA 423</v>
      </c>
      <c r="B548" s="171">
        <f>COUNTIF(H$2:H548,H548)</f>
        <v>23</v>
      </c>
      <c r="C548" s="168">
        <v>102419265</v>
      </c>
      <c r="D548" s="168" t="s">
        <v>4409</v>
      </c>
      <c r="E548" s="168" t="s">
        <v>4809</v>
      </c>
      <c r="F548" s="198" t="s">
        <v>3995</v>
      </c>
      <c r="G548" s="168" t="s">
        <v>381</v>
      </c>
      <c r="H548" s="168" t="s">
        <v>3825</v>
      </c>
      <c r="I548" s="5" t="s">
        <v>5674</v>
      </c>
      <c r="J548" s="5" t="s">
        <v>5673</v>
      </c>
      <c r="K548" s="5" t="str">
        <f t="shared" si="16"/>
        <v>PKA</v>
      </c>
      <c r="P548" s="53" t="s">
        <v>381</v>
      </c>
    </row>
    <row r="549" spans="1:16" s="53" customFormat="1" x14ac:dyDescent="0.25">
      <c r="A549" s="58" t="str">
        <f t="shared" si="17"/>
        <v>XI KA 424</v>
      </c>
      <c r="B549" s="171">
        <f>COUNTIF(H$2:H549,H549)</f>
        <v>24</v>
      </c>
      <c r="C549" s="168">
        <v>102419266</v>
      </c>
      <c r="D549" s="168" t="s">
        <v>4410</v>
      </c>
      <c r="E549" s="168" t="s">
        <v>4810</v>
      </c>
      <c r="F549" s="198" t="s">
        <v>3996</v>
      </c>
      <c r="G549" s="168" t="s">
        <v>379</v>
      </c>
      <c r="H549" s="168" t="s">
        <v>3825</v>
      </c>
      <c r="I549" s="5" t="s">
        <v>5674</v>
      </c>
      <c r="J549" s="5" t="s">
        <v>5673</v>
      </c>
      <c r="K549" s="5" t="str">
        <f t="shared" si="16"/>
        <v>LKA</v>
      </c>
      <c r="P549" s="53" t="s">
        <v>379</v>
      </c>
    </row>
    <row r="550" spans="1:16" s="53" customFormat="1" x14ac:dyDescent="0.25">
      <c r="A550" s="58" t="str">
        <f t="shared" si="17"/>
        <v>XI KA 425</v>
      </c>
      <c r="B550" s="171">
        <f>COUNTIF(H$2:H550,H550)</f>
        <v>25</v>
      </c>
      <c r="C550" s="168">
        <v>102419267</v>
      </c>
      <c r="D550" s="168" t="s">
        <v>4411</v>
      </c>
      <c r="E550" s="168" t="s">
        <v>4811</v>
      </c>
      <c r="F550" s="198" t="s">
        <v>3997</v>
      </c>
      <c r="G550" s="168" t="s">
        <v>381</v>
      </c>
      <c r="H550" s="168" t="s">
        <v>3825</v>
      </c>
      <c r="I550" s="5" t="s">
        <v>5674</v>
      </c>
      <c r="J550" s="5" t="s">
        <v>5673</v>
      </c>
      <c r="K550" s="5" t="str">
        <f t="shared" si="16"/>
        <v>PKA</v>
      </c>
      <c r="P550" s="53" t="s">
        <v>381</v>
      </c>
    </row>
    <row r="551" spans="1:16" s="53" customFormat="1" x14ac:dyDescent="0.25">
      <c r="A551" s="58" t="str">
        <f t="shared" si="17"/>
        <v>XI KA 426</v>
      </c>
      <c r="B551" s="171">
        <f>COUNTIF(H$2:H551,H551)</f>
        <v>26</v>
      </c>
      <c r="C551" s="168">
        <v>102419268</v>
      </c>
      <c r="D551" s="168" t="s">
        <v>4412</v>
      </c>
      <c r="E551" s="168" t="s">
        <v>4812</v>
      </c>
      <c r="F551" s="198" t="s">
        <v>3998</v>
      </c>
      <c r="G551" s="168" t="s">
        <v>381</v>
      </c>
      <c r="H551" s="168" t="s">
        <v>3825</v>
      </c>
      <c r="I551" s="5" t="s">
        <v>5674</v>
      </c>
      <c r="J551" s="5" t="s">
        <v>5673</v>
      </c>
      <c r="K551" s="5" t="str">
        <f t="shared" si="16"/>
        <v>PKA</v>
      </c>
      <c r="P551" s="53" t="s">
        <v>381</v>
      </c>
    </row>
    <row r="552" spans="1:16" s="53" customFormat="1" x14ac:dyDescent="0.25">
      <c r="A552" s="58" t="str">
        <f t="shared" si="17"/>
        <v>XI KA 427</v>
      </c>
      <c r="B552" s="171">
        <f>COUNTIF(H$2:H552,H552)</f>
        <v>27</v>
      </c>
      <c r="C552" s="168">
        <v>102419269</v>
      </c>
      <c r="D552" s="168" t="s">
        <v>4413</v>
      </c>
      <c r="E552" s="168" t="s">
        <v>4813</v>
      </c>
      <c r="F552" s="198" t="s">
        <v>3999</v>
      </c>
      <c r="G552" s="168" t="s">
        <v>381</v>
      </c>
      <c r="H552" s="168" t="s">
        <v>3825</v>
      </c>
      <c r="I552" s="5" t="s">
        <v>5674</v>
      </c>
      <c r="J552" s="5" t="s">
        <v>5673</v>
      </c>
      <c r="K552" s="5" t="str">
        <f t="shared" si="16"/>
        <v>PKA</v>
      </c>
      <c r="P552" s="53" t="s">
        <v>381</v>
      </c>
    </row>
    <row r="553" spans="1:16" s="53" customFormat="1" x14ac:dyDescent="0.25">
      <c r="A553" s="58" t="str">
        <f t="shared" si="17"/>
        <v>XI KA 428</v>
      </c>
      <c r="B553" s="171">
        <f>COUNTIF(H$2:H553,H553)</f>
        <v>28</v>
      </c>
      <c r="C553" s="168">
        <v>102419270</v>
      </c>
      <c r="D553" s="168" t="s">
        <v>4414</v>
      </c>
      <c r="E553" s="168" t="s">
        <v>4814</v>
      </c>
      <c r="F553" s="198" t="s">
        <v>4000</v>
      </c>
      <c r="G553" s="168" t="s">
        <v>379</v>
      </c>
      <c r="H553" s="168" t="s">
        <v>3825</v>
      </c>
      <c r="I553" s="5" t="s">
        <v>5674</v>
      </c>
      <c r="J553" s="5" t="s">
        <v>5673</v>
      </c>
      <c r="K553" s="5" t="str">
        <f t="shared" ref="K553:K616" si="18">G553&amp;J553</f>
        <v>LKA</v>
      </c>
      <c r="P553" s="53" t="s">
        <v>379</v>
      </c>
    </row>
    <row r="554" spans="1:16" s="53" customFormat="1" x14ac:dyDescent="0.25">
      <c r="A554" s="58" t="str">
        <f t="shared" ref="A554:A617" si="19">H554&amp;B554</f>
        <v>XI KA 429</v>
      </c>
      <c r="B554" s="171">
        <f>COUNTIF(H$2:H554,H554)</f>
        <v>29</v>
      </c>
      <c r="C554" s="168">
        <v>102419271</v>
      </c>
      <c r="D554" s="168" t="s">
        <v>4415</v>
      </c>
      <c r="E554" s="168" t="s">
        <v>4815</v>
      </c>
      <c r="F554" s="198" t="s">
        <v>4001</v>
      </c>
      <c r="G554" s="168" t="s">
        <v>381</v>
      </c>
      <c r="H554" s="168" t="s">
        <v>3825</v>
      </c>
      <c r="I554" s="5" t="s">
        <v>5674</v>
      </c>
      <c r="J554" s="5" t="s">
        <v>5673</v>
      </c>
      <c r="K554" s="5" t="str">
        <f t="shared" si="18"/>
        <v>PKA</v>
      </c>
      <c r="P554" s="53" t="s">
        <v>381</v>
      </c>
    </row>
    <row r="555" spans="1:16" s="53" customFormat="1" x14ac:dyDescent="0.25">
      <c r="A555" s="58" t="str">
        <f t="shared" si="19"/>
        <v>XI KA 430</v>
      </c>
      <c r="B555" s="171">
        <f>COUNTIF(H$2:H555,H555)</f>
        <v>30</v>
      </c>
      <c r="C555" s="168">
        <v>102419272</v>
      </c>
      <c r="D555" s="168" t="s">
        <v>4416</v>
      </c>
      <c r="E555" s="168" t="s">
        <v>4816</v>
      </c>
      <c r="F555" s="198" t="s">
        <v>4002</v>
      </c>
      <c r="G555" s="168" t="s">
        <v>381</v>
      </c>
      <c r="H555" s="168" t="s">
        <v>3825</v>
      </c>
      <c r="I555" s="5" t="s">
        <v>5674</v>
      </c>
      <c r="J555" s="5" t="s">
        <v>5673</v>
      </c>
      <c r="K555" s="5" t="str">
        <f t="shared" si="18"/>
        <v>PKA</v>
      </c>
      <c r="P555" s="53" t="s">
        <v>381</v>
      </c>
    </row>
    <row r="556" spans="1:16" s="53" customFormat="1" x14ac:dyDescent="0.25">
      <c r="A556" s="58" t="str">
        <f t="shared" si="19"/>
        <v>XI KA 431</v>
      </c>
      <c r="B556" s="171">
        <f>COUNTIF(H$2:H556,H556)</f>
        <v>31</v>
      </c>
      <c r="C556" s="168">
        <v>102419273</v>
      </c>
      <c r="D556" s="168" t="s">
        <v>4417</v>
      </c>
      <c r="E556" s="168" t="s">
        <v>4817</v>
      </c>
      <c r="F556" s="198" t="s">
        <v>4003</v>
      </c>
      <c r="G556" s="168" t="s">
        <v>381</v>
      </c>
      <c r="H556" s="168" t="s">
        <v>3825</v>
      </c>
      <c r="I556" s="5" t="s">
        <v>5674</v>
      </c>
      <c r="J556" s="5" t="s">
        <v>5673</v>
      </c>
      <c r="K556" s="5" t="str">
        <f t="shared" si="18"/>
        <v>PKA</v>
      </c>
      <c r="P556" s="53" t="s">
        <v>381</v>
      </c>
    </row>
    <row r="557" spans="1:16" s="53" customFormat="1" x14ac:dyDescent="0.25">
      <c r="A557" s="58" t="str">
        <f t="shared" si="19"/>
        <v>XI KA 432</v>
      </c>
      <c r="B557" s="171">
        <f>COUNTIF(H$2:H557,H557)</f>
        <v>32</v>
      </c>
      <c r="C557" s="168">
        <v>102419274</v>
      </c>
      <c r="D557" s="168" t="s">
        <v>4418</v>
      </c>
      <c r="E557" s="168" t="s">
        <v>4818</v>
      </c>
      <c r="F557" s="198" t="s">
        <v>4004</v>
      </c>
      <c r="G557" s="168" t="s">
        <v>381</v>
      </c>
      <c r="H557" s="168" t="s">
        <v>3825</v>
      </c>
      <c r="I557" s="5" t="s">
        <v>5674</v>
      </c>
      <c r="J557" s="5" t="s">
        <v>5673</v>
      </c>
      <c r="K557" s="5" t="str">
        <f t="shared" si="18"/>
        <v>PKA</v>
      </c>
      <c r="P557" s="53" t="s">
        <v>381</v>
      </c>
    </row>
    <row r="558" spans="1:16" s="53" customFormat="1" x14ac:dyDescent="0.25">
      <c r="A558" s="58" t="str">
        <f t="shared" si="19"/>
        <v>XI KA 433</v>
      </c>
      <c r="B558" s="171">
        <f>COUNTIF(H$2:H558,H558)</f>
        <v>33</v>
      </c>
      <c r="C558" s="168">
        <v>102419275</v>
      </c>
      <c r="D558" s="168" t="s">
        <v>4419</v>
      </c>
      <c r="E558" s="168" t="s">
        <v>4819</v>
      </c>
      <c r="F558" s="198" t="s">
        <v>4005</v>
      </c>
      <c r="G558" s="168" t="s">
        <v>381</v>
      </c>
      <c r="H558" s="168" t="s">
        <v>3825</v>
      </c>
      <c r="I558" s="5" t="s">
        <v>5674</v>
      </c>
      <c r="J558" s="5" t="s">
        <v>5673</v>
      </c>
      <c r="K558" s="5" t="str">
        <f t="shared" si="18"/>
        <v>PKA</v>
      </c>
      <c r="P558" s="53" t="s">
        <v>381</v>
      </c>
    </row>
    <row r="559" spans="1:16" s="53" customFormat="1" x14ac:dyDescent="0.25">
      <c r="A559" s="58" t="str">
        <f t="shared" si="19"/>
        <v>XI KA 434</v>
      </c>
      <c r="B559" s="171">
        <f>COUNTIF(H$2:H559,H559)</f>
        <v>34</v>
      </c>
      <c r="C559" s="168">
        <v>102419276</v>
      </c>
      <c r="D559" s="168" t="s">
        <v>4420</v>
      </c>
      <c r="E559" s="168" t="s">
        <v>4820</v>
      </c>
      <c r="F559" s="198" t="s">
        <v>4006</v>
      </c>
      <c r="G559" s="168" t="s">
        <v>381</v>
      </c>
      <c r="H559" s="168" t="s">
        <v>3825</v>
      </c>
      <c r="I559" s="5" t="s">
        <v>5674</v>
      </c>
      <c r="J559" s="5" t="s">
        <v>5673</v>
      </c>
      <c r="K559" s="5" t="str">
        <f t="shared" si="18"/>
        <v>PKA</v>
      </c>
      <c r="P559" s="53" t="s">
        <v>381</v>
      </c>
    </row>
    <row r="560" spans="1:16" s="53" customFormat="1" x14ac:dyDescent="0.25">
      <c r="A560" s="58" t="str">
        <f t="shared" si="19"/>
        <v>XI KA 435</v>
      </c>
      <c r="B560" s="171">
        <f>COUNTIF(H$2:H560,H560)</f>
        <v>35</v>
      </c>
      <c r="C560" s="168">
        <v>102419277</v>
      </c>
      <c r="D560" s="168" t="s">
        <v>4421</v>
      </c>
      <c r="E560" s="168" t="s">
        <v>4821</v>
      </c>
      <c r="F560" s="198" t="s">
        <v>4007</v>
      </c>
      <c r="G560" s="168" t="s">
        <v>381</v>
      </c>
      <c r="H560" s="168" t="s">
        <v>3825</v>
      </c>
      <c r="I560" s="5" t="s">
        <v>5674</v>
      </c>
      <c r="J560" s="5" t="s">
        <v>5673</v>
      </c>
      <c r="K560" s="5" t="str">
        <f t="shared" si="18"/>
        <v>PKA</v>
      </c>
      <c r="P560" s="53" t="s">
        <v>381</v>
      </c>
    </row>
    <row r="561" spans="1:16" s="53" customFormat="1" x14ac:dyDescent="0.25">
      <c r="A561" s="58" t="str">
        <f t="shared" si="19"/>
        <v>XI KA 436</v>
      </c>
      <c r="B561" s="171">
        <f>COUNTIF(H$2:H561,H561)</f>
        <v>36</v>
      </c>
      <c r="C561" s="168">
        <v>102419278</v>
      </c>
      <c r="D561" s="168" t="s">
        <v>4422</v>
      </c>
      <c r="E561" s="168" t="s">
        <v>4822</v>
      </c>
      <c r="F561" s="198" t="s">
        <v>4008</v>
      </c>
      <c r="G561" s="168" t="s">
        <v>381</v>
      </c>
      <c r="H561" s="168" t="s">
        <v>3825</v>
      </c>
      <c r="I561" s="5" t="s">
        <v>5674</v>
      </c>
      <c r="J561" s="5" t="s">
        <v>5673</v>
      </c>
      <c r="K561" s="5" t="str">
        <f t="shared" si="18"/>
        <v>PKA</v>
      </c>
      <c r="P561" s="53" t="s">
        <v>381</v>
      </c>
    </row>
    <row r="562" spans="1:16" s="53" customFormat="1" x14ac:dyDescent="0.25">
      <c r="A562" s="58" t="str">
        <f t="shared" si="19"/>
        <v>XI KA 51</v>
      </c>
      <c r="B562" s="171">
        <f>COUNTIF(H$2:H562,H562)</f>
        <v>1</v>
      </c>
      <c r="C562" s="168">
        <v>102419279</v>
      </c>
      <c r="D562" s="168" t="s">
        <v>4423</v>
      </c>
      <c r="E562" s="168" t="s">
        <v>4823</v>
      </c>
      <c r="F562" s="198" t="s">
        <v>4009</v>
      </c>
      <c r="G562" s="168" t="s">
        <v>379</v>
      </c>
      <c r="H562" s="168" t="s">
        <v>3826</v>
      </c>
      <c r="I562" s="5" t="s">
        <v>5674</v>
      </c>
      <c r="J562" s="5" t="s">
        <v>5673</v>
      </c>
      <c r="K562" s="5" t="str">
        <f t="shared" si="18"/>
        <v>LKA</v>
      </c>
      <c r="P562" s="53" t="s">
        <v>379</v>
      </c>
    </row>
    <row r="563" spans="1:16" s="53" customFormat="1" x14ac:dyDescent="0.25">
      <c r="A563" s="58" t="str">
        <f t="shared" si="19"/>
        <v>XI KA 52</v>
      </c>
      <c r="B563" s="171">
        <f>COUNTIF(H$2:H563,H563)</f>
        <v>2</v>
      </c>
      <c r="C563" s="168">
        <v>102419280</v>
      </c>
      <c r="D563" s="168" t="s">
        <v>4424</v>
      </c>
      <c r="E563" s="168" t="s">
        <v>4824</v>
      </c>
      <c r="F563" s="198" t="s">
        <v>4010</v>
      </c>
      <c r="G563" s="168" t="s">
        <v>379</v>
      </c>
      <c r="H563" s="168" t="s">
        <v>3826</v>
      </c>
      <c r="I563" s="5" t="s">
        <v>5674</v>
      </c>
      <c r="J563" s="5" t="s">
        <v>5673</v>
      </c>
      <c r="K563" s="5" t="str">
        <f t="shared" si="18"/>
        <v>LKA</v>
      </c>
      <c r="P563" s="53" t="s">
        <v>379</v>
      </c>
    </row>
    <row r="564" spans="1:16" s="53" customFormat="1" x14ac:dyDescent="0.25">
      <c r="A564" s="58" t="str">
        <f t="shared" si="19"/>
        <v>XI KA 53</v>
      </c>
      <c r="B564" s="171">
        <f>COUNTIF(H$2:H564,H564)</f>
        <v>3</v>
      </c>
      <c r="C564" s="168">
        <v>102419281</v>
      </c>
      <c r="D564" s="168" t="s">
        <v>4425</v>
      </c>
      <c r="E564" s="168" t="s">
        <v>4825</v>
      </c>
      <c r="F564" s="198" t="s">
        <v>4011</v>
      </c>
      <c r="G564" s="168" t="s">
        <v>381</v>
      </c>
      <c r="H564" s="168" t="s">
        <v>3826</v>
      </c>
      <c r="I564" s="5" t="s">
        <v>5674</v>
      </c>
      <c r="J564" s="5" t="s">
        <v>5673</v>
      </c>
      <c r="K564" s="5" t="str">
        <f t="shared" si="18"/>
        <v>PKA</v>
      </c>
      <c r="P564" s="53" t="s">
        <v>381</v>
      </c>
    </row>
    <row r="565" spans="1:16" s="53" customFormat="1" x14ac:dyDescent="0.25">
      <c r="A565" s="58" t="str">
        <f t="shared" si="19"/>
        <v>XI KA 54</v>
      </c>
      <c r="B565" s="171">
        <f>COUNTIF(H$2:H565,H565)</f>
        <v>4</v>
      </c>
      <c r="C565" s="168">
        <v>102419282</v>
      </c>
      <c r="D565" s="168" t="s">
        <v>4426</v>
      </c>
      <c r="E565" s="168" t="s">
        <v>4826</v>
      </c>
      <c r="F565" s="198" t="s">
        <v>4012</v>
      </c>
      <c r="G565" s="168" t="s">
        <v>381</v>
      </c>
      <c r="H565" s="168" t="s">
        <v>3826</v>
      </c>
      <c r="I565" s="5" t="s">
        <v>5674</v>
      </c>
      <c r="J565" s="5" t="s">
        <v>5673</v>
      </c>
      <c r="K565" s="5" t="str">
        <f t="shared" si="18"/>
        <v>PKA</v>
      </c>
      <c r="P565" s="53" t="s">
        <v>381</v>
      </c>
    </row>
    <row r="566" spans="1:16" s="53" customFormat="1" x14ac:dyDescent="0.25">
      <c r="A566" s="58" t="str">
        <f t="shared" si="19"/>
        <v>XI KA 55</v>
      </c>
      <c r="B566" s="171">
        <f>COUNTIF(H$2:H566,H566)</f>
        <v>5</v>
      </c>
      <c r="C566" s="168">
        <v>102419283</v>
      </c>
      <c r="D566" s="168" t="s">
        <v>4427</v>
      </c>
      <c r="E566" s="168" t="s">
        <v>4827</v>
      </c>
      <c r="F566" s="198" t="s">
        <v>4013</v>
      </c>
      <c r="G566" s="168" t="s">
        <v>381</v>
      </c>
      <c r="H566" s="168" t="s">
        <v>3826</v>
      </c>
      <c r="I566" s="5" t="s">
        <v>5674</v>
      </c>
      <c r="J566" s="5" t="s">
        <v>5673</v>
      </c>
      <c r="K566" s="5" t="str">
        <f t="shared" si="18"/>
        <v>PKA</v>
      </c>
      <c r="P566" s="53" t="s">
        <v>381</v>
      </c>
    </row>
    <row r="567" spans="1:16" s="53" customFormat="1" x14ac:dyDescent="0.25">
      <c r="A567" s="58" t="str">
        <f t="shared" si="19"/>
        <v>XI KA 56</v>
      </c>
      <c r="B567" s="171">
        <f>COUNTIF(H$2:H567,H567)</f>
        <v>6</v>
      </c>
      <c r="C567" s="168">
        <v>102419284</v>
      </c>
      <c r="D567" s="168" t="s">
        <v>4428</v>
      </c>
      <c r="E567" s="168" t="s">
        <v>4828</v>
      </c>
      <c r="F567" s="198" t="s">
        <v>4014</v>
      </c>
      <c r="G567" s="168" t="s">
        <v>381</v>
      </c>
      <c r="H567" s="168" t="s">
        <v>3826</v>
      </c>
      <c r="I567" s="5" t="s">
        <v>5674</v>
      </c>
      <c r="J567" s="5" t="s">
        <v>5673</v>
      </c>
      <c r="K567" s="5" t="str">
        <f t="shared" si="18"/>
        <v>PKA</v>
      </c>
      <c r="P567" s="53" t="s">
        <v>381</v>
      </c>
    </row>
    <row r="568" spans="1:16" s="53" customFormat="1" x14ac:dyDescent="0.25">
      <c r="A568" s="58" t="str">
        <f t="shared" si="19"/>
        <v>XI KA 57</v>
      </c>
      <c r="B568" s="171">
        <f>COUNTIF(H$2:H568,H568)</f>
        <v>7</v>
      </c>
      <c r="C568" s="168">
        <v>102419285</v>
      </c>
      <c r="D568" s="168" t="s">
        <v>4429</v>
      </c>
      <c r="E568" s="168" t="s">
        <v>4829</v>
      </c>
      <c r="F568" s="198" t="s">
        <v>4015</v>
      </c>
      <c r="G568" s="168" t="s">
        <v>381</v>
      </c>
      <c r="H568" s="168" t="s">
        <v>3826</v>
      </c>
      <c r="I568" s="5" t="s">
        <v>5674</v>
      </c>
      <c r="J568" s="5" t="s">
        <v>5673</v>
      </c>
      <c r="K568" s="5" t="str">
        <f t="shared" si="18"/>
        <v>PKA</v>
      </c>
      <c r="P568" s="53" t="s">
        <v>381</v>
      </c>
    </row>
    <row r="569" spans="1:16" s="53" customFormat="1" x14ac:dyDescent="0.25">
      <c r="A569" s="58" t="str">
        <f t="shared" si="19"/>
        <v>XI KA 58</v>
      </c>
      <c r="B569" s="171">
        <f>COUNTIF(H$2:H569,H569)</f>
        <v>8</v>
      </c>
      <c r="C569" s="168">
        <v>102419286</v>
      </c>
      <c r="D569" s="168" t="s">
        <v>4430</v>
      </c>
      <c r="E569" s="168" t="s">
        <v>4830</v>
      </c>
      <c r="F569" s="198" t="s">
        <v>4016</v>
      </c>
      <c r="G569" s="168" t="s">
        <v>381</v>
      </c>
      <c r="H569" s="168" t="s">
        <v>3826</v>
      </c>
      <c r="I569" s="5" t="s">
        <v>5674</v>
      </c>
      <c r="J569" s="5" t="s">
        <v>5673</v>
      </c>
      <c r="K569" s="5" t="str">
        <f t="shared" si="18"/>
        <v>PKA</v>
      </c>
      <c r="P569" s="53" t="s">
        <v>381</v>
      </c>
    </row>
    <row r="570" spans="1:16" s="53" customFormat="1" x14ac:dyDescent="0.25">
      <c r="A570" s="58" t="str">
        <f t="shared" si="19"/>
        <v>XI KA 59</v>
      </c>
      <c r="B570" s="171">
        <f>COUNTIF(H$2:H570,H570)</f>
        <v>9</v>
      </c>
      <c r="C570" s="168">
        <v>102419287</v>
      </c>
      <c r="D570" s="168" t="s">
        <v>4431</v>
      </c>
      <c r="E570" s="168" t="s">
        <v>4831</v>
      </c>
      <c r="F570" s="198" t="s">
        <v>4017</v>
      </c>
      <c r="G570" s="168" t="s">
        <v>379</v>
      </c>
      <c r="H570" s="168" t="s">
        <v>3826</v>
      </c>
      <c r="I570" s="5" t="s">
        <v>5674</v>
      </c>
      <c r="J570" s="5" t="s">
        <v>5673</v>
      </c>
      <c r="K570" s="5" t="str">
        <f t="shared" si="18"/>
        <v>LKA</v>
      </c>
      <c r="P570" s="53" t="s">
        <v>379</v>
      </c>
    </row>
    <row r="571" spans="1:16" s="53" customFormat="1" x14ac:dyDescent="0.25">
      <c r="A571" s="58" t="str">
        <f t="shared" si="19"/>
        <v>XI KA 510</v>
      </c>
      <c r="B571" s="171">
        <f>COUNTIF(H$2:H571,H571)</f>
        <v>10</v>
      </c>
      <c r="C571" s="168">
        <v>102419288</v>
      </c>
      <c r="D571" s="168" t="s">
        <v>4432</v>
      </c>
      <c r="E571" s="168" t="s">
        <v>4832</v>
      </c>
      <c r="F571" s="198" t="s">
        <v>4018</v>
      </c>
      <c r="G571" s="168" t="s">
        <v>379</v>
      </c>
      <c r="H571" s="168" t="s">
        <v>3826</v>
      </c>
      <c r="I571" s="5" t="s">
        <v>5674</v>
      </c>
      <c r="J571" s="5" t="s">
        <v>5673</v>
      </c>
      <c r="K571" s="5" t="str">
        <f t="shared" si="18"/>
        <v>LKA</v>
      </c>
      <c r="P571" s="53" t="s">
        <v>379</v>
      </c>
    </row>
    <row r="572" spans="1:16" s="53" customFormat="1" x14ac:dyDescent="0.25">
      <c r="A572" s="58" t="str">
        <f t="shared" si="19"/>
        <v>XI KA 511</v>
      </c>
      <c r="B572" s="171">
        <f>COUNTIF(H$2:H572,H572)</f>
        <v>11</v>
      </c>
      <c r="C572" s="168">
        <v>102419289</v>
      </c>
      <c r="D572" s="168" t="s">
        <v>4433</v>
      </c>
      <c r="E572" s="168" t="s">
        <v>4833</v>
      </c>
      <c r="F572" s="198" t="s">
        <v>4019</v>
      </c>
      <c r="G572" s="168" t="s">
        <v>381</v>
      </c>
      <c r="H572" s="168" t="s">
        <v>3826</v>
      </c>
      <c r="I572" s="5" t="s">
        <v>5674</v>
      </c>
      <c r="J572" s="5" t="s">
        <v>5673</v>
      </c>
      <c r="K572" s="5" t="str">
        <f t="shared" si="18"/>
        <v>PKA</v>
      </c>
      <c r="P572" s="53" t="s">
        <v>381</v>
      </c>
    </row>
    <row r="573" spans="1:16" s="53" customFormat="1" x14ac:dyDescent="0.25">
      <c r="A573" s="58" t="str">
        <f t="shared" si="19"/>
        <v>XI KA 512</v>
      </c>
      <c r="B573" s="171">
        <f>COUNTIF(H$2:H573,H573)</f>
        <v>12</v>
      </c>
      <c r="C573" s="168">
        <v>102419290</v>
      </c>
      <c r="D573" s="168" t="s">
        <v>4434</v>
      </c>
      <c r="E573" s="168" t="s">
        <v>4834</v>
      </c>
      <c r="F573" s="198" t="s">
        <v>4020</v>
      </c>
      <c r="G573" s="168" t="s">
        <v>379</v>
      </c>
      <c r="H573" s="168" t="s">
        <v>3826</v>
      </c>
      <c r="I573" s="5" t="s">
        <v>5674</v>
      </c>
      <c r="J573" s="5" t="s">
        <v>5673</v>
      </c>
      <c r="K573" s="5" t="str">
        <f t="shared" si="18"/>
        <v>LKA</v>
      </c>
      <c r="P573" s="53" t="s">
        <v>379</v>
      </c>
    </row>
    <row r="574" spans="1:16" s="53" customFormat="1" x14ac:dyDescent="0.25">
      <c r="A574" s="58" t="str">
        <f t="shared" si="19"/>
        <v>XI KA 513</v>
      </c>
      <c r="B574" s="171">
        <f>COUNTIF(H$2:H574,H574)</f>
        <v>13</v>
      </c>
      <c r="C574" s="168">
        <v>102419291</v>
      </c>
      <c r="D574" s="168" t="s">
        <v>4435</v>
      </c>
      <c r="E574" s="168" t="s">
        <v>4835</v>
      </c>
      <c r="F574" s="198" t="s">
        <v>4021</v>
      </c>
      <c r="G574" s="168" t="s">
        <v>381</v>
      </c>
      <c r="H574" s="168" t="s">
        <v>3826</v>
      </c>
      <c r="I574" s="5" t="s">
        <v>5674</v>
      </c>
      <c r="J574" s="5" t="s">
        <v>5673</v>
      </c>
      <c r="K574" s="5" t="str">
        <f t="shared" si="18"/>
        <v>PKA</v>
      </c>
      <c r="P574" s="53" t="s">
        <v>381</v>
      </c>
    </row>
    <row r="575" spans="1:16" s="53" customFormat="1" x14ac:dyDescent="0.25">
      <c r="A575" s="58" t="str">
        <f t="shared" si="19"/>
        <v>XI KA 514</v>
      </c>
      <c r="B575" s="171">
        <f>COUNTIF(H$2:H575,H575)</f>
        <v>14</v>
      </c>
      <c r="C575" s="168">
        <v>102419292</v>
      </c>
      <c r="D575" s="168" t="s">
        <v>4436</v>
      </c>
      <c r="E575" s="168" t="s">
        <v>4836</v>
      </c>
      <c r="F575" s="198" t="s">
        <v>4022</v>
      </c>
      <c r="G575" s="168" t="s">
        <v>381</v>
      </c>
      <c r="H575" s="168" t="s">
        <v>3826</v>
      </c>
      <c r="I575" s="5" t="s">
        <v>5674</v>
      </c>
      <c r="J575" s="5" t="s">
        <v>5673</v>
      </c>
      <c r="K575" s="5" t="str">
        <f t="shared" si="18"/>
        <v>PKA</v>
      </c>
      <c r="P575" s="53" t="s">
        <v>381</v>
      </c>
    </row>
    <row r="576" spans="1:16" s="53" customFormat="1" x14ac:dyDescent="0.25">
      <c r="A576" s="58" t="str">
        <f t="shared" si="19"/>
        <v>XI KA 515</v>
      </c>
      <c r="B576" s="171">
        <f>COUNTIF(H$2:H576,H576)</f>
        <v>15</v>
      </c>
      <c r="C576" s="168">
        <v>102419293</v>
      </c>
      <c r="D576" s="168" t="s">
        <v>4437</v>
      </c>
      <c r="E576" s="168" t="s">
        <v>4837</v>
      </c>
      <c r="F576" s="198" t="s">
        <v>4023</v>
      </c>
      <c r="G576" s="168" t="s">
        <v>381</v>
      </c>
      <c r="H576" s="168" t="s">
        <v>3826</v>
      </c>
      <c r="I576" s="5" t="s">
        <v>5674</v>
      </c>
      <c r="J576" s="5" t="s">
        <v>5673</v>
      </c>
      <c r="K576" s="5" t="str">
        <f t="shared" si="18"/>
        <v>PKA</v>
      </c>
      <c r="P576" s="53" t="s">
        <v>381</v>
      </c>
    </row>
    <row r="577" spans="1:16" s="53" customFormat="1" x14ac:dyDescent="0.25">
      <c r="A577" s="58" t="str">
        <f t="shared" si="19"/>
        <v>XI KA 516</v>
      </c>
      <c r="B577" s="171">
        <f>COUNTIF(H$2:H577,H577)</f>
        <v>16</v>
      </c>
      <c r="C577" s="168">
        <v>102419294</v>
      </c>
      <c r="D577" s="168" t="s">
        <v>4438</v>
      </c>
      <c r="E577" s="168" t="s">
        <v>4838</v>
      </c>
      <c r="F577" s="198" t="s">
        <v>4024</v>
      </c>
      <c r="G577" s="168" t="s">
        <v>381</v>
      </c>
      <c r="H577" s="168" t="s">
        <v>3826</v>
      </c>
      <c r="I577" s="5" t="s">
        <v>5674</v>
      </c>
      <c r="J577" s="5" t="s">
        <v>5673</v>
      </c>
      <c r="K577" s="5" t="str">
        <f t="shared" si="18"/>
        <v>PKA</v>
      </c>
      <c r="P577" s="53" t="s">
        <v>381</v>
      </c>
    </row>
    <row r="578" spans="1:16" s="53" customFormat="1" x14ac:dyDescent="0.25">
      <c r="A578" s="58" t="str">
        <f t="shared" si="19"/>
        <v>XI KA 517</v>
      </c>
      <c r="B578" s="171">
        <f>COUNTIF(H$2:H578,H578)</f>
        <v>17</v>
      </c>
      <c r="C578" s="168">
        <v>102419295</v>
      </c>
      <c r="D578" s="168" t="s">
        <v>4439</v>
      </c>
      <c r="E578" s="168" t="s">
        <v>4839</v>
      </c>
      <c r="F578" s="198" t="s">
        <v>4025</v>
      </c>
      <c r="G578" s="168" t="s">
        <v>379</v>
      </c>
      <c r="H578" s="168" t="s">
        <v>3826</v>
      </c>
      <c r="I578" s="5" t="s">
        <v>5674</v>
      </c>
      <c r="J578" s="5" t="s">
        <v>5673</v>
      </c>
      <c r="K578" s="5" t="str">
        <f t="shared" si="18"/>
        <v>LKA</v>
      </c>
      <c r="P578" s="53" t="s">
        <v>379</v>
      </c>
    </row>
    <row r="579" spans="1:16" s="53" customFormat="1" x14ac:dyDescent="0.25">
      <c r="A579" s="58" t="str">
        <f t="shared" si="19"/>
        <v>XI KA 518</v>
      </c>
      <c r="B579" s="171">
        <f>COUNTIF(H$2:H579,H579)</f>
        <v>18</v>
      </c>
      <c r="C579" s="168">
        <v>102419296</v>
      </c>
      <c r="D579" s="168" t="s">
        <v>4440</v>
      </c>
      <c r="E579" s="168" t="s">
        <v>4840</v>
      </c>
      <c r="F579" s="198" t="s">
        <v>4026</v>
      </c>
      <c r="G579" s="168" t="s">
        <v>379</v>
      </c>
      <c r="H579" s="168" t="s">
        <v>3826</v>
      </c>
      <c r="I579" s="5" t="s">
        <v>5674</v>
      </c>
      <c r="J579" s="5" t="s">
        <v>5673</v>
      </c>
      <c r="K579" s="5" t="str">
        <f t="shared" si="18"/>
        <v>LKA</v>
      </c>
      <c r="P579" s="53" t="s">
        <v>379</v>
      </c>
    </row>
    <row r="580" spans="1:16" s="53" customFormat="1" x14ac:dyDescent="0.25">
      <c r="A580" s="58" t="str">
        <f t="shared" si="19"/>
        <v>XI KA 519</v>
      </c>
      <c r="B580" s="171">
        <f>COUNTIF(H$2:H580,H580)</f>
        <v>19</v>
      </c>
      <c r="C580" s="168">
        <v>102419297</v>
      </c>
      <c r="D580" s="168" t="s">
        <v>4441</v>
      </c>
      <c r="E580" s="168" t="s">
        <v>4841</v>
      </c>
      <c r="F580" s="198" t="s">
        <v>4027</v>
      </c>
      <c r="G580" s="168" t="s">
        <v>379</v>
      </c>
      <c r="H580" s="168" t="s">
        <v>3826</v>
      </c>
      <c r="I580" s="5" t="s">
        <v>5674</v>
      </c>
      <c r="J580" s="5" t="s">
        <v>5673</v>
      </c>
      <c r="K580" s="5" t="str">
        <f t="shared" si="18"/>
        <v>LKA</v>
      </c>
      <c r="P580" s="53" t="s">
        <v>379</v>
      </c>
    </row>
    <row r="581" spans="1:16" s="53" customFormat="1" x14ac:dyDescent="0.25">
      <c r="A581" s="58" t="str">
        <f t="shared" si="19"/>
        <v>XI KA 520</v>
      </c>
      <c r="B581" s="171">
        <f>COUNTIF(H$2:H581,H581)</f>
        <v>20</v>
      </c>
      <c r="C581" s="168">
        <v>102419298</v>
      </c>
      <c r="D581" s="168" t="s">
        <v>4442</v>
      </c>
      <c r="E581" s="168" t="s">
        <v>4842</v>
      </c>
      <c r="F581" s="198" t="s">
        <v>4028</v>
      </c>
      <c r="G581" s="168" t="s">
        <v>379</v>
      </c>
      <c r="H581" s="168" t="s">
        <v>3826</v>
      </c>
      <c r="I581" s="5" t="s">
        <v>5674</v>
      </c>
      <c r="J581" s="5" t="s">
        <v>5673</v>
      </c>
      <c r="K581" s="5" t="str">
        <f t="shared" si="18"/>
        <v>LKA</v>
      </c>
      <c r="P581" s="53" t="s">
        <v>379</v>
      </c>
    </row>
    <row r="582" spans="1:16" s="53" customFormat="1" x14ac:dyDescent="0.25">
      <c r="A582" s="58" t="str">
        <f t="shared" si="19"/>
        <v>XI KA 521</v>
      </c>
      <c r="B582" s="171">
        <f>COUNTIF(H$2:H582,H582)</f>
        <v>21</v>
      </c>
      <c r="C582" s="168">
        <v>102419299</v>
      </c>
      <c r="D582" s="168" t="s">
        <v>4443</v>
      </c>
      <c r="E582" s="168" t="s">
        <v>4843</v>
      </c>
      <c r="F582" s="198" t="s">
        <v>4029</v>
      </c>
      <c r="G582" s="168" t="s">
        <v>381</v>
      </c>
      <c r="H582" s="168" t="s">
        <v>3826</v>
      </c>
      <c r="I582" s="5" t="s">
        <v>5674</v>
      </c>
      <c r="J582" s="5" t="s">
        <v>5673</v>
      </c>
      <c r="K582" s="5" t="str">
        <f t="shared" si="18"/>
        <v>PKA</v>
      </c>
      <c r="P582" s="53" t="s">
        <v>381</v>
      </c>
    </row>
    <row r="583" spans="1:16" s="53" customFormat="1" x14ac:dyDescent="0.25">
      <c r="A583" s="58" t="str">
        <f t="shared" si="19"/>
        <v>XI KA 522</v>
      </c>
      <c r="B583" s="171">
        <f>COUNTIF(H$2:H583,H583)</f>
        <v>22</v>
      </c>
      <c r="C583" s="168">
        <v>102419300</v>
      </c>
      <c r="D583" s="168" t="s">
        <v>4444</v>
      </c>
      <c r="E583" s="168" t="s">
        <v>4844</v>
      </c>
      <c r="F583" s="198" t="s">
        <v>4030</v>
      </c>
      <c r="G583" s="168" t="s">
        <v>381</v>
      </c>
      <c r="H583" s="168" t="s">
        <v>3826</v>
      </c>
      <c r="I583" s="5" t="s">
        <v>5674</v>
      </c>
      <c r="J583" s="5" t="s">
        <v>5673</v>
      </c>
      <c r="K583" s="5" t="str">
        <f t="shared" si="18"/>
        <v>PKA</v>
      </c>
      <c r="P583" s="53" t="s">
        <v>381</v>
      </c>
    </row>
    <row r="584" spans="1:16" s="53" customFormat="1" x14ac:dyDescent="0.25">
      <c r="A584" s="58" t="str">
        <f t="shared" si="19"/>
        <v>XI KA 523</v>
      </c>
      <c r="B584" s="171">
        <f>COUNTIF(H$2:H584,H584)</f>
        <v>23</v>
      </c>
      <c r="C584" s="168">
        <v>102419301</v>
      </c>
      <c r="D584" s="168" t="s">
        <v>4445</v>
      </c>
      <c r="E584" s="168" t="s">
        <v>4845</v>
      </c>
      <c r="F584" s="198" t="s">
        <v>4031</v>
      </c>
      <c r="G584" s="168" t="s">
        <v>381</v>
      </c>
      <c r="H584" s="168" t="s">
        <v>3826</v>
      </c>
      <c r="I584" s="5" t="s">
        <v>5674</v>
      </c>
      <c r="J584" s="5" t="s">
        <v>5673</v>
      </c>
      <c r="K584" s="5" t="str">
        <f t="shared" si="18"/>
        <v>PKA</v>
      </c>
      <c r="P584" s="53" t="s">
        <v>381</v>
      </c>
    </row>
    <row r="585" spans="1:16" s="53" customFormat="1" x14ac:dyDescent="0.25">
      <c r="A585" s="58" t="str">
        <f t="shared" si="19"/>
        <v>XI KA 524</v>
      </c>
      <c r="B585" s="171">
        <f>COUNTIF(H$2:H585,H585)</f>
        <v>24</v>
      </c>
      <c r="C585" s="168">
        <v>102419302</v>
      </c>
      <c r="D585" s="168" t="s">
        <v>4446</v>
      </c>
      <c r="E585" s="168" t="s">
        <v>4846</v>
      </c>
      <c r="F585" s="198" t="s">
        <v>4032</v>
      </c>
      <c r="G585" s="168" t="s">
        <v>381</v>
      </c>
      <c r="H585" s="168" t="s">
        <v>3826</v>
      </c>
      <c r="I585" s="5" t="s">
        <v>5674</v>
      </c>
      <c r="J585" s="5" t="s">
        <v>5673</v>
      </c>
      <c r="K585" s="5" t="str">
        <f t="shared" si="18"/>
        <v>PKA</v>
      </c>
      <c r="P585" s="53" t="s">
        <v>381</v>
      </c>
    </row>
    <row r="586" spans="1:16" s="53" customFormat="1" x14ac:dyDescent="0.25">
      <c r="A586" s="58" t="str">
        <f t="shared" si="19"/>
        <v>XI KA 525</v>
      </c>
      <c r="B586" s="171">
        <f>COUNTIF(H$2:H586,H586)</f>
        <v>25</v>
      </c>
      <c r="C586" s="168">
        <v>102419303</v>
      </c>
      <c r="D586" s="168" t="s">
        <v>4447</v>
      </c>
      <c r="E586" s="168" t="s">
        <v>4847</v>
      </c>
      <c r="F586" s="198" t="s">
        <v>4033</v>
      </c>
      <c r="G586" s="168" t="s">
        <v>381</v>
      </c>
      <c r="H586" s="168" t="s">
        <v>3826</v>
      </c>
      <c r="I586" s="5" t="s">
        <v>5674</v>
      </c>
      <c r="J586" s="5" t="s">
        <v>5673</v>
      </c>
      <c r="K586" s="5" t="str">
        <f t="shared" si="18"/>
        <v>PKA</v>
      </c>
      <c r="P586" s="53" t="s">
        <v>381</v>
      </c>
    </row>
    <row r="587" spans="1:16" s="53" customFormat="1" x14ac:dyDescent="0.25">
      <c r="A587" s="58" t="str">
        <f t="shared" si="19"/>
        <v>XI KA 526</v>
      </c>
      <c r="B587" s="171">
        <f>COUNTIF(H$2:H587,H587)</f>
        <v>26</v>
      </c>
      <c r="C587" s="168">
        <v>102419304</v>
      </c>
      <c r="D587" s="168" t="s">
        <v>4448</v>
      </c>
      <c r="E587" s="168" t="s">
        <v>4848</v>
      </c>
      <c r="F587" s="198" t="s">
        <v>4034</v>
      </c>
      <c r="G587" s="168" t="s">
        <v>379</v>
      </c>
      <c r="H587" s="168" t="s">
        <v>3826</v>
      </c>
      <c r="I587" s="5" t="s">
        <v>5674</v>
      </c>
      <c r="J587" s="5" t="s">
        <v>5673</v>
      </c>
      <c r="K587" s="5" t="str">
        <f t="shared" si="18"/>
        <v>LKA</v>
      </c>
      <c r="P587" s="53" t="s">
        <v>379</v>
      </c>
    </row>
    <row r="588" spans="1:16" s="53" customFormat="1" x14ac:dyDescent="0.25">
      <c r="A588" s="58" t="str">
        <f t="shared" si="19"/>
        <v>XI KA 527</v>
      </c>
      <c r="B588" s="171">
        <f>COUNTIF(H$2:H588,H588)</f>
        <v>27</v>
      </c>
      <c r="C588" s="168">
        <v>102419305</v>
      </c>
      <c r="D588" s="168" t="s">
        <v>4449</v>
      </c>
      <c r="E588" s="168" t="s">
        <v>4849</v>
      </c>
      <c r="F588" s="198" t="s">
        <v>4035</v>
      </c>
      <c r="G588" s="168" t="s">
        <v>381</v>
      </c>
      <c r="H588" s="168" t="s">
        <v>3826</v>
      </c>
      <c r="I588" s="5" t="s">
        <v>5674</v>
      </c>
      <c r="J588" s="5" t="s">
        <v>5673</v>
      </c>
      <c r="K588" s="5" t="str">
        <f t="shared" si="18"/>
        <v>PKA</v>
      </c>
      <c r="P588" s="53" t="s">
        <v>381</v>
      </c>
    </row>
    <row r="589" spans="1:16" s="53" customFormat="1" x14ac:dyDescent="0.25">
      <c r="A589" s="58" t="str">
        <f t="shared" si="19"/>
        <v>XI KA 528</v>
      </c>
      <c r="B589" s="171">
        <f>COUNTIF(H$2:H589,H589)</f>
        <v>28</v>
      </c>
      <c r="C589" s="168">
        <v>102419306</v>
      </c>
      <c r="D589" s="168" t="s">
        <v>4450</v>
      </c>
      <c r="E589" s="168" t="s">
        <v>4850</v>
      </c>
      <c r="F589" s="198" t="s">
        <v>4036</v>
      </c>
      <c r="G589" s="168" t="s">
        <v>381</v>
      </c>
      <c r="H589" s="168" t="s">
        <v>3826</v>
      </c>
      <c r="I589" s="5" t="s">
        <v>5674</v>
      </c>
      <c r="J589" s="5" t="s">
        <v>5673</v>
      </c>
      <c r="K589" s="5" t="str">
        <f t="shared" si="18"/>
        <v>PKA</v>
      </c>
      <c r="P589" s="53" t="s">
        <v>381</v>
      </c>
    </row>
    <row r="590" spans="1:16" s="53" customFormat="1" x14ac:dyDescent="0.25">
      <c r="A590" s="58" t="str">
        <f t="shared" si="19"/>
        <v>XI KA 529</v>
      </c>
      <c r="B590" s="171">
        <f>COUNTIF(H$2:H590,H590)</f>
        <v>29</v>
      </c>
      <c r="C590" s="168">
        <v>102419307</v>
      </c>
      <c r="D590" s="168" t="s">
        <v>4451</v>
      </c>
      <c r="E590" s="168" t="s">
        <v>4851</v>
      </c>
      <c r="F590" s="198" t="s">
        <v>4037</v>
      </c>
      <c r="G590" s="168" t="s">
        <v>379</v>
      </c>
      <c r="H590" s="168" t="s">
        <v>3826</v>
      </c>
      <c r="I590" s="5" t="s">
        <v>5674</v>
      </c>
      <c r="J590" s="5" t="s">
        <v>5673</v>
      </c>
      <c r="K590" s="5" t="str">
        <f t="shared" si="18"/>
        <v>LKA</v>
      </c>
      <c r="P590" s="53" t="s">
        <v>379</v>
      </c>
    </row>
    <row r="591" spans="1:16" s="53" customFormat="1" x14ac:dyDescent="0.25">
      <c r="A591" s="58" t="str">
        <f t="shared" si="19"/>
        <v>XI KA 530</v>
      </c>
      <c r="B591" s="171">
        <f>COUNTIF(H$2:H591,H591)</f>
        <v>30</v>
      </c>
      <c r="C591" s="168">
        <v>102419308</v>
      </c>
      <c r="D591" s="168" t="s">
        <v>4452</v>
      </c>
      <c r="E591" s="168" t="s">
        <v>4852</v>
      </c>
      <c r="F591" s="198" t="s">
        <v>4038</v>
      </c>
      <c r="G591" s="168" t="s">
        <v>381</v>
      </c>
      <c r="H591" s="168" t="s">
        <v>3826</v>
      </c>
      <c r="I591" s="5" t="s">
        <v>5674</v>
      </c>
      <c r="J591" s="5" t="s">
        <v>5673</v>
      </c>
      <c r="K591" s="5" t="str">
        <f t="shared" si="18"/>
        <v>PKA</v>
      </c>
      <c r="P591" s="53" t="s">
        <v>381</v>
      </c>
    </row>
    <row r="592" spans="1:16" s="53" customFormat="1" x14ac:dyDescent="0.25">
      <c r="A592" s="58" t="str">
        <f t="shared" si="19"/>
        <v>XI KA 531</v>
      </c>
      <c r="B592" s="171">
        <f>COUNTIF(H$2:H592,H592)</f>
        <v>31</v>
      </c>
      <c r="C592" s="168">
        <v>102419309</v>
      </c>
      <c r="D592" s="168" t="s">
        <v>4453</v>
      </c>
      <c r="E592" s="168" t="s">
        <v>4853</v>
      </c>
      <c r="F592" s="198" t="s">
        <v>4039</v>
      </c>
      <c r="G592" s="168" t="s">
        <v>381</v>
      </c>
      <c r="H592" s="168" t="s">
        <v>3826</v>
      </c>
      <c r="I592" s="5" t="s">
        <v>5674</v>
      </c>
      <c r="J592" s="5" t="s">
        <v>5673</v>
      </c>
      <c r="K592" s="5" t="str">
        <f t="shared" si="18"/>
        <v>PKA</v>
      </c>
      <c r="P592" s="53" t="s">
        <v>381</v>
      </c>
    </row>
    <row r="593" spans="1:16" s="53" customFormat="1" x14ac:dyDescent="0.25">
      <c r="A593" s="58" t="str">
        <f t="shared" si="19"/>
        <v>XI KA 532</v>
      </c>
      <c r="B593" s="171">
        <f>COUNTIF(H$2:H593,H593)</f>
        <v>32</v>
      </c>
      <c r="C593" s="168">
        <v>102419310</v>
      </c>
      <c r="D593" s="168" t="s">
        <v>4454</v>
      </c>
      <c r="E593" s="168" t="s">
        <v>4854</v>
      </c>
      <c r="F593" s="198" t="s">
        <v>4040</v>
      </c>
      <c r="G593" s="168" t="s">
        <v>381</v>
      </c>
      <c r="H593" s="168" t="s">
        <v>3826</v>
      </c>
      <c r="I593" s="5" t="s">
        <v>5674</v>
      </c>
      <c r="J593" s="5" t="s">
        <v>5673</v>
      </c>
      <c r="K593" s="5" t="str">
        <f t="shared" si="18"/>
        <v>PKA</v>
      </c>
      <c r="P593" s="53" t="s">
        <v>381</v>
      </c>
    </row>
    <row r="594" spans="1:16" s="53" customFormat="1" x14ac:dyDescent="0.25">
      <c r="A594" s="58" t="str">
        <f t="shared" si="19"/>
        <v>XI KA 533</v>
      </c>
      <c r="B594" s="171">
        <f>COUNTIF(H$2:H594,H594)</f>
        <v>33</v>
      </c>
      <c r="C594" s="168">
        <v>102419311</v>
      </c>
      <c r="D594" s="168" t="s">
        <v>4455</v>
      </c>
      <c r="E594" s="168" t="s">
        <v>4855</v>
      </c>
      <c r="F594" s="198" t="s">
        <v>4041</v>
      </c>
      <c r="G594" s="168" t="s">
        <v>381</v>
      </c>
      <c r="H594" s="168" t="s">
        <v>3826</v>
      </c>
      <c r="I594" s="5" t="s">
        <v>5674</v>
      </c>
      <c r="J594" s="5" t="s">
        <v>5673</v>
      </c>
      <c r="K594" s="5" t="str">
        <f t="shared" si="18"/>
        <v>PKA</v>
      </c>
      <c r="P594" s="53" t="s">
        <v>381</v>
      </c>
    </row>
    <row r="595" spans="1:16" s="53" customFormat="1" x14ac:dyDescent="0.25">
      <c r="A595" s="58" t="str">
        <f t="shared" si="19"/>
        <v>XI KA 534</v>
      </c>
      <c r="B595" s="171">
        <f>COUNTIF(H$2:H595,H595)</f>
        <v>34</v>
      </c>
      <c r="C595" s="168">
        <v>102419312</v>
      </c>
      <c r="D595" s="168" t="s">
        <v>4456</v>
      </c>
      <c r="E595" s="168" t="s">
        <v>4856</v>
      </c>
      <c r="F595" s="198" t="s">
        <v>4042</v>
      </c>
      <c r="G595" s="168" t="s">
        <v>381</v>
      </c>
      <c r="H595" s="168" t="s">
        <v>3826</v>
      </c>
      <c r="I595" s="5" t="s">
        <v>5674</v>
      </c>
      <c r="J595" s="5" t="s">
        <v>5673</v>
      </c>
      <c r="K595" s="5" t="str">
        <f t="shared" si="18"/>
        <v>PKA</v>
      </c>
      <c r="P595" s="53" t="s">
        <v>381</v>
      </c>
    </row>
    <row r="596" spans="1:16" s="53" customFormat="1" x14ac:dyDescent="0.25">
      <c r="A596" s="58" t="str">
        <f t="shared" si="19"/>
        <v>XI KA 535</v>
      </c>
      <c r="B596" s="171">
        <f>COUNTIF(H$2:H596,H596)</f>
        <v>35</v>
      </c>
      <c r="C596" s="168">
        <v>102419313</v>
      </c>
      <c r="D596" s="168" t="s">
        <v>4457</v>
      </c>
      <c r="E596" s="168" t="s">
        <v>4857</v>
      </c>
      <c r="F596" s="198" t="s">
        <v>4043</v>
      </c>
      <c r="G596" s="168" t="s">
        <v>381</v>
      </c>
      <c r="H596" s="168" t="s">
        <v>3826</v>
      </c>
      <c r="I596" s="5" t="s">
        <v>5674</v>
      </c>
      <c r="J596" s="5" t="s">
        <v>5673</v>
      </c>
      <c r="K596" s="5" t="str">
        <f t="shared" si="18"/>
        <v>PKA</v>
      </c>
      <c r="P596" s="53" t="s">
        <v>381</v>
      </c>
    </row>
    <row r="597" spans="1:16" s="53" customFormat="1" x14ac:dyDescent="0.25">
      <c r="A597" s="58" t="str">
        <f t="shared" si="19"/>
        <v>XI KA 61</v>
      </c>
      <c r="B597" s="171">
        <f>COUNTIF(H$2:H597,H597)</f>
        <v>1</v>
      </c>
      <c r="C597" s="168">
        <v>102419314</v>
      </c>
      <c r="D597" s="168" t="s">
        <v>4458</v>
      </c>
      <c r="E597" s="168" t="s">
        <v>4858</v>
      </c>
      <c r="F597" s="198" t="s">
        <v>4044</v>
      </c>
      <c r="G597" s="168" t="s">
        <v>379</v>
      </c>
      <c r="H597" s="168" t="s">
        <v>3827</v>
      </c>
      <c r="I597" s="5" t="s">
        <v>5674</v>
      </c>
      <c r="J597" s="5" t="s">
        <v>5673</v>
      </c>
      <c r="K597" s="5" t="str">
        <f t="shared" si="18"/>
        <v>LKA</v>
      </c>
      <c r="P597" s="53" t="s">
        <v>379</v>
      </c>
    </row>
    <row r="598" spans="1:16" s="53" customFormat="1" x14ac:dyDescent="0.25">
      <c r="A598" s="58" t="str">
        <f t="shared" si="19"/>
        <v>XI KA 62</v>
      </c>
      <c r="B598" s="171">
        <f>COUNTIF(H$2:H598,H598)</f>
        <v>2</v>
      </c>
      <c r="C598" s="168">
        <v>102419315</v>
      </c>
      <c r="D598" s="168" t="s">
        <v>4459</v>
      </c>
      <c r="E598" s="168" t="s">
        <v>4859</v>
      </c>
      <c r="F598" s="198" t="s">
        <v>4045</v>
      </c>
      <c r="G598" s="168" t="s">
        <v>381</v>
      </c>
      <c r="H598" s="168" t="s">
        <v>3827</v>
      </c>
      <c r="I598" s="5" t="s">
        <v>5674</v>
      </c>
      <c r="J598" s="5" t="s">
        <v>5673</v>
      </c>
      <c r="K598" s="5" t="str">
        <f t="shared" si="18"/>
        <v>PKA</v>
      </c>
      <c r="P598" s="53" t="s">
        <v>381</v>
      </c>
    </row>
    <row r="599" spans="1:16" s="53" customFormat="1" x14ac:dyDescent="0.25">
      <c r="A599" s="58" t="str">
        <f t="shared" si="19"/>
        <v>XI KA 63</v>
      </c>
      <c r="B599" s="171">
        <f>COUNTIF(H$2:H599,H599)</f>
        <v>3</v>
      </c>
      <c r="C599" s="168">
        <v>102419316</v>
      </c>
      <c r="D599" s="168" t="s">
        <v>4460</v>
      </c>
      <c r="E599" s="168" t="s">
        <v>4860</v>
      </c>
      <c r="F599" s="198" t="s">
        <v>4046</v>
      </c>
      <c r="G599" s="168" t="s">
        <v>381</v>
      </c>
      <c r="H599" s="168" t="s">
        <v>3827</v>
      </c>
      <c r="I599" s="5" t="s">
        <v>5674</v>
      </c>
      <c r="J599" s="5" t="s">
        <v>5673</v>
      </c>
      <c r="K599" s="5" t="str">
        <f t="shared" si="18"/>
        <v>PKA</v>
      </c>
      <c r="P599" s="53" t="s">
        <v>381</v>
      </c>
    </row>
    <row r="600" spans="1:16" s="53" customFormat="1" x14ac:dyDescent="0.25">
      <c r="A600" s="58" t="str">
        <f t="shared" si="19"/>
        <v>XI KA 64</v>
      </c>
      <c r="B600" s="171">
        <f>COUNTIF(H$2:H600,H600)</f>
        <v>4</v>
      </c>
      <c r="C600" s="168">
        <v>102419317</v>
      </c>
      <c r="D600" s="168" t="s">
        <v>4461</v>
      </c>
      <c r="E600" s="168" t="s">
        <v>4861</v>
      </c>
      <c r="F600" s="198" t="s">
        <v>4047</v>
      </c>
      <c r="G600" s="168" t="s">
        <v>381</v>
      </c>
      <c r="H600" s="168" t="s">
        <v>3827</v>
      </c>
      <c r="I600" s="5" t="s">
        <v>5674</v>
      </c>
      <c r="J600" s="5" t="s">
        <v>5673</v>
      </c>
      <c r="K600" s="5" t="str">
        <f t="shared" si="18"/>
        <v>PKA</v>
      </c>
      <c r="P600" s="53" t="s">
        <v>381</v>
      </c>
    </row>
    <row r="601" spans="1:16" s="53" customFormat="1" x14ac:dyDescent="0.25">
      <c r="A601" s="58" t="str">
        <f t="shared" si="19"/>
        <v>XI KA 65</v>
      </c>
      <c r="B601" s="171">
        <f>COUNTIF(H$2:H601,H601)</f>
        <v>5</v>
      </c>
      <c r="C601" s="168">
        <v>102419318</v>
      </c>
      <c r="D601" s="168" t="s">
        <v>4462</v>
      </c>
      <c r="E601" s="168" t="s">
        <v>4862</v>
      </c>
      <c r="F601" s="198" t="s">
        <v>3908</v>
      </c>
      <c r="G601" s="168" t="s">
        <v>381</v>
      </c>
      <c r="H601" s="168" t="s">
        <v>3827</v>
      </c>
      <c r="I601" s="5" t="s">
        <v>5674</v>
      </c>
      <c r="J601" s="5" t="s">
        <v>5673</v>
      </c>
      <c r="K601" s="5" t="str">
        <f t="shared" si="18"/>
        <v>PKA</v>
      </c>
      <c r="P601" s="53" t="s">
        <v>381</v>
      </c>
    </row>
    <row r="602" spans="1:16" s="53" customFormat="1" x14ac:dyDescent="0.25">
      <c r="A602" s="58" t="str">
        <f t="shared" si="19"/>
        <v>XI KA 66</v>
      </c>
      <c r="B602" s="171">
        <f>COUNTIF(H$2:H602,H602)</f>
        <v>6</v>
      </c>
      <c r="C602" s="168">
        <v>102419319</v>
      </c>
      <c r="D602" s="168" t="s">
        <v>4463</v>
      </c>
      <c r="E602" s="168" t="s">
        <v>4863</v>
      </c>
      <c r="F602" s="198" t="s">
        <v>4048</v>
      </c>
      <c r="G602" s="168" t="s">
        <v>381</v>
      </c>
      <c r="H602" s="168" t="s">
        <v>3827</v>
      </c>
      <c r="I602" s="5" t="s">
        <v>5674</v>
      </c>
      <c r="J602" s="5" t="s">
        <v>5673</v>
      </c>
      <c r="K602" s="5" t="str">
        <f t="shared" si="18"/>
        <v>PKA</v>
      </c>
      <c r="P602" s="53" t="s">
        <v>381</v>
      </c>
    </row>
    <row r="603" spans="1:16" s="53" customFormat="1" x14ac:dyDescent="0.25">
      <c r="A603" s="58" t="str">
        <f t="shared" si="19"/>
        <v>XI KA 67</v>
      </c>
      <c r="B603" s="171">
        <f>COUNTIF(H$2:H603,H603)</f>
        <v>7</v>
      </c>
      <c r="C603" s="168">
        <v>102419320</v>
      </c>
      <c r="D603" s="168" t="s">
        <v>4464</v>
      </c>
      <c r="E603" s="168" t="s">
        <v>4864</v>
      </c>
      <c r="F603" s="198" t="s">
        <v>4049</v>
      </c>
      <c r="G603" s="168" t="s">
        <v>381</v>
      </c>
      <c r="H603" s="168" t="s">
        <v>3827</v>
      </c>
      <c r="I603" s="5" t="s">
        <v>5674</v>
      </c>
      <c r="J603" s="5" t="s">
        <v>5673</v>
      </c>
      <c r="K603" s="5" t="str">
        <f t="shared" si="18"/>
        <v>PKA</v>
      </c>
      <c r="P603" s="53" t="s">
        <v>381</v>
      </c>
    </row>
    <row r="604" spans="1:16" s="53" customFormat="1" x14ac:dyDescent="0.25">
      <c r="A604" s="58" t="str">
        <f t="shared" si="19"/>
        <v>XI KA 68</v>
      </c>
      <c r="B604" s="171">
        <f>COUNTIF(H$2:H604,H604)</f>
        <v>8</v>
      </c>
      <c r="C604" s="168">
        <v>102419321</v>
      </c>
      <c r="D604" s="168" t="s">
        <v>4465</v>
      </c>
      <c r="E604" s="168" t="s">
        <v>4865</v>
      </c>
      <c r="F604" s="198" t="s">
        <v>4050</v>
      </c>
      <c r="G604" s="168" t="s">
        <v>379</v>
      </c>
      <c r="H604" s="168" t="s">
        <v>3827</v>
      </c>
      <c r="I604" s="5" t="s">
        <v>5674</v>
      </c>
      <c r="J604" s="5" t="s">
        <v>5673</v>
      </c>
      <c r="K604" s="5" t="str">
        <f t="shared" si="18"/>
        <v>LKA</v>
      </c>
      <c r="P604" s="53" t="s">
        <v>379</v>
      </c>
    </row>
    <row r="605" spans="1:16" s="53" customFormat="1" x14ac:dyDescent="0.25">
      <c r="A605" s="58" t="str">
        <f t="shared" si="19"/>
        <v>XI KA 69</v>
      </c>
      <c r="B605" s="171">
        <f>COUNTIF(H$2:H605,H605)</f>
        <v>9</v>
      </c>
      <c r="C605" s="168">
        <v>102419322</v>
      </c>
      <c r="D605" s="168" t="s">
        <v>4466</v>
      </c>
      <c r="E605" s="168" t="s">
        <v>4866</v>
      </c>
      <c r="F605" s="198" t="s">
        <v>4051</v>
      </c>
      <c r="G605" s="168" t="s">
        <v>381</v>
      </c>
      <c r="H605" s="168" t="s">
        <v>3827</v>
      </c>
      <c r="I605" s="5" t="s">
        <v>5674</v>
      </c>
      <c r="J605" s="5" t="s">
        <v>5673</v>
      </c>
      <c r="K605" s="5" t="str">
        <f t="shared" si="18"/>
        <v>PKA</v>
      </c>
      <c r="P605" s="53" t="s">
        <v>381</v>
      </c>
    </row>
    <row r="606" spans="1:16" s="53" customFormat="1" x14ac:dyDescent="0.25">
      <c r="A606" s="58" t="str">
        <f t="shared" si="19"/>
        <v>XI KA 610</v>
      </c>
      <c r="B606" s="171">
        <f>COUNTIF(H$2:H606,H606)</f>
        <v>10</v>
      </c>
      <c r="C606" s="168">
        <v>102419323</v>
      </c>
      <c r="D606" s="168" t="s">
        <v>4467</v>
      </c>
      <c r="E606" s="168" t="s">
        <v>4867</v>
      </c>
      <c r="F606" s="198" t="s">
        <v>4052</v>
      </c>
      <c r="G606" s="168" t="s">
        <v>381</v>
      </c>
      <c r="H606" s="168" t="s">
        <v>3827</v>
      </c>
      <c r="I606" s="5" t="s">
        <v>5674</v>
      </c>
      <c r="J606" s="5" t="s">
        <v>5673</v>
      </c>
      <c r="K606" s="5" t="str">
        <f t="shared" si="18"/>
        <v>PKA</v>
      </c>
      <c r="P606" s="53" t="s">
        <v>381</v>
      </c>
    </row>
    <row r="607" spans="1:16" s="53" customFormat="1" x14ac:dyDescent="0.25">
      <c r="A607" s="58" t="str">
        <f t="shared" si="19"/>
        <v>XI KA 611</v>
      </c>
      <c r="B607" s="171">
        <f>COUNTIF(H$2:H607,H607)</f>
        <v>11</v>
      </c>
      <c r="C607" s="168">
        <v>102419324</v>
      </c>
      <c r="D607" s="168" t="s">
        <v>4468</v>
      </c>
      <c r="E607" s="168" t="s">
        <v>4868</v>
      </c>
      <c r="F607" s="198" t="s">
        <v>4053</v>
      </c>
      <c r="G607" s="168" t="s">
        <v>379</v>
      </c>
      <c r="H607" s="168" t="s">
        <v>3827</v>
      </c>
      <c r="I607" s="5" t="s">
        <v>5674</v>
      </c>
      <c r="J607" s="5" t="s">
        <v>5673</v>
      </c>
      <c r="K607" s="5" t="str">
        <f t="shared" si="18"/>
        <v>LKA</v>
      </c>
      <c r="P607" s="53" t="s">
        <v>379</v>
      </c>
    </row>
    <row r="608" spans="1:16" s="53" customFormat="1" x14ac:dyDescent="0.25">
      <c r="A608" s="58" t="str">
        <f t="shared" si="19"/>
        <v>XI KA 612</v>
      </c>
      <c r="B608" s="171">
        <f>COUNTIF(H$2:H608,H608)</f>
        <v>12</v>
      </c>
      <c r="C608" s="168">
        <v>102419325</v>
      </c>
      <c r="D608" s="168" t="s">
        <v>4469</v>
      </c>
      <c r="E608" s="168" t="s">
        <v>4869</v>
      </c>
      <c r="F608" s="198" t="s">
        <v>4054</v>
      </c>
      <c r="G608" s="168" t="s">
        <v>379</v>
      </c>
      <c r="H608" s="168" t="s">
        <v>3827</v>
      </c>
      <c r="I608" s="5" t="s">
        <v>5674</v>
      </c>
      <c r="J608" s="5" t="s">
        <v>5673</v>
      </c>
      <c r="K608" s="5" t="str">
        <f t="shared" si="18"/>
        <v>LKA</v>
      </c>
      <c r="P608" s="53" t="s">
        <v>379</v>
      </c>
    </row>
    <row r="609" spans="1:16" s="53" customFormat="1" x14ac:dyDescent="0.25">
      <c r="A609" s="58" t="str">
        <f t="shared" si="19"/>
        <v>XI KA 613</v>
      </c>
      <c r="B609" s="171">
        <f>COUNTIF(H$2:H609,H609)</f>
        <v>13</v>
      </c>
      <c r="C609" s="168">
        <v>102419326</v>
      </c>
      <c r="D609" s="168" t="s">
        <v>4470</v>
      </c>
      <c r="E609" s="168" t="s">
        <v>4870</v>
      </c>
      <c r="F609" s="198" t="s">
        <v>4056</v>
      </c>
      <c r="G609" s="168" t="s">
        <v>379</v>
      </c>
      <c r="H609" s="168" t="s">
        <v>3827</v>
      </c>
      <c r="I609" s="5" t="s">
        <v>5674</v>
      </c>
      <c r="J609" s="5" t="s">
        <v>5673</v>
      </c>
      <c r="K609" s="5" t="str">
        <f t="shared" si="18"/>
        <v>LKA</v>
      </c>
      <c r="P609" s="53" t="s">
        <v>379</v>
      </c>
    </row>
    <row r="610" spans="1:16" s="53" customFormat="1" x14ac:dyDescent="0.25">
      <c r="A610" s="58" t="str">
        <f t="shared" si="19"/>
        <v>XI KA 614</v>
      </c>
      <c r="B610" s="171">
        <f>COUNTIF(H$2:H610,H610)</f>
        <v>14</v>
      </c>
      <c r="C610" s="168">
        <v>102419327</v>
      </c>
      <c r="D610" s="168" t="s">
        <v>4471</v>
      </c>
      <c r="E610" s="168" t="s">
        <v>4871</v>
      </c>
      <c r="F610" s="198" t="s">
        <v>4058</v>
      </c>
      <c r="G610" s="168" t="s">
        <v>379</v>
      </c>
      <c r="H610" s="168" t="s">
        <v>3827</v>
      </c>
      <c r="I610" s="5" t="s">
        <v>5674</v>
      </c>
      <c r="J610" s="5" t="s">
        <v>5673</v>
      </c>
      <c r="K610" s="5" t="str">
        <f t="shared" si="18"/>
        <v>LKA</v>
      </c>
      <c r="P610" s="53" t="s">
        <v>379</v>
      </c>
    </row>
    <row r="611" spans="1:16" s="53" customFormat="1" x14ac:dyDescent="0.25">
      <c r="A611" s="58" t="str">
        <f t="shared" si="19"/>
        <v>XI KA 615</v>
      </c>
      <c r="B611" s="171">
        <f>COUNTIF(H$2:H611,H611)</f>
        <v>15</v>
      </c>
      <c r="C611" s="168">
        <v>102419328</v>
      </c>
      <c r="D611" s="168" t="s">
        <v>4472</v>
      </c>
      <c r="E611" s="168" t="s">
        <v>4872</v>
      </c>
      <c r="F611" s="198" t="s">
        <v>4059</v>
      </c>
      <c r="G611" s="168" t="s">
        <v>381</v>
      </c>
      <c r="H611" s="168" t="s">
        <v>3827</v>
      </c>
      <c r="I611" s="5" t="s">
        <v>5674</v>
      </c>
      <c r="J611" s="5" t="s">
        <v>5673</v>
      </c>
      <c r="K611" s="5" t="str">
        <f t="shared" si="18"/>
        <v>PKA</v>
      </c>
      <c r="P611" s="53" t="s">
        <v>381</v>
      </c>
    </row>
    <row r="612" spans="1:16" s="53" customFormat="1" x14ac:dyDescent="0.25">
      <c r="A612" s="58" t="str">
        <f t="shared" si="19"/>
        <v>XI KA 616</v>
      </c>
      <c r="B612" s="171">
        <f>COUNTIF(H$2:H612,H612)</f>
        <v>16</v>
      </c>
      <c r="C612" s="168">
        <v>102419329</v>
      </c>
      <c r="D612" s="168" t="s">
        <v>4473</v>
      </c>
      <c r="E612" s="168" t="s">
        <v>4873</v>
      </c>
      <c r="F612" s="198" t="s">
        <v>4060</v>
      </c>
      <c r="G612" s="168" t="s">
        <v>379</v>
      </c>
      <c r="H612" s="168" t="s">
        <v>3827</v>
      </c>
      <c r="I612" s="5" t="s">
        <v>5674</v>
      </c>
      <c r="J612" s="5" t="s">
        <v>5673</v>
      </c>
      <c r="K612" s="5" t="str">
        <f t="shared" si="18"/>
        <v>LKA</v>
      </c>
      <c r="P612" s="53" t="s">
        <v>379</v>
      </c>
    </row>
    <row r="613" spans="1:16" s="53" customFormat="1" x14ac:dyDescent="0.25">
      <c r="A613" s="58" t="str">
        <f t="shared" si="19"/>
        <v>XI KA 617</v>
      </c>
      <c r="B613" s="171">
        <f>COUNTIF(H$2:H613,H613)</f>
        <v>17</v>
      </c>
      <c r="C613" s="168">
        <v>102419330</v>
      </c>
      <c r="D613" s="168" t="s">
        <v>4474</v>
      </c>
      <c r="E613" s="168" t="s">
        <v>4874</v>
      </c>
      <c r="F613" s="198" t="s">
        <v>3912</v>
      </c>
      <c r="G613" s="168" t="s">
        <v>381</v>
      </c>
      <c r="H613" s="168" t="s">
        <v>3827</v>
      </c>
      <c r="I613" s="5" t="s">
        <v>5674</v>
      </c>
      <c r="J613" s="5" t="s">
        <v>5673</v>
      </c>
      <c r="K613" s="5" t="str">
        <f t="shared" si="18"/>
        <v>PKA</v>
      </c>
      <c r="P613" s="53" t="s">
        <v>381</v>
      </c>
    </row>
    <row r="614" spans="1:16" s="53" customFormat="1" x14ac:dyDescent="0.25">
      <c r="A614" s="58" t="str">
        <f t="shared" si="19"/>
        <v>XI KA 618</v>
      </c>
      <c r="B614" s="171">
        <f>COUNTIF(H$2:H614,H614)</f>
        <v>18</v>
      </c>
      <c r="C614" s="168">
        <v>102419331</v>
      </c>
      <c r="D614" s="168" t="s">
        <v>4475</v>
      </c>
      <c r="E614" s="168" t="s">
        <v>4875</v>
      </c>
      <c r="F614" s="198" t="s">
        <v>4061</v>
      </c>
      <c r="G614" s="168" t="s">
        <v>381</v>
      </c>
      <c r="H614" s="168" t="s">
        <v>3827</v>
      </c>
      <c r="I614" s="5" t="s">
        <v>5674</v>
      </c>
      <c r="J614" s="5" t="s">
        <v>5673</v>
      </c>
      <c r="K614" s="5" t="str">
        <f t="shared" si="18"/>
        <v>PKA</v>
      </c>
      <c r="P614" s="53" t="s">
        <v>381</v>
      </c>
    </row>
    <row r="615" spans="1:16" s="53" customFormat="1" x14ac:dyDescent="0.25">
      <c r="A615" s="58" t="str">
        <f t="shared" si="19"/>
        <v>XI KA 619</v>
      </c>
      <c r="B615" s="171">
        <f>COUNTIF(H$2:H615,H615)</f>
        <v>19</v>
      </c>
      <c r="C615" s="168">
        <v>102419332</v>
      </c>
      <c r="D615" s="168" t="s">
        <v>4476</v>
      </c>
      <c r="E615" s="168" t="s">
        <v>4876</v>
      </c>
      <c r="F615" s="198" t="s">
        <v>4062</v>
      </c>
      <c r="G615" s="168" t="s">
        <v>381</v>
      </c>
      <c r="H615" s="168" t="s">
        <v>3827</v>
      </c>
      <c r="I615" s="5" t="s">
        <v>5674</v>
      </c>
      <c r="J615" s="5" t="s">
        <v>5673</v>
      </c>
      <c r="K615" s="5" t="str">
        <f t="shared" si="18"/>
        <v>PKA</v>
      </c>
      <c r="P615" s="53" t="s">
        <v>381</v>
      </c>
    </row>
    <row r="616" spans="1:16" s="53" customFormat="1" x14ac:dyDescent="0.25">
      <c r="A616" s="58" t="str">
        <f t="shared" si="19"/>
        <v>XI KA 620</v>
      </c>
      <c r="B616" s="171">
        <f>COUNTIF(H$2:H616,H616)</f>
        <v>20</v>
      </c>
      <c r="C616" s="168">
        <v>102419333</v>
      </c>
      <c r="D616" s="168" t="s">
        <v>4477</v>
      </c>
      <c r="E616" s="168" t="s">
        <v>4877</v>
      </c>
      <c r="F616" s="198" t="s">
        <v>4063</v>
      </c>
      <c r="G616" s="168" t="s">
        <v>381</v>
      </c>
      <c r="H616" s="168" t="s">
        <v>3827</v>
      </c>
      <c r="I616" s="5" t="s">
        <v>5674</v>
      </c>
      <c r="J616" s="5" t="s">
        <v>5673</v>
      </c>
      <c r="K616" s="5" t="str">
        <f t="shared" si="18"/>
        <v>PKA</v>
      </c>
      <c r="P616" s="53" t="s">
        <v>381</v>
      </c>
    </row>
    <row r="617" spans="1:16" s="53" customFormat="1" x14ac:dyDescent="0.25">
      <c r="A617" s="58" t="str">
        <f t="shared" si="19"/>
        <v>XI KA 621</v>
      </c>
      <c r="B617" s="171">
        <f>COUNTIF(H$2:H617,H617)</f>
        <v>21</v>
      </c>
      <c r="C617" s="168">
        <v>102419334</v>
      </c>
      <c r="D617" s="168" t="s">
        <v>4478</v>
      </c>
      <c r="E617" s="168" t="s">
        <v>4878</v>
      </c>
      <c r="F617" s="198" t="s">
        <v>4064</v>
      </c>
      <c r="G617" s="168" t="s">
        <v>381</v>
      </c>
      <c r="H617" s="168" t="s">
        <v>3827</v>
      </c>
      <c r="I617" s="5" t="s">
        <v>5674</v>
      </c>
      <c r="J617" s="5" t="s">
        <v>5673</v>
      </c>
      <c r="K617" s="5" t="str">
        <f t="shared" ref="K617:K680" si="20">G617&amp;J617</f>
        <v>PKA</v>
      </c>
      <c r="P617" s="53" t="s">
        <v>381</v>
      </c>
    </row>
    <row r="618" spans="1:16" s="53" customFormat="1" x14ac:dyDescent="0.25">
      <c r="A618" s="58" t="str">
        <f t="shared" ref="A618:A681" si="21">H618&amp;B618</f>
        <v>XI KA 622</v>
      </c>
      <c r="B618" s="171">
        <f>COUNTIF(H$2:H618,H618)</f>
        <v>22</v>
      </c>
      <c r="C618" s="168">
        <v>102419335</v>
      </c>
      <c r="D618" s="168" t="s">
        <v>4479</v>
      </c>
      <c r="E618" s="168" t="s">
        <v>4879</v>
      </c>
      <c r="F618" s="198" t="s">
        <v>4065</v>
      </c>
      <c r="G618" s="168" t="s">
        <v>379</v>
      </c>
      <c r="H618" s="168" t="s">
        <v>3827</v>
      </c>
      <c r="I618" s="5" t="s">
        <v>5674</v>
      </c>
      <c r="J618" s="5" t="s">
        <v>5673</v>
      </c>
      <c r="K618" s="5" t="str">
        <f t="shared" si="20"/>
        <v>LKA</v>
      </c>
      <c r="P618" s="53" t="s">
        <v>379</v>
      </c>
    </row>
    <row r="619" spans="1:16" s="53" customFormat="1" x14ac:dyDescent="0.25">
      <c r="A619" s="58" t="str">
        <f t="shared" si="21"/>
        <v>XI KA 623</v>
      </c>
      <c r="B619" s="171">
        <f>COUNTIF(H$2:H619,H619)</f>
        <v>23</v>
      </c>
      <c r="C619" s="168">
        <v>102419336</v>
      </c>
      <c r="D619" s="168" t="s">
        <v>4480</v>
      </c>
      <c r="E619" s="168" t="s">
        <v>4880</v>
      </c>
      <c r="F619" s="198" t="s">
        <v>4067</v>
      </c>
      <c r="G619" s="168" t="s">
        <v>381</v>
      </c>
      <c r="H619" s="168" t="s">
        <v>3827</v>
      </c>
      <c r="I619" s="5" t="s">
        <v>5674</v>
      </c>
      <c r="J619" s="5" t="s">
        <v>5673</v>
      </c>
      <c r="K619" s="5" t="str">
        <f t="shared" si="20"/>
        <v>PKA</v>
      </c>
      <c r="P619" s="53" t="s">
        <v>381</v>
      </c>
    </row>
    <row r="620" spans="1:16" s="53" customFormat="1" x14ac:dyDescent="0.25">
      <c r="A620" s="58" t="str">
        <f t="shared" si="21"/>
        <v>XI KA 624</v>
      </c>
      <c r="B620" s="171">
        <f>COUNTIF(H$2:H620,H620)</f>
        <v>24</v>
      </c>
      <c r="C620" s="168">
        <v>102419337</v>
      </c>
      <c r="D620" s="168" t="s">
        <v>4481</v>
      </c>
      <c r="E620" s="168" t="s">
        <v>4881</v>
      </c>
      <c r="F620" s="198" t="s">
        <v>3922</v>
      </c>
      <c r="G620" s="168" t="s">
        <v>381</v>
      </c>
      <c r="H620" s="168" t="s">
        <v>3827</v>
      </c>
      <c r="I620" s="5" t="s">
        <v>5674</v>
      </c>
      <c r="J620" s="5" t="s">
        <v>5673</v>
      </c>
      <c r="K620" s="5" t="str">
        <f t="shared" si="20"/>
        <v>PKA</v>
      </c>
      <c r="P620" s="53" t="s">
        <v>381</v>
      </c>
    </row>
    <row r="621" spans="1:16" s="53" customFormat="1" x14ac:dyDescent="0.25">
      <c r="A621" s="58" t="str">
        <f t="shared" si="21"/>
        <v>XI KA 625</v>
      </c>
      <c r="B621" s="171">
        <f>COUNTIF(H$2:H621,H621)</f>
        <v>25</v>
      </c>
      <c r="C621" s="168">
        <v>102419338</v>
      </c>
      <c r="D621" s="168" t="s">
        <v>4482</v>
      </c>
      <c r="E621" s="168" t="s">
        <v>4882</v>
      </c>
      <c r="F621" s="198" t="s">
        <v>4068</v>
      </c>
      <c r="G621" s="168" t="s">
        <v>381</v>
      </c>
      <c r="H621" s="168" t="s">
        <v>3827</v>
      </c>
      <c r="I621" s="5" t="s">
        <v>5674</v>
      </c>
      <c r="J621" s="5" t="s">
        <v>5673</v>
      </c>
      <c r="K621" s="5" t="str">
        <f t="shared" si="20"/>
        <v>PKA</v>
      </c>
      <c r="P621" s="53" t="s">
        <v>381</v>
      </c>
    </row>
    <row r="622" spans="1:16" s="53" customFormat="1" x14ac:dyDescent="0.25">
      <c r="A622" s="58" t="str">
        <f t="shared" si="21"/>
        <v>XI KA 626</v>
      </c>
      <c r="B622" s="171">
        <f>COUNTIF(H$2:H622,H622)</f>
        <v>26</v>
      </c>
      <c r="C622" s="168">
        <v>102419339</v>
      </c>
      <c r="D622" s="168" t="s">
        <v>4483</v>
      </c>
      <c r="E622" s="168" t="s">
        <v>4883</v>
      </c>
      <c r="F622" s="198" t="s">
        <v>4070</v>
      </c>
      <c r="G622" s="168" t="s">
        <v>381</v>
      </c>
      <c r="H622" s="168" t="s">
        <v>3827</v>
      </c>
      <c r="I622" s="5" t="s">
        <v>5674</v>
      </c>
      <c r="J622" s="5" t="s">
        <v>5673</v>
      </c>
      <c r="K622" s="5" t="str">
        <f t="shared" si="20"/>
        <v>PKA</v>
      </c>
      <c r="P622" s="53" t="s">
        <v>381</v>
      </c>
    </row>
    <row r="623" spans="1:16" s="53" customFormat="1" x14ac:dyDescent="0.25">
      <c r="A623" s="58" t="str">
        <f t="shared" si="21"/>
        <v>XI KA 627</v>
      </c>
      <c r="B623" s="171">
        <f>COUNTIF(H$2:H623,H623)</f>
        <v>27</v>
      </c>
      <c r="C623" s="168">
        <v>102419340</v>
      </c>
      <c r="D623" s="168" t="s">
        <v>4484</v>
      </c>
      <c r="E623" s="168" t="s">
        <v>4884</v>
      </c>
      <c r="F623" s="198" t="s">
        <v>4071</v>
      </c>
      <c r="G623" s="168" t="s">
        <v>381</v>
      </c>
      <c r="H623" s="168" t="s">
        <v>3827</v>
      </c>
      <c r="I623" s="5" t="s">
        <v>5674</v>
      </c>
      <c r="J623" s="5" t="s">
        <v>5673</v>
      </c>
      <c r="K623" s="5" t="str">
        <f t="shared" si="20"/>
        <v>PKA</v>
      </c>
      <c r="P623" s="53" t="s">
        <v>381</v>
      </c>
    </row>
    <row r="624" spans="1:16" s="53" customFormat="1" x14ac:dyDescent="0.25">
      <c r="A624" s="58" t="str">
        <f t="shared" si="21"/>
        <v>XI KA 628</v>
      </c>
      <c r="B624" s="171">
        <f>COUNTIF(H$2:H624,H624)</f>
        <v>28</v>
      </c>
      <c r="C624" s="168">
        <v>102419341</v>
      </c>
      <c r="D624" s="168" t="s">
        <v>4485</v>
      </c>
      <c r="E624" s="168" t="s">
        <v>4885</v>
      </c>
      <c r="F624" s="198" t="s">
        <v>4072</v>
      </c>
      <c r="G624" s="168" t="s">
        <v>381</v>
      </c>
      <c r="H624" s="168" t="s">
        <v>3827</v>
      </c>
      <c r="I624" s="5" t="s">
        <v>5674</v>
      </c>
      <c r="J624" s="5" t="s">
        <v>5673</v>
      </c>
      <c r="K624" s="5" t="str">
        <f t="shared" si="20"/>
        <v>PKA</v>
      </c>
      <c r="P624" s="53" t="s">
        <v>381</v>
      </c>
    </row>
    <row r="625" spans="1:16" s="53" customFormat="1" x14ac:dyDescent="0.25">
      <c r="A625" s="58" t="str">
        <f t="shared" si="21"/>
        <v>XI KA 629</v>
      </c>
      <c r="B625" s="171">
        <f>COUNTIF(H$2:H625,H625)</f>
        <v>29</v>
      </c>
      <c r="C625" s="168">
        <v>102419342</v>
      </c>
      <c r="D625" s="168" t="s">
        <v>4486</v>
      </c>
      <c r="E625" s="168" t="s">
        <v>4886</v>
      </c>
      <c r="F625" s="198" t="s">
        <v>4073</v>
      </c>
      <c r="G625" s="168" t="s">
        <v>381</v>
      </c>
      <c r="H625" s="168" t="s">
        <v>3827</v>
      </c>
      <c r="I625" s="5" t="s">
        <v>5674</v>
      </c>
      <c r="J625" s="5" t="s">
        <v>5673</v>
      </c>
      <c r="K625" s="5" t="str">
        <f t="shared" si="20"/>
        <v>PKA</v>
      </c>
      <c r="P625" s="53" t="s">
        <v>381</v>
      </c>
    </row>
    <row r="626" spans="1:16" s="53" customFormat="1" x14ac:dyDescent="0.25">
      <c r="A626" s="58" t="str">
        <f t="shared" si="21"/>
        <v>XI KA 630</v>
      </c>
      <c r="B626" s="171">
        <f>COUNTIF(H$2:H626,H626)</f>
        <v>30</v>
      </c>
      <c r="C626" s="168">
        <v>102419343</v>
      </c>
      <c r="D626" s="168" t="s">
        <v>4487</v>
      </c>
      <c r="E626" s="168" t="s">
        <v>4887</v>
      </c>
      <c r="F626" s="198" t="s">
        <v>3930</v>
      </c>
      <c r="G626" s="168" t="s">
        <v>381</v>
      </c>
      <c r="H626" s="168" t="s">
        <v>3827</v>
      </c>
      <c r="I626" s="5" t="s">
        <v>5674</v>
      </c>
      <c r="J626" s="5" t="s">
        <v>5673</v>
      </c>
      <c r="K626" s="5" t="str">
        <f t="shared" si="20"/>
        <v>PKA</v>
      </c>
      <c r="P626" s="53" t="s">
        <v>381</v>
      </c>
    </row>
    <row r="627" spans="1:16" s="53" customFormat="1" x14ac:dyDescent="0.25">
      <c r="A627" s="58" t="str">
        <f t="shared" si="21"/>
        <v>XI KA 631</v>
      </c>
      <c r="B627" s="171">
        <f>COUNTIF(H$2:H627,H627)</f>
        <v>31</v>
      </c>
      <c r="C627" s="168">
        <v>102419344</v>
      </c>
      <c r="D627" s="168" t="s">
        <v>4488</v>
      </c>
      <c r="E627" s="168" t="s">
        <v>4888</v>
      </c>
      <c r="F627" s="198" t="s">
        <v>4074</v>
      </c>
      <c r="G627" s="168" t="s">
        <v>379</v>
      </c>
      <c r="H627" s="168" t="s">
        <v>3827</v>
      </c>
      <c r="I627" s="5" t="s">
        <v>5674</v>
      </c>
      <c r="J627" s="5" t="s">
        <v>5673</v>
      </c>
      <c r="K627" s="5" t="str">
        <f t="shared" si="20"/>
        <v>LKA</v>
      </c>
      <c r="P627" s="53" t="s">
        <v>379</v>
      </c>
    </row>
    <row r="628" spans="1:16" s="53" customFormat="1" x14ac:dyDescent="0.25">
      <c r="A628" s="58" t="str">
        <f t="shared" si="21"/>
        <v>XI KA 632</v>
      </c>
      <c r="B628" s="171">
        <f>COUNTIF(H$2:H628,H628)</f>
        <v>32</v>
      </c>
      <c r="C628" s="168">
        <v>102419345</v>
      </c>
      <c r="D628" s="168" t="s">
        <v>4489</v>
      </c>
      <c r="E628" s="168" t="s">
        <v>4889</v>
      </c>
      <c r="F628" s="198" t="s">
        <v>4075</v>
      </c>
      <c r="G628" s="168" t="s">
        <v>381</v>
      </c>
      <c r="H628" s="168" t="s">
        <v>3827</v>
      </c>
      <c r="I628" s="5" t="s">
        <v>5674</v>
      </c>
      <c r="J628" s="5" t="s">
        <v>5673</v>
      </c>
      <c r="K628" s="5" t="str">
        <f t="shared" si="20"/>
        <v>PKA</v>
      </c>
      <c r="P628" s="53" t="s">
        <v>381</v>
      </c>
    </row>
    <row r="629" spans="1:16" s="53" customFormat="1" x14ac:dyDescent="0.25">
      <c r="A629" s="58" t="str">
        <f t="shared" si="21"/>
        <v>XI KA 633</v>
      </c>
      <c r="B629" s="171">
        <f>COUNTIF(H$2:H629,H629)</f>
        <v>33</v>
      </c>
      <c r="C629" s="168">
        <v>102419346</v>
      </c>
      <c r="D629" s="168" t="s">
        <v>4490</v>
      </c>
      <c r="E629" s="168" t="s">
        <v>4890</v>
      </c>
      <c r="F629" s="198" t="s">
        <v>4076</v>
      </c>
      <c r="G629" s="168" t="s">
        <v>381</v>
      </c>
      <c r="H629" s="168" t="s">
        <v>3827</v>
      </c>
      <c r="I629" s="5" t="s">
        <v>5674</v>
      </c>
      <c r="J629" s="5" t="s">
        <v>5673</v>
      </c>
      <c r="K629" s="5" t="str">
        <f t="shared" si="20"/>
        <v>PKA</v>
      </c>
      <c r="P629" s="53" t="s">
        <v>381</v>
      </c>
    </row>
    <row r="630" spans="1:16" s="53" customFormat="1" x14ac:dyDescent="0.25">
      <c r="A630" s="58" t="str">
        <f t="shared" si="21"/>
        <v>XI KA 634</v>
      </c>
      <c r="B630" s="171">
        <f>COUNTIF(H$2:H630,H630)</f>
        <v>34</v>
      </c>
      <c r="C630" s="168">
        <v>102419347</v>
      </c>
      <c r="D630" s="168" t="s">
        <v>4491</v>
      </c>
      <c r="E630" s="168" t="s">
        <v>4891</v>
      </c>
      <c r="F630" s="198" t="s">
        <v>4077</v>
      </c>
      <c r="G630" s="168" t="s">
        <v>381</v>
      </c>
      <c r="H630" s="168" t="s">
        <v>3827</v>
      </c>
      <c r="I630" s="5" t="s">
        <v>5674</v>
      </c>
      <c r="J630" s="5" t="s">
        <v>5673</v>
      </c>
      <c r="K630" s="5" t="str">
        <f t="shared" si="20"/>
        <v>PKA</v>
      </c>
      <c r="P630" s="53" t="s">
        <v>381</v>
      </c>
    </row>
    <row r="631" spans="1:16" s="53" customFormat="1" x14ac:dyDescent="0.25">
      <c r="A631" s="58" t="str">
        <f t="shared" si="21"/>
        <v>XI KA 635</v>
      </c>
      <c r="B631" s="171">
        <f>COUNTIF(H$2:H631,H631)</f>
        <v>35</v>
      </c>
      <c r="C631" s="168">
        <v>102419348</v>
      </c>
      <c r="D631" s="168" t="s">
        <v>4492</v>
      </c>
      <c r="E631" s="168" t="s">
        <v>4892</v>
      </c>
      <c r="F631" s="198" t="s">
        <v>4078</v>
      </c>
      <c r="G631" s="168" t="s">
        <v>381</v>
      </c>
      <c r="H631" s="168" t="s">
        <v>3827</v>
      </c>
      <c r="I631" s="5" t="s">
        <v>5674</v>
      </c>
      <c r="J631" s="5" t="s">
        <v>5673</v>
      </c>
      <c r="K631" s="5" t="str">
        <f t="shared" si="20"/>
        <v>PKA</v>
      </c>
      <c r="P631" s="53" t="s">
        <v>381</v>
      </c>
    </row>
    <row r="632" spans="1:16" s="53" customFormat="1" x14ac:dyDescent="0.25">
      <c r="A632" s="58" t="str">
        <f t="shared" si="21"/>
        <v>XI RPL 11</v>
      </c>
      <c r="B632" s="171">
        <f>COUNTIF(H$2:H632,H632)</f>
        <v>1</v>
      </c>
      <c r="C632" s="168">
        <v>102419349</v>
      </c>
      <c r="D632" s="168" t="s">
        <v>4493</v>
      </c>
      <c r="E632" s="168" t="s">
        <v>4893</v>
      </c>
      <c r="F632" s="198" t="s">
        <v>4079</v>
      </c>
      <c r="G632" s="168" t="s">
        <v>381</v>
      </c>
      <c r="H632" s="168" t="s">
        <v>1644</v>
      </c>
      <c r="I632" s="5" t="s">
        <v>5515</v>
      </c>
      <c r="J632" s="5" t="s">
        <v>5514</v>
      </c>
      <c r="K632" s="5" t="str">
        <f t="shared" si="20"/>
        <v>PRPL</v>
      </c>
      <c r="P632" s="53" t="s">
        <v>381</v>
      </c>
    </row>
    <row r="633" spans="1:16" s="53" customFormat="1" x14ac:dyDescent="0.25">
      <c r="A633" s="58" t="str">
        <f t="shared" si="21"/>
        <v>XI RPL 12</v>
      </c>
      <c r="B633" s="171">
        <f>COUNTIF(H$2:H633,H633)</f>
        <v>2</v>
      </c>
      <c r="C633" s="168">
        <v>102419350</v>
      </c>
      <c r="D633" s="168" t="s">
        <v>4494</v>
      </c>
      <c r="E633" s="168" t="s">
        <v>4894</v>
      </c>
      <c r="F633" s="198" t="s">
        <v>4080</v>
      </c>
      <c r="G633" s="168" t="s">
        <v>379</v>
      </c>
      <c r="H633" s="168" t="s">
        <v>1644</v>
      </c>
      <c r="I633" s="5" t="s">
        <v>5515</v>
      </c>
      <c r="J633" s="5" t="s">
        <v>5514</v>
      </c>
      <c r="K633" s="5" t="str">
        <f t="shared" si="20"/>
        <v>LRPL</v>
      </c>
      <c r="P633" s="53" t="s">
        <v>379</v>
      </c>
    </row>
    <row r="634" spans="1:16" s="53" customFormat="1" x14ac:dyDescent="0.25">
      <c r="A634" s="58" t="str">
        <f t="shared" si="21"/>
        <v>XI RPL 13</v>
      </c>
      <c r="B634" s="171">
        <f>COUNTIF(H$2:H634,H634)</f>
        <v>3</v>
      </c>
      <c r="C634" s="168">
        <v>102419351</v>
      </c>
      <c r="D634" s="168" t="s">
        <v>4495</v>
      </c>
      <c r="E634" s="168" t="s">
        <v>4895</v>
      </c>
      <c r="F634" s="198" t="s">
        <v>4081</v>
      </c>
      <c r="G634" s="168" t="s">
        <v>379</v>
      </c>
      <c r="H634" s="168" t="s">
        <v>1644</v>
      </c>
      <c r="I634" s="5" t="s">
        <v>5515</v>
      </c>
      <c r="J634" s="5" t="s">
        <v>5514</v>
      </c>
      <c r="K634" s="5" t="str">
        <f t="shared" si="20"/>
        <v>LRPL</v>
      </c>
      <c r="P634" s="53" t="s">
        <v>379</v>
      </c>
    </row>
    <row r="635" spans="1:16" s="53" customFormat="1" x14ac:dyDescent="0.25">
      <c r="A635" s="58" t="str">
        <f t="shared" si="21"/>
        <v>XI RPL 14</v>
      </c>
      <c r="B635" s="171">
        <f>COUNTIF(H$2:H635,H635)</f>
        <v>4</v>
      </c>
      <c r="C635" s="168">
        <v>102419352</v>
      </c>
      <c r="D635" s="168" t="s">
        <v>4496</v>
      </c>
      <c r="E635" s="168" t="s">
        <v>4896</v>
      </c>
      <c r="F635" s="198" t="s">
        <v>4082</v>
      </c>
      <c r="G635" s="168" t="s">
        <v>379</v>
      </c>
      <c r="H635" s="168" t="s">
        <v>1644</v>
      </c>
      <c r="I635" s="5" t="s">
        <v>5515</v>
      </c>
      <c r="J635" s="5" t="s">
        <v>5514</v>
      </c>
      <c r="K635" s="5" t="str">
        <f t="shared" si="20"/>
        <v>LRPL</v>
      </c>
      <c r="P635" s="53" t="s">
        <v>379</v>
      </c>
    </row>
    <row r="636" spans="1:16" s="53" customFormat="1" x14ac:dyDescent="0.25">
      <c r="A636" s="58" t="str">
        <f t="shared" si="21"/>
        <v>XI RPL 15</v>
      </c>
      <c r="B636" s="171">
        <f>COUNTIF(H$2:H636,H636)</f>
        <v>5</v>
      </c>
      <c r="C636" s="168">
        <v>102419353</v>
      </c>
      <c r="D636" s="168" t="s">
        <v>4497</v>
      </c>
      <c r="E636" s="168" t="s">
        <v>4897</v>
      </c>
      <c r="F636" s="198" t="s">
        <v>4083</v>
      </c>
      <c r="G636" s="168" t="s">
        <v>381</v>
      </c>
      <c r="H636" s="168" t="s">
        <v>1644</v>
      </c>
      <c r="I636" s="5" t="s">
        <v>5515</v>
      </c>
      <c r="J636" s="5" t="s">
        <v>5514</v>
      </c>
      <c r="K636" s="5" t="str">
        <f t="shared" si="20"/>
        <v>PRPL</v>
      </c>
      <c r="P636" s="53" t="s">
        <v>381</v>
      </c>
    </row>
    <row r="637" spans="1:16" s="53" customFormat="1" x14ac:dyDescent="0.25">
      <c r="A637" s="58" t="str">
        <f t="shared" si="21"/>
        <v>XI RPL 16</v>
      </c>
      <c r="B637" s="171">
        <f>COUNTIF(H$2:H637,H637)</f>
        <v>6</v>
      </c>
      <c r="C637" s="168">
        <v>102419354</v>
      </c>
      <c r="D637" s="168" t="s">
        <v>4498</v>
      </c>
      <c r="E637" s="168" t="s">
        <v>4898</v>
      </c>
      <c r="F637" s="198" t="s">
        <v>4084</v>
      </c>
      <c r="G637" s="168" t="s">
        <v>381</v>
      </c>
      <c r="H637" s="168" t="s">
        <v>1644</v>
      </c>
      <c r="I637" s="5" t="s">
        <v>5515</v>
      </c>
      <c r="J637" s="5" t="s">
        <v>5514</v>
      </c>
      <c r="K637" s="5" t="str">
        <f t="shared" si="20"/>
        <v>PRPL</v>
      </c>
      <c r="P637" s="53" t="s">
        <v>381</v>
      </c>
    </row>
    <row r="638" spans="1:16" s="53" customFormat="1" x14ac:dyDescent="0.25">
      <c r="A638" s="58" t="str">
        <f t="shared" si="21"/>
        <v>XI RPL 17</v>
      </c>
      <c r="B638" s="171">
        <f>COUNTIF(H$2:H638,H638)</f>
        <v>7</v>
      </c>
      <c r="C638" s="168">
        <v>102419355</v>
      </c>
      <c r="D638" s="168" t="s">
        <v>4499</v>
      </c>
      <c r="E638" s="168" t="s">
        <v>4899</v>
      </c>
      <c r="F638" s="198" t="s">
        <v>4085</v>
      </c>
      <c r="G638" s="168" t="s">
        <v>379</v>
      </c>
      <c r="H638" s="168" t="s">
        <v>1644</v>
      </c>
      <c r="I638" s="5" t="s">
        <v>5515</v>
      </c>
      <c r="J638" s="5" t="s">
        <v>5514</v>
      </c>
      <c r="K638" s="5" t="str">
        <f t="shared" si="20"/>
        <v>LRPL</v>
      </c>
      <c r="P638" s="53" t="s">
        <v>379</v>
      </c>
    </row>
    <row r="639" spans="1:16" s="53" customFormat="1" x14ac:dyDescent="0.25">
      <c r="A639" s="58" t="str">
        <f t="shared" si="21"/>
        <v>XI RPL 18</v>
      </c>
      <c r="B639" s="171">
        <f>COUNTIF(H$2:H639,H639)</f>
        <v>8</v>
      </c>
      <c r="C639" s="168">
        <v>102419356</v>
      </c>
      <c r="D639" s="168" t="s">
        <v>4500</v>
      </c>
      <c r="E639" s="168" t="s">
        <v>4900</v>
      </c>
      <c r="F639" s="198" t="s">
        <v>4086</v>
      </c>
      <c r="G639" s="168" t="s">
        <v>379</v>
      </c>
      <c r="H639" s="168" t="s">
        <v>1644</v>
      </c>
      <c r="I639" s="5" t="s">
        <v>5515</v>
      </c>
      <c r="J639" s="5" t="s">
        <v>5514</v>
      </c>
      <c r="K639" s="5" t="str">
        <f t="shared" si="20"/>
        <v>LRPL</v>
      </c>
      <c r="P639" s="53" t="s">
        <v>379</v>
      </c>
    </row>
    <row r="640" spans="1:16" s="53" customFormat="1" x14ac:dyDescent="0.25">
      <c r="A640" s="58" t="str">
        <f t="shared" si="21"/>
        <v>XI RPL 19</v>
      </c>
      <c r="B640" s="171">
        <f>COUNTIF(H$2:H640,H640)</f>
        <v>9</v>
      </c>
      <c r="C640" s="168">
        <v>102419357</v>
      </c>
      <c r="D640" s="168" t="s">
        <v>4501</v>
      </c>
      <c r="E640" s="168" t="s">
        <v>4901</v>
      </c>
      <c r="F640" s="198" t="s">
        <v>4087</v>
      </c>
      <c r="G640" s="168" t="s">
        <v>379</v>
      </c>
      <c r="H640" s="168" t="s">
        <v>1644</v>
      </c>
      <c r="I640" s="5" t="s">
        <v>5515</v>
      </c>
      <c r="J640" s="5" t="s">
        <v>5514</v>
      </c>
      <c r="K640" s="5" t="str">
        <f t="shared" si="20"/>
        <v>LRPL</v>
      </c>
      <c r="P640" s="53" t="s">
        <v>379</v>
      </c>
    </row>
    <row r="641" spans="1:16" s="53" customFormat="1" x14ac:dyDescent="0.25">
      <c r="A641" s="58" t="str">
        <f t="shared" si="21"/>
        <v>XI RPL 110</v>
      </c>
      <c r="B641" s="171">
        <f>COUNTIF(H$2:H641,H641)</f>
        <v>10</v>
      </c>
      <c r="C641" s="168">
        <v>102419358</v>
      </c>
      <c r="D641" s="168" t="s">
        <v>4502</v>
      </c>
      <c r="E641" s="168" t="s">
        <v>4902</v>
      </c>
      <c r="F641" s="198" t="s">
        <v>4088</v>
      </c>
      <c r="G641" s="168" t="s">
        <v>379</v>
      </c>
      <c r="H641" s="168" t="s">
        <v>1644</v>
      </c>
      <c r="I641" s="5" t="s">
        <v>5515</v>
      </c>
      <c r="J641" s="5" t="s">
        <v>5514</v>
      </c>
      <c r="K641" s="5" t="str">
        <f t="shared" si="20"/>
        <v>LRPL</v>
      </c>
      <c r="P641" s="53" t="s">
        <v>379</v>
      </c>
    </row>
    <row r="642" spans="1:16" s="53" customFormat="1" x14ac:dyDescent="0.25">
      <c r="A642" s="58" t="str">
        <f t="shared" si="21"/>
        <v>XI RPL 111</v>
      </c>
      <c r="B642" s="171">
        <f>COUNTIF(H$2:H642,H642)</f>
        <v>11</v>
      </c>
      <c r="C642" s="168">
        <v>102419359</v>
      </c>
      <c r="D642" s="168" t="s">
        <v>4503</v>
      </c>
      <c r="E642" s="168" t="s">
        <v>4903</v>
      </c>
      <c r="F642" s="198" t="s">
        <v>4089</v>
      </c>
      <c r="G642" s="168" t="s">
        <v>379</v>
      </c>
      <c r="H642" s="168" t="s">
        <v>1644</v>
      </c>
      <c r="I642" s="5" t="s">
        <v>5515</v>
      </c>
      <c r="J642" s="5" t="s">
        <v>5514</v>
      </c>
      <c r="K642" s="5" t="str">
        <f t="shared" si="20"/>
        <v>LRPL</v>
      </c>
      <c r="P642" s="53" t="s">
        <v>379</v>
      </c>
    </row>
    <row r="643" spans="1:16" s="53" customFormat="1" x14ac:dyDescent="0.25">
      <c r="A643" s="58" t="str">
        <f t="shared" si="21"/>
        <v>XI RPL 112</v>
      </c>
      <c r="B643" s="171">
        <f>COUNTIF(H$2:H643,H643)</f>
        <v>12</v>
      </c>
      <c r="C643" s="168">
        <v>102419360</v>
      </c>
      <c r="D643" s="168" t="s">
        <v>4504</v>
      </c>
      <c r="E643" s="168" t="s">
        <v>4904</v>
      </c>
      <c r="F643" s="198" t="s">
        <v>4090</v>
      </c>
      <c r="G643" s="168" t="s">
        <v>379</v>
      </c>
      <c r="H643" s="168" t="s">
        <v>1644</v>
      </c>
      <c r="I643" s="5" t="s">
        <v>5515</v>
      </c>
      <c r="J643" s="5" t="s">
        <v>5514</v>
      </c>
      <c r="K643" s="5" t="str">
        <f t="shared" si="20"/>
        <v>LRPL</v>
      </c>
      <c r="P643" s="53" t="s">
        <v>379</v>
      </c>
    </row>
    <row r="644" spans="1:16" s="53" customFormat="1" x14ac:dyDescent="0.25">
      <c r="A644" s="58" t="str">
        <f t="shared" si="21"/>
        <v>XI RPL 113</v>
      </c>
      <c r="B644" s="171">
        <f>COUNTIF(H$2:H644,H644)</f>
        <v>13</v>
      </c>
      <c r="C644" s="168">
        <v>102419361</v>
      </c>
      <c r="D644" s="168" t="s">
        <v>4505</v>
      </c>
      <c r="E644" s="168" t="s">
        <v>4905</v>
      </c>
      <c r="F644" s="198" t="s">
        <v>4091</v>
      </c>
      <c r="G644" s="168" t="s">
        <v>379</v>
      </c>
      <c r="H644" s="168" t="s">
        <v>1644</v>
      </c>
      <c r="I644" s="5" t="s">
        <v>5515</v>
      </c>
      <c r="J644" s="5" t="s">
        <v>5514</v>
      </c>
      <c r="K644" s="5" t="str">
        <f t="shared" si="20"/>
        <v>LRPL</v>
      </c>
      <c r="P644" s="53" t="s">
        <v>379</v>
      </c>
    </row>
    <row r="645" spans="1:16" s="53" customFormat="1" x14ac:dyDescent="0.25">
      <c r="A645" s="58" t="str">
        <f t="shared" si="21"/>
        <v>XI RPL 114</v>
      </c>
      <c r="B645" s="171">
        <f>COUNTIF(H$2:H645,H645)</f>
        <v>14</v>
      </c>
      <c r="C645" s="168">
        <v>102419362</v>
      </c>
      <c r="D645" s="168" t="s">
        <v>4506</v>
      </c>
      <c r="E645" s="168" t="s">
        <v>4906</v>
      </c>
      <c r="F645" s="198" t="s">
        <v>4092</v>
      </c>
      <c r="G645" s="168" t="s">
        <v>379</v>
      </c>
      <c r="H645" s="168" t="s">
        <v>1644</v>
      </c>
      <c r="I645" s="5" t="s">
        <v>5515</v>
      </c>
      <c r="J645" s="5" t="s">
        <v>5514</v>
      </c>
      <c r="K645" s="5" t="str">
        <f t="shared" si="20"/>
        <v>LRPL</v>
      </c>
      <c r="P645" s="53" t="s">
        <v>379</v>
      </c>
    </row>
    <row r="646" spans="1:16" s="53" customFormat="1" x14ac:dyDescent="0.25">
      <c r="A646" s="58" t="str">
        <f t="shared" si="21"/>
        <v>XI RPL 115</v>
      </c>
      <c r="B646" s="171">
        <f>COUNTIF(H$2:H646,H646)</f>
        <v>15</v>
      </c>
      <c r="C646" s="168">
        <v>102419363</v>
      </c>
      <c r="D646" s="168" t="s">
        <v>4507</v>
      </c>
      <c r="E646" s="168" t="s">
        <v>4907</v>
      </c>
      <c r="F646" s="198" t="s">
        <v>4093</v>
      </c>
      <c r="G646" s="168" t="s">
        <v>379</v>
      </c>
      <c r="H646" s="168" t="s">
        <v>1644</v>
      </c>
      <c r="I646" s="5" t="s">
        <v>5515</v>
      </c>
      <c r="J646" s="5" t="s">
        <v>5514</v>
      </c>
      <c r="K646" s="5" t="str">
        <f t="shared" si="20"/>
        <v>LRPL</v>
      </c>
      <c r="P646" s="53" t="s">
        <v>379</v>
      </c>
    </row>
    <row r="647" spans="1:16" s="53" customFormat="1" x14ac:dyDescent="0.25">
      <c r="A647" s="58" t="str">
        <f t="shared" si="21"/>
        <v>XI RPL 116</v>
      </c>
      <c r="B647" s="171">
        <f>COUNTIF(H$2:H647,H647)</f>
        <v>16</v>
      </c>
      <c r="C647" s="168">
        <v>102419364</v>
      </c>
      <c r="D647" s="168" t="s">
        <v>4508</v>
      </c>
      <c r="E647" s="168" t="s">
        <v>4908</v>
      </c>
      <c r="F647" s="198" t="s">
        <v>4094</v>
      </c>
      <c r="G647" s="168" t="s">
        <v>379</v>
      </c>
      <c r="H647" s="168" t="s">
        <v>1644</v>
      </c>
      <c r="I647" s="5" t="s">
        <v>5515</v>
      </c>
      <c r="J647" s="5" t="s">
        <v>5514</v>
      </c>
      <c r="K647" s="5" t="str">
        <f t="shared" si="20"/>
        <v>LRPL</v>
      </c>
      <c r="P647" s="53" t="s">
        <v>379</v>
      </c>
    </row>
    <row r="648" spans="1:16" s="53" customFormat="1" x14ac:dyDescent="0.25">
      <c r="A648" s="58" t="str">
        <f t="shared" si="21"/>
        <v>XI RPL 117</v>
      </c>
      <c r="B648" s="171">
        <f>COUNTIF(H$2:H648,H648)</f>
        <v>17</v>
      </c>
      <c r="C648" s="168">
        <v>102419365</v>
      </c>
      <c r="D648" s="168" t="s">
        <v>4509</v>
      </c>
      <c r="E648" s="168" t="s">
        <v>4909</v>
      </c>
      <c r="F648" s="198" t="s">
        <v>4095</v>
      </c>
      <c r="G648" s="168" t="s">
        <v>381</v>
      </c>
      <c r="H648" s="168" t="s">
        <v>1644</v>
      </c>
      <c r="I648" s="5" t="s">
        <v>5515</v>
      </c>
      <c r="J648" s="5" t="s">
        <v>5514</v>
      </c>
      <c r="K648" s="5" t="str">
        <f t="shared" si="20"/>
        <v>PRPL</v>
      </c>
      <c r="P648" s="53" t="s">
        <v>381</v>
      </c>
    </row>
    <row r="649" spans="1:16" s="53" customFormat="1" x14ac:dyDescent="0.25">
      <c r="A649" s="58" t="str">
        <f t="shared" si="21"/>
        <v>XI RPL 118</v>
      </c>
      <c r="B649" s="171">
        <f>COUNTIF(H$2:H649,H649)</f>
        <v>18</v>
      </c>
      <c r="C649" s="168">
        <v>102419366</v>
      </c>
      <c r="D649" s="168" t="s">
        <v>4510</v>
      </c>
      <c r="E649" s="168" t="s">
        <v>4910</v>
      </c>
      <c r="F649" s="198" t="s">
        <v>4096</v>
      </c>
      <c r="G649" s="168" t="s">
        <v>379</v>
      </c>
      <c r="H649" s="168" t="s">
        <v>1644</v>
      </c>
      <c r="I649" s="5" t="s">
        <v>5515</v>
      </c>
      <c r="J649" s="5" t="s">
        <v>5514</v>
      </c>
      <c r="K649" s="5" t="str">
        <f t="shared" si="20"/>
        <v>LRPL</v>
      </c>
      <c r="P649" s="53" t="s">
        <v>379</v>
      </c>
    </row>
    <row r="650" spans="1:16" s="53" customFormat="1" x14ac:dyDescent="0.25">
      <c r="A650" s="58" t="str">
        <f t="shared" si="21"/>
        <v>XI RPL 119</v>
      </c>
      <c r="B650" s="171">
        <f>COUNTIF(H$2:H650,H650)</f>
        <v>19</v>
      </c>
      <c r="C650" s="168">
        <v>102419367</v>
      </c>
      <c r="D650" s="168" t="s">
        <v>4511</v>
      </c>
      <c r="E650" s="168" t="s">
        <v>4911</v>
      </c>
      <c r="F650" s="198" t="s">
        <v>4097</v>
      </c>
      <c r="G650" s="168" t="s">
        <v>381</v>
      </c>
      <c r="H650" s="168" t="s">
        <v>1644</v>
      </c>
      <c r="I650" s="5" t="s">
        <v>5515</v>
      </c>
      <c r="J650" s="5" t="s">
        <v>5514</v>
      </c>
      <c r="K650" s="5" t="str">
        <f t="shared" si="20"/>
        <v>PRPL</v>
      </c>
      <c r="P650" s="53" t="s">
        <v>381</v>
      </c>
    </row>
    <row r="651" spans="1:16" s="53" customFormat="1" x14ac:dyDescent="0.25">
      <c r="A651" s="58" t="str">
        <f t="shared" si="21"/>
        <v>XI RPL 120</v>
      </c>
      <c r="B651" s="171">
        <f>COUNTIF(H$2:H651,H651)</f>
        <v>20</v>
      </c>
      <c r="C651" s="168">
        <v>102419368</v>
      </c>
      <c r="D651" s="168" t="s">
        <v>4512</v>
      </c>
      <c r="E651" s="168" t="s">
        <v>4912</v>
      </c>
      <c r="F651" s="198" t="s">
        <v>4098</v>
      </c>
      <c r="G651" s="168" t="s">
        <v>379</v>
      </c>
      <c r="H651" s="168" t="s">
        <v>1644</v>
      </c>
      <c r="I651" s="5" t="s">
        <v>5515</v>
      </c>
      <c r="J651" s="5" t="s">
        <v>5514</v>
      </c>
      <c r="K651" s="5" t="str">
        <f t="shared" si="20"/>
        <v>LRPL</v>
      </c>
      <c r="P651" s="53" t="s">
        <v>379</v>
      </c>
    </row>
    <row r="652" spans="1:16" s="53" customFormat="1" x14ac:dyDescent="0.25">
      <c r="A652" s="58" t="str">
        <f t="shared" si="21"/>
        <v>XI RPL 121</v>
      </c>
      <c r="B652" s="171">
        <f>COUNTIF(H$2:H652,H652)</f>
        <v>21</v>
      </c>
      <c r="C652" s="168">
        <v>102419369</v>
      </c>
      <c r="D652" s="168" t="s">
        <v>4513</v>
      </c>
      <c r="E652" s="168" t="s">
        <v>4913</v>
      </c>
      <c r="F652" s="198" t="s">
        <v>4099</v>
      </c>
      <c r="G652" s="168" t="s">
        <v>381</v>
      </c>
      <c r="H652" s="168" t="s">
        <v>1644</v>
      </c>
      <c r="I652" s="5" t="s">
        <v>5515</v>
      </c>
      <c r="J652" s="5" t="s">
        <v>5514</v>
      </c>
      <c r="K652" s="5" t="str">
        <f t="shared" si="20"/>
        <v>PRPL</v>
      </c>
      <c r="P652" s="53" t="s">
        <v>381</v>
      </c>
    </row>
    <row r="653" spans="1:16" s="53" customFormat="1" x14ac:dyDescent="0.25">
      <c r="A653" s="58" t="str">
        <f t="shared" si="21"/>
        <v>XI RPL 122</v>
      </c>
      <c r="B653" s="171">
        <f>COUNTIF(H$2:H653,H653)</f>
        <v>22</v>
      </c>
      <c r="C653" s="168">
        <v>102419370</v>
      </c>
      <c r="D653" s="168" t="s">
        <v>4514</v>
      </c>
      <c r="E653" s="168" t="s">
        <v>4914</v>
      </c>
      <c r="F653" s="198" t="s">
        <v>4100</v>
      </c>
      <c r="G653" s="218" t="s">
        <v>379</v>
      </c>
      <c r="H653" s="168" t="s">
        <v>1644</v>
      </c>
      <c r="I653" s="5" t="s">
        <v>5515</v>
      </c>
      <c r="J653" s="5" t="s">
        <v>5514</v>
      </c>
      <c r="K653" s="5" t="str">
        <f t="shared" si="20"/>
        <v>LRPL</v>
      </c>
      <c r="P653" s="53" t="s">
        <v>379</v>
      </c>
    </row>
    <row r="654" spans="1:16" s="53" customFormat="1" x14ac:dyDescent="0.25">
      <c r="A654" s="58" t="str">
        <f t="shared" si="21"/>
        <v>XI RPL 123</v>
      </c>
      <c r="B654" s="171">
        <f>COUNTIF(H$2:H654,H654)</f>
        <v>23</v>
      </c>
      <c r="C654" s="168">
        <v>102419371</v>
      </c>
      <c r="D654" s="168" t="s">
        <v>4515</v>
      </c>
      <c r="E654" s="168" t="s">
        <v>4915</v>
      </c>
      <c r="F654" s="198" t="s">
        <v>4101</v>
      </c>
      <c r="G654" s="218" t="s">
        <v>379</v>
      </c>
      <c r="H654" s="168" t="s">
        <v>1644</v>
      </c>
      <c r="I654" s="5" t="s">
        <v>5515</v>
      </c>
      <c r="J654" s="5" t="s">
        <v>5514</v>
      </c>
      <c r="K654" s="5" t="str">
        <f t="shared" si="20"/>
        <v>LRPL</v>
      </c>
      <c r="P654" s="53" t="s">
        <v>379</v>
      </c>
    </row>
    <row r="655" spans="1:16" s="53" customFormat="1" x14ac:dyDescent="0.25">
      <c r="A655" s="58" t="str">
        <f t="shared" si="21"/>
        <v>XI RPL 124</v>
      </c>
      <c r="B655" s="171">
        <f>COUNTIF(H$2:H655,H655)</f>
        <v>24</v>
      </c>
      <c r="C655" s="168">
        <v>102419372</v>
      </c>
      <c r="D655" s="168" t="s">
        <v>4516</v>
      </c>
      <c r="E655" s="168" t="s">
        <v>4916</v>
      </c>
      <c r="F655" s="198" t="s">
        <v>4102</v>
      </c>
      <c r="G655" s="218" t="s">
        <v>379</v>
      </c>
      <c r="H655" s="168" t="s">
        <v>1644</v>
      </c>
      <c r="I655" s="5" t="s">
        <v>5515</v>
      </c>
      <c r="J655" s="5" t="s">
        <v>5514</v>
      </c>
      <c r="K655" s="5" t="str">
        <f t="shared" si="20"/>
        <v>LRPL</v>
      </c>
      <c r="P655" s="53" t="s">
        <v>379</v>
      </c>
    </row>
    <row r="656" spans="1:16" s="53" customFormat="1" x14ac:dyDescent="0.25">
      <c r="A656" s="58" t="str">
        <f t="shared" si="21"/>
        <v>XI RPL 125</v>
      </c>
      <c r="B656" s="171">
        <f>COUNTIF(H$2:H656,H656)</f>
        <v>25</v>
      </c>
      <c r="C656" s="168">
        <v>102419374</v>
      </c>
      <c r="D656" s="168" t="s">
        <v>4518</v>
      </c>
      <c r="E656" s="168" t="s">
        <v>4918</v>
      </c>
      <c r="F656" s="198" t="s">
        <v>4104</v>
      </c>
      <c r="G656" s="168" t="s">
        <v>379</v>
      </c>
      <c r="H656" s="168" t="s">
        <v>1644</v>
      </c>
      <c r="I656" s="5" t="s">
        <v>5515</v>
      </c>
      <c r="J656" s="5" t="s">
        <v>5514</v>
      </c>
      <c r="K656" s="5" t="str">
        <f t="shared" si="20"/>
        <v>LRPL</v>
      </c>
      <c r="P656" s="53" t="s">
        <v>379</v>
      </c>
    </row>
    <row r="657" spans="1:16" s="53" customFormat="1" x14ac:dyDescent="0.25">
      <c r="A657" s="58" t="str">
        <f t="shared" si="21"/>
        <v>XI RPL 126</v>
      </c>
      <c r="B657" s="171">
        <f>COUNTIF(H$2:H657,H657)</f>
        <v>26</v>
      </c>
      <c r="C657" s="168">
        <v>102419375</v>
      </c>
      <c r="D657" s="168" t="s">
        <v>4519</v>
      </c>
      <c r="E657" s="168" t="s">
        <v>4919</v>
      </c>
      <c r="F657" s="198" t="s">
        <v>4105</v>
      </c>
      <c r="G657" s="168" t="s">
        <v>381</v>
      </c>
      <c r="H657" s="168" t="s">
        <v>1644</v>
      </c>
      <c r="I657" s="5" t="s">
        <v>5515</v>
      </c>
      <c r="J657" s="5" t="s">
        <v>5514</v>
      </c>
      <c r="K657" s="5" t="str">
        <f t="shared" si="20"/>
        <v>PRPL</v>
      </c>
      <c r="P657" s="53" t="s">
        <v>381</v>
      </c>
    </row>
    <row r="658" spans="1:16" s="53" customFormat="1" x14ac:dyDescent="0.25">
      <c r="A658" s="58" t="str">
        <f t="shared" si="21"/>
        <v>XI RPL 127</v>
      </c>
      <c r="B658" s="171">
        <f>COUNTIF(H$2:H658,H658)</f>
        <v>27</v>
      </c>
      <c r="C658" s="168">
        <v>102419376</v>
      </c>
      <c r="D658" s="168" t="s">
        <v>4520</v>
      </c>
      <c r="E658" s="168" t="s">
        <v>4920</v>
      </c>
      <c r="F658" s="198" t="s">
        <v>4106</v>
      </c>
      <c r="G658" s="168" t="s">
        <v>381</v>
      </c>
      <c r="H658" s="168" t="s">
        <v>1644</v>
      </c>
      <c r="I658" s="5" t="s">
        <v>5515</v>
      </c>
      <c r="J658" s="5" t="s">
        <v>5514</v>
      </c>
      <c r="K658" s="5" t="str">
        <f t="shared" si="20"/>
        <v>PRPL</v>
      </c>
      <c r="P658" s="53" t="s">
        <v>381</v>
      </c>
    </row>
    <row r="659" spans="1:16" s="53" customFormat="1" x14ac:dyDescent="0.25">
      <c r="A659" s="58" t="str">
        <f t="shared" si="21"/>
        <v>XI RPL 128</v>
      </c>
      <c r="B659" s="171">
        <f>COUNTIF(H$2:H659,H659)</f>
        <v>28</v>
      </c>
      <c r="C659" s="168">
        <v>102419377</v>
      </c>
      <c r="D659" s="168" t="s">
        <v>4521</v>
      </c>
      <c r="E659" s="168" t="s">
        <v>4921</v>
      </c>
      <c r="F659" s="198" t="s">
        <v>4107</v>
      </c>
      <c r="G659" s="168" t="s">
        <v>379</v>
      </c>
      <c r="H659" s="168" t="s">
        <v>1644</v>
      </c>
      <c r="I659" s="5" t="s">
        <v>5515</v>
      </c>
      <c r="J659" s="5" t="s">
        <v>5514</v>
      </c>
      <c r="K659" s="5" t="str">
        <f t="shared" si="20"/>
        <v>LRPL</v>
      </c>
      <c r="P659" s="53" t="s">
        <v>379</v>
      </c>
    </row>
    <row r="660" spans="1:16" s="53" customFormat="1" x14ac:dyDescent="0.25">
      <c r="A660" s="58" t="str">
        <f t="shared" si="21"/>
        <v>XI RPL 129</v>
      </c>
      <c r="B660" s="171">
        <f>COUNTIF(H$2:H660,H660)</f>
        <v>29</v>
      </c>
      <c r="C660" s="168">
        <v>102419378</v>
      </c>
      <c r="D660" s="168" t="s">
        <v>4522</v>
      </c>
      <c r="E660" s="168" t="s">
        <v>4922</v>
      </c>
      <c r="F660" s="198" t="s">
        <v>4108</v>
      </c>
      <c r="G660" s="168" t="s">
        <v>381</v>
      </c>
      <c r="H660" s="168" t="s">
        <v>1644</v>
      </c>
      <c r="I660" s="5" t="s">
        <v>5515</v>
      </c>
      <c r="J660" s="5" t="s">
        <v>5514</v>
      </c>
      <c r="K660" s="5" t="str">
        <f t="shared" si="20"/>
        <v>PRPL</v>
      </c>
      <c r="P660" s="53" t="s">
        <v>381</v>
      </c>
    </row>
    <row r="661" spans="1:16" s="53" customFormat="1" x14ac:dyDescent="0.25">
      <c r="A661" s="58" t="str">
        <f t="shared" si="21"/>
        <v>XI RPL 130</v>
      </c>
      <c r="B661" s="171">
        <f>COUNTIF(H$2:H661,H661)</f>
        <v>30</v>
      </c>
      <c r="C661" s="168">
        <v>102419379</v>
      </c>
      <c r="D661" s="168" t="s">
        <v>4523</v>
      </c>
      <c r="E661" s="168" t="s">
        <v>4923</v>
      </c>
      <c r="F661" s="198" t="s">
        <v>4109</v>
      </c>
      <c r="G661" s="168" t="s">
        <v>379</v>
      </c>
      <c r="H661" s="168" t="s">
        <v>1644</v>
      </c>
      <c r="I661" s="5" t="s">
        <v>5515</v>
      </c>
      <c r="J661" s="5" t="s">
        <v>5514</v>
      </c>
      <c r="K661" s="5" t="str">
        <f t="shared" si="20"/>
        <v>LRPL</v>
      </c>
      <c r="P661" s="53" t="s">
        <v>379</v>
      </c>
    </row>
    <row r="662" spans="1:16" s="53" customFormat="1" x14ac:dyDescent="0.25">
      <c r="A662" s="58" t="str">
        <f t="shared" si="21"/>
        <v>XI RPL 131</v>
      </c>
      <c r="B662" s="171">
        <f>COUNTIF(H$2:H662,H662)</f>
        <v>31</v>
      </c>
      <c r="C662" s="168">
        <v>102419380</v>
      </c>
      <c r="D662" s="168" t="s">
        <v>4524</v>
      </c>
      <c r="E662" s="168" t="s">
        <v>4924</v>
      </c>
      <c r="F662" s="198" t="s">
        <v>4110</v>
      </c>
      <c r="G662" s="168" t="s">
        <v>379</v>
      </c>
      <c r="H662" s="168" t="s">
        <v>1644</v>
      </c>
      <c r="I662" s="5" t="s">
        <v>5515</v>
      </c>
      <c r="J662" s="5" t="s">
        <v>5514</v>
      </c>
      <c r="K662" s="5" t="str">
        <f t="shared" si="20"/>
        <v>LRPL</v>
      </c>
      <c r="P662" s="53" t="s">
        <v>379</v>
      </c>
    </row>
    <row r="663" spans="1:16" s="53" customFormat="1" x14ac:dyDescent="0.25">
      <c r="A663" s="58" t="str">
        <f t="shared" si="21"/>
        <v>XI RPL 132</v>
      </c>
      <c r="B663" s="171">
        <f>COUNTIF(H$2:H663,H663)</f>
        <v>32</v>
      </c>
      <c r="C663" s="168">
        <v>102419381</v>
      </c>
      <c r="D663" s="168" t="s">
        <v>4525</v>
      </c>
      <c r="E663" s="168" t="s">
        <v>4925</v>
      </c>
      <c r="F663" s="198" t="s">
        <v>4111</v>
      </c>
      <c r="G663" s="168" t="s">
        <v>381</v>
      </c>
      <c r="H663" s="168" t="s">
        <v>1644</v>
      </c>
      <c r="I663" s="5" t="s">
        <v>5515</v>
      </c>
      <c r="J663" s="5" t="s">
        <v>5514</v>
      </c>
      <c r="K663" s="5" t="str">
        <f t="shared" si="20"/>
        <v>PRPL</v>
      </c>
      <c r="P663" s="53" t="s">
        <v>381</v>
      </c>
    </row>
    <row r="664" spans="1:16" s="53" customFormat="1" x14ac:dyDescent="0.25">
      <c r="A664" s="58" t="str">
        <f t="shared" si="21"/>
        <v>XI RPL 133</v>
      </c>
      <c r="B664" s="171">
        <f>COUNTIF(H$2:H664,H664)</f>
        <v>33</v>
      </c>
      <c r="C664" s="168">
        <v>102419382</v>
      </c>
      <c r="D664" s="168" t="s">
        <v>4526</v>
      </c>
      <c r="E664" s="168" t="s">
        <v>4926</v>
      </c>
      <c r="F664" s="198" t="s">
        <v>4112</v>
      </c>
      <c r="G664" s="168" t="s">
        <v>379</v>
      </c>
      <c r="H664" s="168" t="s">
        <v>1644</v>
      </c>
      <c r="I664" s="5" t="s">
        <v>5515</v>
      </c>
      <c r="J664" s="5" t="s">
        <v>5514</v>
      </c>
      <c r="K664" s="5" t="str">
        <f t="shared" si="20"/>
        <v>LRPL</v>
      </c>
      <c r="P664" s="53" t="s">
        <v>379</v>
      </c>
    </row>
    <row r="665" spans="1:16" s="53" customFormat="1" x14ac:dyDescent="0.25">
      <c r="A665" s="58" t="str">
        <f t="shared" si="21"/>
        <v>XI RPL 134</v>
      </c>
      <c r="B665" s="171">
        <f>COUNTIF(H$2:H665,H665)</f>
        <v>34</v>
      </c>
      <c r="C665" s="168">
        <v>102419383</v>
      </c>
      <c r="D665" s="168" t="s">
        <v>4527</v>
      </c>
      <c r="E665" s="168" t="s">
        <v>4927</v>
      </c>
      <c r="F665" s="198" t="s">
        <v>4113</v>
      </c>
      <c r="G665" s="168" t="s">
        <v>381</v>
      </c>
      <c r="H665" s="168" t="s">
        <v>1644</v>
      </c>
      <c r="I665" s="5" t="s">
        <v>5515</v>
      </c>
      <c r="J665" s="5" t="s">
        <v>5514</v>
      </c>
      <c r="K665" s="5" t="str">
        <f t="shared" si="20"/>
        <v>PRPL</v>
      </c>
      <c r="P665" s="53" t="s">
        <v>381</v>
      </c>
    </row>
    <row r="666" spans="1:16" s="53" customFormat="1" x14ac:dyDescent="0.25">
      <c r="A666" s="58" t="str">
        <f t="shared" si="21"/>
        <v>XI RPL 135</v>
      </c>
      <c r="B666" s="171">
        <f>COUNTIF(H$2:H666,H666)</f>
        <v>35</v>
      </c>
      <c r="C666" s="168">
        <v>102419384</v>
      </c>
      <c r="D666" s="168" t="s">
        <v>4528</v>
      </c>
      <c r="E666" s="168" t="s">
        <v>4928</v>
      </c>
      <c r="F666" s="198" t="s">
        <v>4114</v>
      </c>
      <c r="G666" s="168" t="s">
        <v>379</v>
      </c>
      <c r="H666" s="168" t="s">
        <v>1644</v>
      </c>
      <c r="I666" s="5" t="s">
        <v>5515</v>
      </c>
      <c r="J666" s="5" t="s">
        <v>5514</v>
      </c>
      <c r="K666" s="5" t="str">
        <f t="shared" si="20"/>
        <v>LRPL</v>
      </c>
      <c r="P666" s="53" t="s">
        <v>379</v>
      </c>
    </row>
    <row r="667" spans="1:16" s="53" customFormat="1" x14ac:dyDescent="0.25">
      <c r="A667" s="58" t="str">
        <f t="shared" si="21"/>
        <v>XI RPL 21</v>
      </c>
      <c r="B667" s="171">
        <f>COUNTIF(H$2:H667,H667)</f>
        <v>1</v>
      </c>
      <c r="C667" s="168">
        <v>102419385</v>
      </c>
      <c r="D667" s="168" t="s">
        <v>4529</v>
      </c>
      <c r="E667" s="168" t="s">
        <v>4929</v>
      </c>
      <c r="F667" s="198" t="s">
        <v>4115</v>
      </c>
      <c r="G667" s="168" t="s">
        <v>379</v>
      </c>
      <c r="H667" s="168" t="s">
        <v>1618</v>
      </c>
      <c r="I667" s="5" t="s">
        <v>5515</v>
      </c>
      <c r="J667" s="5" t="s">
        <v>5514</v>
      </c>
      <c r="K667" s="5" t="str">
        <f t="shared" si="20"/>
        <v>LRPL</v>
      </c>
      <c r="P667" s="53" t="s">
        <v>379</v>
      </c>
    </row>
    <row r="668" spans="1:16" s="53" customFormat="1" x14ac:dyDescent="0.25">
      <c r="A668" s="58" t="str">
        <f t="shared" si="21"/>
        <v>XI RPL 22</v>
      </c>
      <c r="B668" s="171">
        <f>COUNTIF(H$2:H668,H668)</f>
        <v>2</v>
      </c>
      <c r="C668" s="168">
        <v>102419386</v>
      </c>
      <c r="D668" s="168" t="s">
        <v>4530</v>
      </c>
      <c r="E668" s="168" t="s">
        <v>4930</v>
      </c>
      <c r="F668" s="198" t="s">
        <v>4116</v>
      </c>
      <c r="G668" s="168" t="s">
        <v>381</v>
      </c>
      <c r="H668" s="168" t="s">
        <v>1618</v>
      </c>
      <c r="I668" s="5" t="s">
        <v>5515</v>
      </c>
      <c r="J668" s="5" t="s">
        <v>5514</v>
      </c>
      <c r="K668" s="5" t="str">
        <f t="shared" si="20"/>
        <v>PRPL</v>
      </c>
      <c r="P668" s="53" t="s">
        <v>381</v>
      </c>
    </row>
    <row r="669" spans="1:16" s="53" customFormat="1" x14ac:dyDescent="0.25">
      <c r="A669" s="58" t="str">
        <f t="shared" si="21"/>
        <v>XI RPL 23</v>
      </c>
      <c r="B669" s="171">
        <f>COUNTIF(H$2:H669,H669)</f>
        <v>3</v>
      </c>
      <c r="C669" s="168">
        <v>102419387</v>
      </c>
      <c r="D669" s="168" t="s">
        <v>4531</v>
      </c>
      <c r="E669" s="168" t="s">
        <v>4931</v>
      </c>
      <c r="F669" s="198" t="s">
        <v>4117</v>
      </c>
      <c r="G669" s="168" t="s">
        <v>379</v>
      </c>
      <c r="H669" s="168" t="s">
        <v>1618</v>
      </c>
      <c r="I669" s="5" t="s">
        <v>5515</v>
      </c>
      <c r="J669" s="5" t="s">
        <v>5514</v>
      </c>
      <c r="K669" s="5" t="str">
        <f t="shared" si="20"/>
        <v>LRPL</v>
      </c>
      <c r="P669" s="53" t="s">
        <v>379</v>
      </c>
    </row>
    <row r="670" spans="1:16" s="53" customFormat="1" x14ac:dyDescent="0.25">
      <c r="A670" s="58" t="str">
        <f t="shared" si="21"/>
        <v>XI RPL 24</v>
      </c>
      <c r="B670" s="171">
        <f>COUNTIF(H$2:H670,H670)</f>
        <v>4</v>
      </c>
      <c r="C670" s="168">
        <v>102419388</v>
      </c>
      <c r="D670" s="168" t="s">
        <v>4532</v>
      </c>
      <c r="E670" s="168" t="s">
        <v>4932</v>
      </c>
      <c r="F670" s="198" t="s">
        <v>4118</v>
      </c>
      <c r="G670" s="168" t="s">
        <v>379</v>
      </c>
      <c r="H670" s="168" t="s">
        <v>1618</v>
      </c>
      <c r="I670" s="5" t="s">
        <v>5515</v>
      </c>
      <c r="J670" s="5" t="s">
        <v>5514</v>
      </c>
      <c r="K670" s="5" t="str">
        <f t="shared" si="20"/>
        <v>LRPL</v>
      </c>
      <c r="P670" s="53" t="s">
        <v>379</v>
      </c>
    </row>
    <row r="671" spans="1:16" s="53" customFormat="1" x14ac:dyDescent="0.25">
      <c r="A671" s="58" t="str">
        <f t="shared" si="21"/>
        <v>XI RPL 25</v>
      </c>
      <c r="B671" s="171">
        <f>COUNTIF(H$2:H671,H671)</f>
        <v>5</v>
      </c>
      <c r="C671" s="168">
        <v>102419389</v>
      </c>
      <c r="D671" s="168" t="s">
        <v>4533</v>
      </c>
      <c r="E671" s="168" t="s">
        <v>4933</v>
      </c>
      <c r="F671" s="198" t="s">
        <v>4119</v>
      </c>
      <c r="G671" s="168" t="s">
        <v>379</v>
      </c>
      <c r="H671" s="168" t="s">
        <v>1618</v>
      </c>
      <c r="I671" s="5" t="s">
        <v>5515</v>
      </c>
      <c r="J671" s="5" t="s">
        <v>5514</v>
      </c>
      <c r="K671" s="5" t="str">
        <f t="shared" si="20"/>
        <v>LRPL</v>
      </c>
      <c r="P671" s="53" t="s">
        <v>379</v>
      </c>
    </row>
    <row r="672" spans="1:16" s="53" customFormat="1" x14ac:dyDescent="0.25">
      <c r="A672" s="58" t="str">
        <f t="shared" si="21"/>
        <v>XI RPL 26</v>
      </c>
      <c r="B672" s="171">
        <f>COUNTIF(H$2:H672,H672)</f>
        <v>6</v>
      </c>
      <c r="C672" s="168">
        <v>102419390</v>
      </c>
      <c r="D672" s="168" t="s">
        <v>4534</v>
      </c>
      <c r="E672" s="168" t="s">
        <v>4934</v>
      </c>
      <c r="F672" s="198" t="s">
        <v>4120</v>
      </c>
      <c r="G672" s="168" t="s">
        <v>381</v>
      </c>
      <c r="H672" s="168" t="s">
        <v>1618</v>
      </c>
      <c r="I672" s="5" t="s">
        <v>5515</v>
      </c>
      <c r="J672" s="5" t="s">
        <v>5514</v>
      </c>
      <c r="K672" s="5" t="str">
        <f t="shared" si="20"/>
        <v>PRPL</v>
      </c>
      <c r="P672" s="53" t="s">
        <v>381</v>
      </c>
    </row>
    <row r="673" spans="1:16" s="53" customFormat="1" x14ac:dyDescent="0.25">
      <c r="A673" s="58" t="str">
        <f t="shared" si="21"/>
        <v>XI RPL 27</v>
      </c>
      <c r="B673" s="171">
        <f>COUNTIF(H$2:H673,H673)</f>
        <v>7</v>
      </c>
      <c r="C673" s="168">
        <v>102419391</v>
      </c>
      <c r="D673" s="168" t="s">
        <v>4535</v>
      </c>
      <c r="E673" s="168" t="s">
        <v>4935</v>
      </c>
      <c r="F673" s="198" t="s">
        <v>4121</v>
      </c>
      <c r="G673" s="168" t="s">
        <v>379</v>
      </c>
      <c r="H673" s="168" t="s">
        <v>1618</v>
      </c>
      <c r="I673" s="5" t="s">
        <v>5515</v>
      </c>
      <c r="J673" s="5" t="s">
        <v>5514</v>
      </c>
      <c r="K673" s="5" t="str">
        <f t="shared" si="20"/>
        <v>LRPL</v>
      </c>
      <c r="P673" s="53" t="s">
        <v>379</v>
      </c>
    </row>
    <row r="674" spans="1:16" s="53" customFormat="1" x14ac:dyDescent="0.25">
      <c r="A674" s="58" t="str">
        <f t="shared" si="21"/>
        <v>XI RPL 28</v>
      </c>
      <c r="B674" s="171">
        <f>COUNTIF(H$2:H674,H674)</f>
        <v>8</v>
      </c>
      <c r="C674" s="168">
        <v>102419392</v>
      </c>
      <c r="D674" s="168" t="s">
        <v>4536</v>
      </c>
      <c r="E674" s="168" t="s">
        <v>4936</v>
      </c>
      <c r="F674" s="198" t="s">
        <v>4122</v>
      </c>
      <c r="G674" s="168" t="s">
        <v>381</v>
      </c>
      <c r="H674" s="168" t="s">
        <v>1618</v>
      </c>
      <c r="I674" s="5" t="s">
        <v>5515</v>
      </c>
      <c r="J674" s="5" t="s">
        <v>5514</v>
      </c>
      <c r="K674" s="5" t="str">
        <f t="shared" si="20"/>
        <v>PRPL</v>
      </c>
      <c r="P674" s="53" t="s">
        <v>381</v>
      </c>
    </row>
    <row r="675" spans="1:16" s="53" customFormat="1" x14ac:dyDescent="0.25">
      <c r="A675" s="58" t="str">
        <f t="shared" si="21"/>
        <v>XI RPL 29</v>
      </c>
      <c r="B675" s="171">
        <f>COUNTIF(H$2:H675,H675)</f>
        <v>9</v>
      </c>
      <c r="C675" s="168">
        <v>102419393</v>
      </c>
      <c r="D675" s="168" t="s">
        <v>4537</v>
      </c>
      <c r="E675" s="168" t="s">
        <v>4937</v>
      </c>
      <c r="F675" s="198" t="s">
        <v>4123</v>
      </c>
      <c r="G675" s="168" t="s">
        <v>379</v>
      </c>
      <c r="H675" s="168" t="s">
        <v>1618</v>
      </c>
      <c r="I675" s="5" t="s">
        <v>5515</v>
      </c>
      <c r="J675" s="5" t="s">
        <v>5514</v>
      </c>
      <c r="K675" s="5" t="str">
        <f t="shared" si="20"/>
        <v>LRPL</v>
      </c>
      <c r="P675" s="53" t="s">
        <v>379</v>
      </c>
    </row>
    <row r="676" spans="1:16" s="53" customFormat="1" x14ac:dyDescent="0.25">
      <c r="A676" s="58" t="str">
        <f t="shared" si="21"/>
        <v>XI RPL 210</v>
      </c>
      <c r="B676" s="171">
        <f>COUNTIF(H$2:H676,H676)</f>
        <v>10</v>
      </c>
      <c r="C676" s="168">
        <v>102419394</v>
      </c>
      <c r="D676" s="168" t="s">
        <v>4538</v>
      </c>
      <c r="E676" s="168" t="s">
        <v>4938</v>
      </c>
      <c r="F676" s="198" t="s">
        <v>4124</v>
      </c>
      <c r="G676" s="168" t="s">
        <v>381</v>
      </c>
      <c r="H676" s="168" t="s">
        <v>1618</v>
      </c>
      <c r="I676" s="5" t="s">
        <v>5515</v>
      </c>
      <c r="J676" s="5" t="s">
        <v>5514</v>
      </c>
      <c r="K676" s="5" t="str">
        <f t="shared" si="20"/>
        <v>PRPL</v>
      </c>
      <c r="P676" s="53" t="s">
        <v>381</v>
      </c>
    </row>
    <row r="677" spans="1:16" s="53" customFormat="1" x14ac:dyDescent="0.25">
      <c r="A677" s="58" t="str">
        <f t="shared" si="21"/>
        <v>XI RPL 211</v>
      </c>
      <c r="B677" s="171">
        <f>COUNTIF(H$2:H677,H677)</f>
        <v>11</v>
      </c>
      <c r="C677" s="168">
        <v>102419395</v>
      </c>
      <c r="D677" s="168" t="s">
        <v>4539</v>
      </c>
      <c r="E677" s="168" t="s">
        <v>4939</v>
      </c>
      <c r="F677" s="198" t="s">
        <v>4125</v>
      </c>
      <c r="G677" s="168" t="s">
        <v>379</v>
      </c>
      <c r="H677" s="168" t="s">
        <v>1618</v>
      </c>
      <c r="I677" s="5" t="s">
        <v>5515</v>
      </c>
      <c r="J677" s="5" t="s">
        <v>5514</v>
      </c>
      <c r="K677" s="5" t="str">
        <f t="shared" si="20"/>
        <v>LRPL</v>
      </c>
      <c r="P677" s="53" t="s">
        <v>379</v>
      </c>
    </row>
    <row r="678" spans="1:16" s="53" customFormat="1" x14ac:dyDescent="0.25">
      <c r="A678" s="58" t="str">
        <f t="shared" si="21"/>
        <v>XI RPL 212</v>
      </c>
      <c r="B678" s="171">
        <f>COUNTIF(H$2:H678,H678)</f>
        <v>12</v>
      </c>
      <c r="C678" s="168">
        <v>102419397</v>
      </c>
      <c r="D678" s="168" t="s">
        <v>4541</v>
      </c>
      <c r="E678" s="168" t="s">
        <v>4941</v>
      </c>
      <c r="F678" s="198" t="s">
        <v>4127</v>
      </c>
      <c r="G678" s="168" t="s">
        <v>381</v>
      </c>
      <c r="H678" s="168" t="s">
        <v>1618</v>
      </c>
      <c r="I678" s="5" t="s">
        <v>5515</v>
      </c>
      <c r="J678" s="5" t="s">
        <v>5514</v>
      </c>
      <c r="K678" s="5" t="str">
        <f t="shared" si="20"/>
        <v>PRPL</v>
      </c>
      <c r="P678" s="53" t="s">
        <v>381</v>
      </c>
    </row>
    <row r="679" spans="1:16" s="53" customFormat="1" x14ac:dyDescent="0.25">
      <c r="A679" s="58" t="str">
        <f t="shared" si="21"/>
        <v>XI RPL 213</v>
      </c>
      <c r="B679" s="171">
        <f>COUNTIF(H$2:H679,H679)</f>
        <v>13</v>
      </c>
      <c r="C679" s="168">
        <v>102419398</v>
      </c>
      <c r="D679" s="168" t="s">
        <v>4542</v>
      </c>
      <c r="E679" s="168" t="s">
        <v>4942</v>
      </c>
      <c r="F679" s="198" t="s">
        <v>4128</v>
      </c>
      <c r="G679" s="168" t="s">
        <v>379</v>
      </c>
      <c r="H679" s="168" t="s">
        <v>1618</v>
      </c>
      <c r="I679" s="5" t="s">
        <v>5515</v>
      </c>
      <c r="J679" s="5" t="s">
        <v>5514</v>
      </c>
      <c r="K679" s="5" t="str">
        <f t="shared" si="20"/>
        <v>LRPL</v>
      </c>
      <c r="P679" s="53" t="s">
        <v>379</v>
      </c>
    </row>
    <row r="680" spans="1:16" s="53" customFormat="1" x14ac:dyDescent="0.25">
      <c r="A680" s="58" t="str">
        <f t="shared" si="21"/>
        <v>XI RPL 214</v>
      </c>
      <c r="B680" s="171">
        <f>COUNTIF(H$2:H680,H680)</f>
        <v>14</v>
      </c>
      <c r="C680" s="168">
        <v>102419399</v>
      </c>
      <c r="D680" s="168" t="s">
        <v>4543</v>
      </c>
      <c r="E680" s="168" t="s">
        <v>4943</v>
      </c>
      <c r="F680" s="198" t="s">
        <v>4129</v>
      </c>
      <c r="G680" s="168" t="s">
        <v>381</v>
      </c>
      <c r="H680" s="168" t="s">
        <v>1618</v>
      </c>
      <c r="I680" s="5" t="s">
        <v>5515</v>
      </c>
      <c r="J680" s="5" t="s">
        <v>5514</v>
      </c>
      <c r="K680" s="5" t="str">
        <f t="shared" si="20"/>
        <v>PRPL</v>
      </c>
      <c r="P680" s="53" t="s">
        <v>381</v>
      </c>
    </row>
    <row r="681" spans="1:16" s="53" customFormat="1" x14ac:dyDescent="0.25">
      <c r="A681" s="58" t="str">
        <f t="shared" si="21"/>
        <v>XI RPL 215</v>
      </c>
      <c r="B681" s="171">
        <f>COUNTIF(H$2:H681,H681)</f>
        <v>15</v>
      </c>
      <c r="C681" s="168">
        <v>102419400</v>
      </c>
      <c r="D681" s="168" t="s">
        <v>4544</v>
      </c>
      <c r="E681" s="168" t="s">
        <v>4944</v>
      </c>
      <c r="F681" s="198" t="s">
        <v>4130</v>
      </c>
      <c r="G681" s="168" t="s">
        <v>379</v>
      </c>
      <c r="H681" s="168" t="s">
        <v>1618</v>
      </c>
      <c r="I681" s="5" t="s">
        <v>5515</v>
      </c>
      <c r="J681" s="5" t="s">
        <v>5514</v>
      </c>
      <c r="K681" s="5" t="str">
        <f t="shared" ref="K681:K745" si="22">G681&amp;J681</f>
        <v>LRPL</v>
      </c>
      <c r="P681" s="53" t="s">
        <v>379</v>
      </c>
    </row>
    <row r="682" spans="1:16" s="53" customFormat="1" x14ac:dyDescent="0.25">
      <c r="A682" s="58" t="str">
        <f t="shared" ref="A682:A746" si="23">H682&amp;B682</f>
        <v>XI RPL 216</v>
      </c>
      <c r="B682" s="171">
        <f>COUNTIF(H$2:H682,H682)</f>
        <v>16</v>
      </c>
      <c r="C682" s="168">
        <v>102419401</v>
      </c>
      <c r="D682" s="168" t="s">
        <v>4545</v>
      </c>
      <c r="E682" s="168" t="s">
        <v>4945</v>
      </c>
      <c r="F682" s="198" t="s">
        <v>4131</v>
      </c>
      <c r="G682" s="168" t="s">
        <v>379</v>
      </c>
      <c r="H682" s="168" t="s">
        <v>1618</v>
      </c>
      <c r="I682" s="5" t="s">
        <v>5515</v>
      </c>
      <c r="J682" s="5" t="s">
        <v>5514</v>
      </c>
      <c r="K682" s="5" t="str">
        <f t="shared" si="22"/>
        <v>LRPL</v>
      </c>
      <c r="P682" s="53" t="s">
        <v>379</v>
      </c>
    </row>
    <row r="683" spans="1:16" s="53" customFormat="1" x14ac:dyDescent="0.25">
      <c r="A683" s="58" t="str">
        <f t="shared" si="23"/>
        <v>XI RPL 217</v>
      </c>
      <c r="B683" s="171">
        <f>COUNTIF(H$2:H683,H683)</f>
        <v>17</v>
      </c>
      <c r="C683" s="168">
        <v>102419402</v>
      </c>
      <c r="D683" s="168" t="s">
        <v>4546</v>
      </c>
      <c r="E683" s="168" t="s">
        <v>4946</v>
      </c>
      <c r="F683" s="198" t="s">
        <v>4132</v>
      </c>
      <c r="G683" s="168" t="s">
        <v>379</v>
      </c>
      <c r="H683" s="168" t="s">
        <v>1618</v>
      </c>
      <c r="I683" s="5" t="s">
        <v>5515</v>
      </c>
      <c r="J683" s="5" t="s">
        <v>5514</v>
      </c>
      <c r="K683" s="5" t="str">
        <f t="shared" si="22"/>
        <v>LRPL</v>
      </c>
      <c r="P683" s="53" t="s">
        <v>379</v>
      </c>
    </row>
    <row r="684" spans="1:16" s="53" customFormat="1" x14ac:dyDescent="0.25">
      <c r="A684" s="58" t="str">
        <f t="shared" si="23"/>
        <v>XI RPL 218</v>
      </c>
      <c r="B684" s="171">
        <f>COUNTIF(H$2:H684,H684)</f>
        <v>18</v>
      </c>
      <c r="C684" s="168">
        <v>102419403</v>
      </c>
      <c r="D684" s="168" t="s">
        <v>4547</v>
      </c>
      <c r="E684" s="168" t="s">
        <v>4947</v>
      </c>
      <c r="F684" s="198" t="s">
        <v>4133</v>
      </c>
      <c r="G684" s="168" t="s">
        <v>379</v>
      </c>
      <c r="H684" s="168" t="s">
        <v>1618</v>
      </c>
      <c r="I684" s="5" t="s">
        <v>5515</v>
      </c>
      <c r="J684" s="5" t="s">
        <v>5514</v>
      </c>
      <c r="K684" s="5" t="str">
        <f t="shared" si="22"/>
        <v>LRPL</v>
      </c>
      <c r="P684" s="53" t="s">
        <v>379</v>
      </c>
    </row>
    <row r="685" spans="1:16" s="53" customFormat="1" x14ac:dyDescent="0.25">
      <c r="A685" s="58" t="str">
        <f t="shared" si="23"/>
        <v>XI RPL 219</v>
      </c>
      <c r="B685" s="171">
        <f>COUNTIF(H$2:H685,H685)</f>
        <v>19</v>
      </c>
      <c r="C685" s="168">
        <v>102419404</v>
      </c>
      <c r="D685" s="168" t="s">
        <v>4548</v>
      </c>
      <c r="E685" s="168" t="s">
        <v>4948</v>
      </c>
      <c r="F685" s="198" t="s">
        <v>4134</v>
      </c>
      <c r="G685" s="168" t="s">
        <v>379</v>
      </c>
      <c r="H685" s="168" t="s">
        <v>1618</v>
      </c>
      <c r="I685" s="5" t="s">
        <v>5515</v>
      </c>
      <c r="J685" s="5" t="s">
        <v>5514</v>
      </c>
      <c r="K685" s="5" t="str">
        <f t="shared" si="22"/>
        <v>LRPL</v>
      </c>
      <c r="P685" s="53" t="s">
        <v>379</v>
      </c>
    </row>
    <row r="686" spans="1:16" s="53" customFormat="1" x14ac:dyDescent="0.25">
      <c r="A686" s="58" t="str">
        <f t="shared" si="23"/>
        <v>XI RPL 220</v>
      </c>
      <c r="B686" s="171">
        <f>COUNTIF(H$2:H686,H686)</f>
        <v>20</v>
      </c>
      <c r="C686" s="168">
        <v>102419405</v>
      </c>
      <c r="D686" s="168" t="s">
        <v>4549</v>
      </c>
      <c r="E686" s="168" t="s">
        <v>4949</v>
      </c>
      <c r="F686" s="198" t="s">
        <v>4135</v>
      </c>
      <c r="G686" s="168" t="s">
        <v>379</v>
      </c>
      <c r="H686" s="168" t="s">
        <v>1618</v>
      </c>
      <c r="I686" s="5" t="s">
        <v>5515</v>
      </c>
      <c r="J686" s="5" t="s">
        <v>5514</v>
      </c>
      <c r="K686" s="5" t="str">
        <f t="shared" si="22"/>
        <v>LRPL</v>
      </c>
      <c r="P686" s="53" t="s">
        <v>379</v>
      </c>
    </row>
    <row r="687" spans="1:16" s="53" customFormat="1" x14ac:dyDescent="0.25">
      <c r="A687" s="58" t="str">
        <f t="shared" si="23"/>
        <v>XI RPL 221</v>
      </c>
      <c r="B687" s="171">
        <f>COUNTIF(H$2:H687,H687)</f>
        <v>21</v>
      </c>
      <c r="C687" s="168">
        <v>102419406</v>
      </c>
      <c r="D687" s="168" t="s">
        <v>4550</v>
      </c>
      <c r="E687" s="168" t="s">
        <v>4950</v>
      </c>
      <c r="F687" s="198" t="s">
        <v>4136</v>
      </c>
      <c r="G687" s="168" t="s">
        <v>379</v>
      </c>
      <c r="H687" s="168" t="s">
        <v>1618</v>
      </c>
      <c r="I687" s="5" t="s">
        <v>5515</v>
      </c>
      <c r="J687" s="5" t="s">
        <v>5514</v>
      </c>
      <c r="K687" s="5" t="str">
        <f t="shared" si="22"/>
        <v>LRPL</v>
      </c>
      <c r="P687" s="53" t="s">
        <v>379</v>
      </c>
    </row>
    <row r="688" spans="1:16" s="53" customFormat="1" x14ac:dyDescent="0.25">
      <c r="A688" s="58" t="str">
        <f t="shared" si="23"/>
        <v>XI RPL 222</v>
      </c>
      <c r="B688" s="171">
        <f>COUNTIF(H$2:H688,H688)</f>
        <v>22</v>
      </c>
      <c r="C688" s="168">
        <v>102419407</v>
      </c>
      <c r="D688" s="168" t="s">
        <v>4551</v>
      </c>
      <c r="E688" s="168" t="s">
        <v>4951</v>
      </c>
      <c r="F688" s="198" t="s">
        <v>4137</v>
      </c>
      <c r="G688" s="168" t="s">
        <v>379</v>
      </c>
      <c r="H688" s="168" t="s">
        <v>1618</v>
      </c>
      <c r="I688" s="5" t="s">
        <v>5515</v>
      </c>
      <c r="J688" s="5" t="s">
        <v>5514</v>
      </c>
      <c r="K688" s="5" t="str">
        <f t="shared" si="22"/>
        <v>LRPL</v>
      </c>
      <c r="P688" s="53" t="s">
        <v>379</v>
      </c>
    </row>
    <row r="689" spans="1:16" s="53" customFormat="1" x14ac:dyDescent="0.25">
      <c r="A689" s="58" t="str">
        <f t="shared" si="23"/>
        <v>XI RPL 223</v>
      </c>
      <c r="B689" s="171">
        <f>COUNTIF(H$2:H689,H689)</f>
        <v>23</v>
      </c>
      <c r="C689" s="168">
        <v>102419408</v>
      </c>
      <c r="D689" s="168" t="s">
        <v>4552</v>
      </c>
      <c r="E689" s="168" t="s">
        <v>4952</v>
      </c>
      <c r="F689" s="198" t="s">
        <v>4138</v>
      </c>
      <c r="G689" s="168" t="s">
        <v>379</v>
      </c>
      <c r="H689" s="168" t="s">
        <v>1618</v>
      </c>
      <c r="I689" s="5" t="s">
        <v>5515</v>
      </c>
      <c r="J689" s="5" t="s">
        <v>5514</v>
      </c>
      <c r="K689" s="5" t="str">
        <f t="shared" si="22"/>
        <v>LRPL</v>
      </c>
      <c r="P689" s="53" t="s">
        <v>379</v>
      </c>
    </row>
    <row r="690" spans="1:16" s="53" customFormat="1" x14ac:dyDescent="0.25">
      <c r="A690" s="58" t="str">
        <f t="shared" si="23"/>
        <v>XI RPL 224</v>
      </c>
      <c r="B690" s="171">
        <f>COUNTIF(H$2:H690,H690)</f>
        <v>24</v>
      </c>
      <c r="C690" s="168">
        <v>102419409</v>
      </c>
      <c r="D690" s="168" t="s">
        <v>4553</v>
      </c>
      <c r="E690" s="168" t="s">
        <v>4953</v>
      </c>
      <c r="F690" s="198" t="s">
        <v>4139</v>
      </c>
      <c r="G690" s="168" t="s">
        <v>381</v>
      </c>
      <c r="H690" s="168" t="s">
        <v>1618</v>
      </c>
      <c r="I690" s="5" t="s">
        <v>5515</v>
      </c>
      <c r="J690" s="5" t="s">
        <v>5514</v>
      </c>
      <c r="K690" s="5" t="str">
        <f t="shared" si="22"/>
        <v>PRPL</v>
      </c>
      <c r="P690" s="53" t="s">
        <v>381</v>
      </c>
    </row>
    <row r="691" spans="1:16" s="53" customFormat="1" x14ac:dyDescent="0.25">
      <c r="A691" s="58" t="str">
        <f t="shared" si="23"/>
        <v>XI RPL 225</v>
      </c>
      <c r="B691" s="171">
        <f>COUNTIF(H$2:H691,H691)</f>
        <v>25</v>
      </c>
      <c r="C691" s="168">
        <v>102419410</v>
      </c>
      <c r="D691" s="168" t="s">
        <v>4554</v>
      </c>
      <c r="E691" s="168" t="s">
        <v>4954</v>
      </c>
      <c r="F691" s="198" t="s">
        <v>4140</v>
      </c>
      <c r="G691" s="168" t="s">
        <v>381</v>
      </c>
      <c r="H691" s="168" t="s">
        <v>1618</v>
      </c>
      <c r="I691" s="5" t="s">
        <v>5515</v>
      </c>
      <c r="J691" s="5" t="s">
        <v>5514</v>
      </c>
      <c r="K691" s="5" t="str">
        <f t="shared" si="22"/>
        <v>PRPL</v>
      </c>
      <c r="P691" s="53" t="s">
        <v>381</v>
      </c>
    </row>
    <row r="692" spans="1:16" s="53" customFormat="1" x14ac:dyDescent="0.25">
      <c r="A692" s="58" t="str">
        <f t="shared" si="23"/>
        <v>XI RPL 226</v>
      </c>
      <c r="B692" s="171">
        <f>COUNTIF(H$2:H692,H692)</f>
        <v>26</v>
      </c>
      <c r="C692" s="168">
        <v>102419412</v>
      </c>
      <c r="D692" s="168" t="s">
        <v>4556</v>
      </c>
      <c r="E692" s="168" t="s">
        <v>4956</v>
      </c>
      <c r="F692" s="198" t="s">
        <v>4142</v>
      </c>
      <c r="G692" s="168" t="s">
        <v>379</v>
      </c>
      <c r="H692" s="168" t="s">
        <v>1618</v>
      </c>
      <c r="I692" s="5" t="s">
        <v>5515</v>
      </c>
      <c r="J692" s="5" t="s">
        <v>5514</v>
      </c>
      <c r="K692" s="5" t="str">
        <f t="shared" si="22"/>
        <v>LRPL</v>
      </c>
      <c r="P692" s="53" t="s">
        <v>379</v>
      </c>
    </row>
    <row r="693" spans="1:16" s="53" customFormat="1" x14ac:dyDescent="0.25">
      <c r="A693" s="58" t="str">
        <f t="shared" si="23"/>
        <v>XI RPL 227</v>
      </c>
      <c r="B693" s="171">
        <f>COUNTIF(H$2:H693,H693)</f>
        <v>27</v>
      </c>
      <c r="C693" s="168">
        <v>102419413</v>
      </c>
      <c r="D693" s="168" t="s">
        <v>4557</v>
      </c>
      <c r="E693" s="168" t="s">
        <v>4957</v>
      </c>
      <c r="F693" s="198" t="s">
        <v>4143</v>
      </c>
      <c r="G693" s="168" t="s">
        <v>379</v>
      </c>
      <c r="H693" s="168" t="s">
        <v>1618</v>
      </c>
      <c r="I693" s="5" t="s">
        <v>5515</v>
      </c>
      <c r="J693" s="5" t="s">
        <v>5514</v>
      </c>
      <c r="K693" s="5" t="str">
        <f t="shared" si="22"/>
        <v>LRPL</v>
      </c>
      <c r="P693" s="53" t="s">
        <v>379</v>
      </c>
    </row>
    <row r="694" spans="1:16" s="53" customFormat="1" x14ac:dyDescent="0.25">
      <c r="A694" s="58" t="str">
        <f t="shared" si="23"/>
        <v>XI RPL 228</v>
      </c>
      <c r="B694" s="171">
        <f>COUNTIF(H$2:H694,H694)</f>
        <v>28</v>
      </c>
      <c r="C694" s="168">
        <v>102419414</v>
      </c>
      <c r="D694" s="168" t="s">
        <v>4558</v>
      </c>
      <c r="E694" s="168" t="s">
        <v>4958</v>
      </c>
      <c r="F694" s="198" t="s">
        <v>4144</v>
      </c>
      <c r="G694" s="168" t="s">
        <v>379</v>
      </c>
      <c r="H694" s="168" t="s">
        <v>1618</v>
      </c>
      <c r="I694" s="5" t="s">
        <v>5515</v>
      </c>
      <c r="J694" s="5" t="s">
        <v>5514</v>
      </c>
      <c r="K694" s="5" t="str">
        <f t="shared" si="22"/>
        <v>LRPL</v>
      </c>
      <c r="P694" s="53" t="s">
        <v>379</v>
      </c>
    </row>
    <row r="695" spans="1:16" s="53" customFormat="1" x14ac:dyDescent="0.25">
      <c r="A695" s="58" t="str">
        <f t="shared" si="23"/>
        <v>XI RPL 229</v>
      </c>
      <c r="B695" s="171">
        <f>COUNTIF(H$2:H695,H695)</f>
        <v>29</v>
      </c>
      <c r="C695" s="168">
        <v>102419415</v>
      </c>
      <c r="D695" s="168" t="s">
        <v>4559</v>
      </c>
      <c r="E695" s="168" t="s">
        <v>4959</v>
      </c>
      <c r="F695" s="198" t="s">
        <v>4145</v>
      </c>
      <c r="G695" s="168" t="s">
        <v>379</v>
      </c>
      <c r="H695" s="168" t="s">
        <v>1618</v>
      </c>
      <c r="I695" s="5" t="s">
        <v>5515</v>
      </c>
      <c r="J695" s="5" t="s">
        <v>5514</v>
      </c>
      <c r="K695" s="5" t="str">
        <f t="shared" si="22"/>
        <v>LRPL</v>
      </c>
      <c r="P695" s="53" t="s">
        <v>379</v>
      </c>
    </row>
    <row r="696" spans="1:16" s="53" customFormat="1" x14ac:dyDescent="0.25">
      <c r="A696" s="58" t="str">
        <f t="shared" si="23"/>
        <v>XI RPL 230</v>
      </c>
      <c r="B696" s="171">
        <f>COUNTIF(H$2:H696,H696)</f>
        <v>30</v>
      </c>
      <c r="C696" s="168">
        <v>102419416</v>
      </c>
      <c r="D696" s="168" t="s">
        <v>4560</v>
      </c>
      <c r="E696" s="168" t="s">
        <v>4960</v>
      </c>
      <c r="F696" s="198" t="s">
        <v>4146</v>
      </c>
      <c r="G696" s="168" t="s">
        <v>381</v>
      </c>
      <c r="H696" s="168" t="s">
        <v>1618</v>
      </c>
      <c r="I696" s="5" t="s">
        <v>5515</v>
      </c>
      <c r="J696" s="5" t="s">
        <v>5514</v>
      </c>
      <c r="K696" s="5" t="str">
        <f t="shared" si="22"/>
        <v>PRPL</v>
      </c>
      <c r="P696" s="53" t="s">
        <v>381</v>
      </c>
    </row>
    <row r="697" spans="1:16" s="53" customFormat="1" x14ac:dyDescent="0.25">
      <c r="A697" s="58" t="str">
        <f t="shared" si="23"/>
        <v>XI RPL 231</v>
      </c>
      <c r="B697" s="171">
        <f>COUNTIF(H$2:H697,H697)</f>
        <v>31</v>
      </c>
      <c r="C697" s="168">
        <v>102419417</v>
      </c>
      <c r="D697" s="168" t="s">
        <v>4561</v>
      </c>
      <c r="E697" s="168" t="s">
        <v>4961</v>
      </c>
      <c r="F697" s="198" t="s">
        <v>4147</v>
      </c>
      <c r="G697" s="168" t="s">
        <v>379</v>
      </c>
      <c r="H697" s="168" t="s">
        <v>1618</v>
      </c>
      <c r="I697" s="5" t="s">
        <v>5515</v>
      </c>
      <c r="J697" s="5" t="s">
        <v>5514</v>
      </c>
      <c r="K697" s="5" t="str">
        <f t="shared" si="22"/>
        <v>LRPL</v>
      </c>
      <c r="P697" s="53" t="s">
        <v>379</v>
      </c>
    </row>
    <row r="698" spans="1:16" s="53" customFormat="1" x14ac:dyDescent="0.25">
      <c r="A698" s="58" t="str">
        <f t="shared" si="23"/>
        <v>XI RPL 232</v>
      </c>
      <c r="B698" s="171">
        <f>COUNTIF(H$2:H698,H698)</f>
        <v>32</v>
      </c>
      <c r="C698" s="168">
        <v>102419418</v>
      </c>
      <c r="D698" s="168" t="s">
        <v>4562</v>
      </c>
      <c r="E698" s="168" t="s">
        <v>4962</v>
      </c>
      <c r="F698" s="198" t="s">
        <v>4148</v>
      </c>
      <c r="G698" s="168" t="s">
        <v>379</v>
      </c>
      <c r="H698" s="168" t="s">
        <v>1618</v>
      </c>
      <c r="I698" s="5" t="s">
        <v>5515</v>
      </c>
      <c r="J698" s="5" t="s">
        <v>5514</v>
      </c>
      <c r="K698" s="5" t="str">
        <f t="shared" si="22"/>
        <v>LRPL</v>
      </c>
      <c r="P698" s="53" t="s">
        <v>379</v>
      </c>
    </row>
    <row r="699" spans="1:16" s="53" customFormat="1" x14ac:dyDescent="0.25">
      <c r="A699" s="58" t="str">
        <f t="shared" si="23"/>
        <v>XI RPL 233</v>
      </c>
      <c r="B699" s="171">
        <f>COUNTIF(H$2:H699,H699)</f>
        <v>33</v>
      </c>
      <c r="C699" s="168">
        <v>102419419</v>
      </c>
      <c r="D699" s="168" t="s">
        <v>4563</v>
      </c>
      <c r="E699" s="168" t="s">
        <v>4963</v>
      </c>
      <c r="F699" s="198" t="s">
        <v>4149</v>
      </c>
      <c r="G699" s="168" t="s">
        <v>379</v>
      </c>
      <c r="H699" s="168" t="s">
        <v>1618</v>
      </c>
      <c r="I699" s="5" t="s">
        <v>5515</v>
      </c>
      <c r="J699" s="5" t="s">
        <v>5514</v>
      </c>
      <c r="K699" s="5" t="str">
        <f t="shared" si="22"/>
        <v>LRPL</v>
      </c>
      <c r="P699" s="53" t="s">
        <v>379</v>
      </c>
    </row>
    <row r="700" spans="1:16" s="53" customFormat="1" x14ac:dyDescent="0.25">
      <c r="A700" s="58" t="str">
        <f t="shared" si="23"/>
        <v>XI RPL 234</v>
      </c>
      <c r="B700" s="171">
        <f>COUNTIF(H$2:H700,H700)</f>
        <v>34</v>
      </c>
      <c r="C700" s="168">
        <v>102419420</v>
      </c>
      <c r="D700" s="168" t="s">
        <v>4564</v>
      </c>
      <c r="E700" s="168" t="s">
        <v>4964</v>
      </c>
      <c r="F700" s="198" t="s">
        <v>4150</v>
      </c>
      <c r="G700" s="168" t="s">
        <v>379</v>
      </c>
      <c r="H700" s="168" t="s">
        <v>1618</v>
      </c>
      <c r="I700" s="5" t="s">
        <v>5515</v>
      </c>
      <c r="J700" s="5" t="s">
        <v>5514</v>
      </c>
      <c r="K700" s="5" t="str">
        <f t="shared" si="22"/>
        <v>LRPL</v>
      </c>
      <c r="P700" s="53" t="s">
        <v>379</v>
      </c>
    </row>
    <row r="701" spans="1:16" s="53" customFormat="1" x14ac:dyDescent="0.25">
      <c r="A701" s="58" t="str">
        <f t="shared" si="23"/>
        <v>XI TKJ 11</v>
      </c>
      <c r="B701" s="171">
        <f>COUNTIF(H$2:H701,H701)</f>
        <v>1</v>
      </c>
      <c r="C701" s="168">
        <v>102419421</v>
      </c>
      <c r="D701" s="168" t="s">
        <v>4565</v>
      </c>
      <c r="E701" s="168" t="s">
        <v>4965</v>
      </c>
      <c r="F701" s="198" t="s">
        <v>4151</v>
      </c>
      <c r="G701" s="168" t="s">
        <v>379</v>
      </c>
      <c r="H701" s="168" t="s">
        <v>1612</v>
      </c>
      <c r="I701" s="5" t="s">
        <v>5516</v>
      </c>
      <c r="J701" s="148" t="s">
        <v>4671</v>
      </c>
      <c r="K701" s="5" t="str">
        <f t="shared" si="22"/>
        <v>LTKJ</v>
      </c>
      <c r="P701" s="53" t="s">
        <v>379</v>
      </c>
    </row>
    <row r="702" spans="1:16" s="53" customFormat="1" x14ac:dyDescent="0.25">
      <c r="A702" s="58" t="str">
        <f t="shared" si="23"/>
        <v>XI TKJ 12</v>
      </c>
      <c r="B702" s="171">
        <f>COUNTIF(H$2:H702,H702)</f>
        <v>2</v>
      </c>
      <c r="C702" s="168">
        <v>102419422</v>
      </c>
      <c r="D702" s="168" t="s">
        <v>4566</v>
      </c>
      <c r="E702" s="168" t="s">
        <v>4966</v>
      </c>
      <c r="F702" s="198" t="s">
        <v>4152</v>
      </c>
      <c r="G702" s="168" t="s">
        <v>379</v>
      </c>
      <c r="H702" s="168" t="s">
        <v>1612</v>
      </c>
      <c r="I702" s="5" t="s">
        <v>5516</v>
      </c>
      <c r="J702" s="148" t="s">
        <v>4671</v>
      </c>
      <c r="K702" s="5" t="str">
        <f t="shared" si="22"/>
        <v>LTKJ</v>
      </c>
      <c r="P702" s="53" t="s">
        <v>379</v>
      </c>
    </row>
    <row r="703" spans="1:16" s="53" customFormat="1" x14ac:dyDescent="0.25">
      <c r="A703" s="58" t="str">
        <f t="shared" si="23"/>
        <v>XI TKJ 13</v>
      </c>
      <c r="B703" s="171">
        <f>COUNTIF(H$2:H703,H703)</f>
        <v>3</v>
      </c>
      <c r="C703" s="168">
        <v>102419423</v>
      </c>
      <c r="D703" s="168" t="s">
        <v>4567</v>
      </c>
      <c r="E703" s="168" t="s">
        <v>4967</v>
      </c>
      <c r="F703" s="198" t="s">
        <v>4153</v>
      </c>
      <c r="G703" s="168" t="s">
        <v>379</v>
      </c>
      <c r="H703" s="168" t="s">
        <v>1612</v>
      </c>
      <c r="I703" s="5" t="s">
        <v>5516</v>
      </c>
      <c r="J703" s="148" t="s">
        <v>4671</v>
      </c>
      <c r="K703" s="5" t="str">
        <f t="shared" si="22"/>
        <v>LTKJ</v>
      </c>
      <c r="P703" s="53" t="s">
        <v>379</v>
      </c>
    </row>
    <row r="704" spans="1:16" s="53" customFormat="1" x14ac:dyDescent="0.25">
      <c r="A704" s="58" t="str">
        <f t="shared" si="23"/>
        <v>XI TKJ 14</v>
      </c>
      <c r="B704" s="171">
        <f>COUNTIF(H$2:H704,H704)</f>
        <v>4</v>
      </c>
      <c r="C704" s="168">
        <v>102419424</v>
      </c>
      <c r="D704" s="168" t="s">
        <v>4568</v>
      </c>
      <c r="E704" s="168" t="s">
        <v>4968</v>
      </c>
      <c r="F704" s="198" t="s">
        <v>4221</v>
      </c>
      <c r="G704" s="168" t="s">
        <v>379</v>
      </c>
      <c r="H704" s="168" t="s">
        <v>1612</v>
      </c>
      <c r="I704" s="5" t="s">
        <v>5516</v>
      </c>
      <c r="J704" s="148" t="s">
        <v>4671</v>
      </c>
      <c r="K704" s="5" t="str">
        <f t="shared" si="22"/>
        <v>LTKJ</v>
      </c>
      <c r="P704" s="53" t="s">
        <v>379</v>
      </c>
    </row>
    <row r="705" spans="1:23" s="53" customFormat="1" x14ac:dyDescent="0.25">
      <c r="A705" s="58" t="str">
        <f t="shared" si="23"/>
        <v>XI TKJ 15</v>
      </c>
      <c r="B705" s="171">
        <f>COUNTIF(H$2:H705,H705)</f>
        <v>5</v>
      </c>
      <c r="C705" s="168">
        <v>102419425</v>
      </c>
      <c r="D705" s="168" t="s">
        <v>4569</v>
      </c>
      <c r="E705" s="168" t="s">
        <v>4969</v>
      </c>
      <c r="F705" s="198" t="s">
        <v>4189</v>
      </c>
      <c r="G705" s="168" t="s">
        <v>379</v>
      </c>
      <c r="H705" s="168" t="s">
        <v>1612</v>
      </c>
      <c r="I705" s="5" t="s">
        <v>5516</v>
      </c>
      <c r="J705" s="148" t="s">
        <v>4671</v>
      </c>
      <c r="K705" s="5" t="str">
        <f t="shared" si="22"/>
        <v>LTKJ</v>
      </c>
      <c r="P705" s="53" t="s">
        <v>379</v>
      </c>
    </row>
    <row r="706" spans="1:23" s="53" customFormat="1" x14ac:dyDescent="0.25">
      <c r="A706" s="58" t="str">
        <f t="shared" si="23"/>
        <v>XI TKJ 16</v>
      </c>
      <c r="B706" s="171">
        <f>COUNTIF(H$2:H706,H706)</f>
        <v>6</v>
      </c>
      <c r="C706" s="168">
        <v>102419426</v>
      </c>
      <c r="D706" s="168" t="s">
        <v>4570</v>
      </c>
      <c r="E706" s="168" t="s">
        <v>4970</v>
      </c>
      <c r="F706" s="198" t="s">
        <v>4190</v>
      </c>
      <c r="G706" s="168" t="s">
        <v>379</v>
      </c>
      <c r="H706" s="168" t="s">
        <v>1612</v>
      </c>
      <c r="I706" s="5" t="s">
        <v>5516</v>
      </c>
      <c r="J706" s="148" t="s">
        <v>4671</v>
      </c>
      <c r="K706" s="5" t="str">
        <f t="shared" si="22"/>
        <v>LTKJ</v>
      </c>
      <c r="P706" s="53" t="s">
        <v>379</v>
      </c>
    </row>
    <row r="707" spans="1:23" s="166" customFormat="1" x14ac:dyDescent="0.25">
      <c r="A707" s="58" t="str">
        <f t="shared" si="23"/>
        <v>XI TKJ 17</v>
      </c>
      <c r="B707" s="171">
        <f>COUNTIF(H$2:H707,H707)</f>
        <v>7</v>
      </c>
      <c r="C707" s="199">
        <v>102419427</v>
      </c>
      <c r="D707" s="199" t="s">
        <v>4571</v>
      </c>
      <c r="E707" s="199" t="s">
        <v>4971</v>
      </c>
      <c r="F707" s="200" t="s">
        <v>4191</v>
      </c>
      <c r="G707" s="168" t="s">
        <v>379</v>
      </c>
      <c r="H707" s="168" t="s">
        <v>1612</v>
      </c>
      <c r="I707" s="5" t="s">
        <v>5516</v>
      </c>
      <c r="J707" s="148" t="s">
        <v>4671</v>
      </c>
      <c r="K707" s="5" t="str">
        <f t="shared" si="22"/>
        <v>LTKJ</v>
      </c>
      <c r="P707" s="165" t="s">
        <v>379</v>
      </c>
      <c r="Q707" s="165"/>
      <c r="R707" s="165"/>
      <c r="S707" s="165"/>
      <c r="T707" s="165"/>
      <c r="U707" s="165"/>
      <c r="V707" s="165"/>
      <c r="W707" s="165"/>
    </row>
    <row r="708" spans="1:23" s="53" customFormat="1" x14ac:dyDescent="0.25">
      <c r="A708" s="58" t="str">
        <f t="shared" si="23"/>
        <v>XI TKJ 18</v>
      </c>
      <c r="B708" s="171">
        <f>COUNTIF(H$2:H708,H708)</f>
        <v>8</v>
      </c>
      <c r="C708" s="168">
        <v>102419428</v>
      </c>
      <c r="D708" s="168" t="s">
        <v>4572</v>
      </c>
      <c r="E708" s="168" t="s">
        <v>4972</v>
      </c>
      <c r="F708" s="198" t="s">
        <v>4192</v>
      </c>
      <c r="G708" s="168" t="s">
        <v>379</v>
      </c>
      <c r="H708" s="168" t="s">
        <v>1612</v>
      </c>
      <c r="I708" s="5" t="s">
        <v>5516</v>
      </c>
      <c r="J708" s="148" t="s">
        <v>4671</v>
      </c>
      <c r="K708" s="5" t="str">
        <f t="shared" si="22"/>
        <v>LTKJ</v>
      </c>
      <c r="P708" s="53" t="s">
        <v>379</v>
      </c>
    </row>
    <row r="709" spans="1:23" s="53" customFormat="1" x14ac:dyDescent="0.25">
      <c r="A709" s="58" t="str">
        <f t="shared" si="23"/>
        <v>XI TKJ 19</v>
      </c>
      <c r="B709" s="171">
        <f>COUNTIF(H$2:H709,H709)</f>
        <v>9</v>
      </c>
      <c r="C709" s="168">
        <v>102419429</v>
      </c>
      <c r="D709" s="168" t="s">
        <v>4573</v>
      </c>
      <c r="E709" s="168" t="s">
        <v>4973</v>
      </c>
      <c r="F709" s="198" t="s">
        <v>4261</v>
      </c>
      <c r="G709" s="168" t="s">
        <v>379</v>
      </c>
      <c r="H709" s="168" t="s">
        <v>1612</v>
      </c>
      <c r="I709" s="5" t="s">
        <v>5516</v>
      </c>
      <c r="J709" s="148" t="s">
        <v>4671</v>
      </c>
      <c r="K709" s="5" t="str">
        <f t="shared" si="22"/>
        <v>LTKJ</v>
      </c>
      <c r="P709" s="53" t="s">
        <v>379</v>
      </c>
    </row>
    <row r="710" spans="1:23" s="53" customFormat="1" x14ac:dyDescent="0.25">
      <c r="A710" s="58" t="str">
        <f t="shared" si="23"/>
        <v>XI TKJ 110</v>
      </c>
      <c r="B710" s="171">
        <f>COUNTIF(H$2:H710,H710)</f>
        <v>10</v>
      </c>
      <c r="C710" s="168">
        <f>'Baru NIS'!C427</f>
        <v>102519950</v>
      </c>
      <c r="D710" s="226" t="str">
        <f>'Baru NIS'!D427</f>
        <v>0095921074</v>
      </c>
      <c r="E710" s="168" t="s">
        <v>6381</v>
      </c>
      <c r="F710" s="198" t="s">
        <v>6378</v>
      </c>
      <c r="G710" s="168" t="s">
        <v>379</v>
      </c>
      <c r="H710" s="168" t="s">
        <v>1612</v>
      </c>
      <c r="I710" s="5" t="s">
        <v>5516</v>
      </c>
      <c r="J710" s="148" t="s">
        <v>4671</v>
      </c>
      <c r="K710" s="5" t="str">
        <f t="shared" ref="K710" si="24">G710&amp;J710</f>
        <v>LTKJ</v>
      </c>
    </row>
    <row r="711" spans="1:23" s="53" customFormat="1" x14ac:dyDescent="0.25">
      <c r="A711" s="58" t="str">
        <f t="shared" si="23"/>
        <v>XI TKJ 111</v>
      </c>
      <c r="B711" s="171">
        <f>COUNTIF(H$2:H711,H711)</f>
        <v>11</v>
      </c>
      <c r="C711" s="168">
        <v>102419430</v>
      </c>
      <c r="D711" s="168" t="s">
        <v>4574</v>
      </c>
      <c r="E711" s="168" t="s">
        <v>4974</v>
      </c>
      <c r="F711" s="198" t="s">
        <v>4225</v>
      </c>
      <c r="G711" s="168" t="s">
        <v>379</v>
      </c>
      <c r="H711" s="168" t="s">
        <v>1612</v>
      </c>
      <c r="I711" s="5" t="s">
        <v>5516</v>
      </c>
      <c r="J711" s="148" t="s">
        <v>4671</v>
      </c>
      <c r="K711" s="5" t="str">
        <f t="shared" si="22"/>
        <v>LTKJ</v>
      </c>
      <c r="P711" s="53" t="s">
        <v>379</v>
      </c>
    </row>
    <row r="712" spans="1:23" s="53" customFormat="1" x14ac:dyDescent="0.25">
      <c r="A712" s="58" t="str">
        <f t="shared" si="23"/>
        <v>XI TKJ 112</v>
      </c>
      <c r="B712" s="171">
        <f>COUNTIF(H$2:H712,H712)</f>
        <v>12</v>
      </c>
      <c r="C712" s="168">
        <v>102419431</v>
      </c>
      <c r="D712" s="168" t="s">
        <v>4575</v>
      </c>
      <c r="E712" s="168" t="s">
        <v>4975</v>
      </c>
      <c r="F712" s="198" t="s">
        <v>4226</v>
      </c>
      <c r="G712" s="168" t="s">
        <v>379</v>
      </c>
      <c r="H712" s="168" t="s">
        <v>1612</v>
      </c>
      <c r="I712" s="5" t="s">
        <v>5516</v>
      </c>
      <c r="J712" s="148" t="s">
        <v>4671</v>
      </c>
      <c r="K712" s="5" t="str">
        <f t="shared" si="22"/>
        <v>LTKJ</v>
      </c>
      <c r="P712" s="53" t="s">
        <v>379</v>
      </c>
    </row>
    <row r="713" spans="1:23" s="53" customFormat="1" x14ac:dyDescent="0.25">
      <c r="A713" s="58" t="str">
        <f t="shared" si="23"/>
        <v>XI TKJ 113</v>
      </c>
      <c r="B713" s="171">
        <f>COUNTIF(H$2:H713,H713)</f>
        <v>13</v>
      </c>
      <c r="C713" s="168">
        <v>102419432</v>
      </c>
      <c r="D713" s="168" t="s">
        <v>4576</v>
      </c>
      <c r="E713" s="168" t="s">
        <v>4976</v>
      </c>
      <c r="F713" s="198" t="s">
        <v>4227</v>
      </c>
      <c r="G713" s="168" t="s">
        <v>379</v>
      </c>
      <c r="H713" s="168" t="s">
        <v>1612</v>
      </c>
      <c r="I713" s="5" t="s">
        <v>5516</v>
      </c>
      <c r="J713" s="148" t="s">
        <v>4671</v>
      </c>
      <c r="K713" s="5" t="str">
        <f t="shared" si="22"/>
        <v>LTKJ</v>
      </c>
      <c r="P713" s="53" t="s">
        <v>379</v>
      </c>
    </row>
    <row r="714" spans="1:23" s="53" customFormat="1" x14ac:dyDescent="0.25">
      <c r="A714" s="58" t="str">
        <f t="shared" si="23"/>
        <v>XI TKJ 114</v>
      </c>
      <c r="B714" s="171">
        <f>COUNTIF(H$2:H714,H714)</f>
        <v>14</v>
      </c>
      <c r="C714" s="168">
        <v>102419433</v>
      </c>
      <c r="D714" s="168" t="s">
        <v>4577</v>
      </c>
      <c r="E714" s="168" t="s">
        <v>4977</v>
      </c>
      <c r="F714" s="198" t="s">
        <v>4196</v>
      </c>
      <c r="G714" s="168" t="s">
        <v>379</v>
      </c>
      <c r="H714" s="168" t="s">
        <v>1612</v>
      </c>
      <c r="I714" s="5" t="s">
        <v>5516</v>
      </c>
      <c r="J714" s="148" t="s">
        <v>4671</v>
      </c>
      <c r="K714" s="5" t="str">
        <f t="shared" si="22"/>
        <v>LTKJ</v>
      </c>
      <c r="P714" s="53" t="s">
        <v>379</v>
      </c>
    </row>
    <row r="715" spans="1:23" s="53" customFormat="1" x14ac:dyDescent="0.25">
      <c r="A715" s="58" t="str">
        <f t="shared" si="23"/>
        <v>XI TKJ 115</v>
      </c>
      <c r="B715" s="171">
        <f>COUNTIF(H$2:H715,H715)</f>
        <v>15</v>
      </c>
      <c r="C715" s="168">
        <v>102419434</v>
      </c>
      <c r="D715" s="168" t="s">
        <v>4578</v>
      </c>
      <c r="E715" s="168" t="s">
        <v>4978</v>
      </c>
      <c r="F715" s="198" t="s">
        <v>4229</v>
      </c>
      <c r="G715" s="168" t="s">
        <v>379</v>
      </c>
      <c r="H715" s="168" t="s">
        <v>1612</v>
      </c>
      <c r="I715" s="5" t="s">
        <v>5516</v>
      </c>
      <c r="J715" s="148" t="s">
        <v>4671</v>
      </c>
      <c r="K715" s="5" t="str">
        <f t="shared" si="22"/>
        <v>LTKJ</v>
      </c>
      <c r="P715" s="53" t="s">
        <v>379</v>
      </c>
    </row>
    <row r="716" spans="1:23" s="53" customFormat="1" x14ac:dyDescent="0.25">
      <c r="A716" s="58" t="str">
        <f t="shared" si="23"/>
        <v>XI TKJ 116</v>
      </c>
      <c r="B716" s="171">
        <f>COUNTIF(H$2:H716,H716)</f>
        <v>16</v>
      </c>
      <c r="C716" s="168">
        <v>102419435</v>
      </c>
      <c r="D716" s="168" t="s">
        <v>4579</v>
      </c>
      <c r="E716" s="168" t="s">
        <v>4979</v>
      </c>
      <c r="F716" s="198" t="s">
        <v>4230</v>
      </c>
      <c r="G716" s="168" t="s">
        <v>379</v>
      </c>
      <c r="H716" s="168" t="s">
        <v>1612</v>
      </c>
      <c r="I716" s="5" t="s">
        <v>5516</v>
      </c>
      <c r="J716" s="148" t="s">
        <v>4671</v>
      </c>
      <c r="K716" s="5" t="str">
        <f t="shared" si="22"/>
        <v>LTKJ</v>
      </c>
      <c r="P716" s="53" t="s">
        <v>379</v>
      </c>
    </row>
    <row r="717" spans="1:23" s="53" customFormat="1" x14ac:dyDescent="0.25">
      <c r="A717" s="58" t="str">
        <f t="shared" si="23"/>
        <v>XI TKJ 117</v>
      </c>
      <c r="B717" s="171">
        <f>COUNTIF(H$2:H717,H717)</f>
        <v>17</v>
      </c>
      <c r="C717" s="168">
        <v>102419436</v>
      </c>
      <c r="D717" s="168" t="s">
        <v>4580</v>
      </c>
      <c r="E717" s="168" t="s">
        <v>4980</v>
      </c>
      <c r="F717" s="198" t="s">
        <v>4231</v>
      </c>
      <c r="G717" s="168" t="s">
        <v>379</v>
      </c>
      <c r="H717" s="168" t="s">
        <v>1612</v>
      </c>
      <c r="I717" s="5" t="s">
        <v>5516</v>
      </c>
      <c r="J717" s="148" t="s">
        <v>4671</v>
      </c>
      <c r="K717" s="5" t="str">
        <f t="shared" si="22"/>
        <v>LTKJ</v>
      </c>
      <c r="P717" s="53" t="s">
        <v>379</v>
      </c>
    </row>
    <row r="718" spans="1:23" s="53" customFormat="1" x14ac:dyDescent="0.25">
      <c r="A718" s="58" t="str">
        <f t="shared" si="23"/>
        <v>XI TKJ 118</v>
      </c>
      <c r="B718" s="171">
        <f>COUNTIF(H$2:H718,H718)</f>
        <v>18</v>
      </c>
      <c r="C718" s="168">
        <v>102419437</v>
      </c>
      <c r="D718" s="168" t="s">
        <v>4581</v>
      </c>
      <c r="E718" s="168" t="s">
        <v>4981</v>
      </c>
      <c r="F718" s="198" t="s">
        <v>4232</v>
      </c>
      <c r="G718" s="168" t="s">
        <v>379</v>
      </c>
      <c r="H718" s="168" t="s">
        <v>1612</v>
      </c>
      <c r="I718" s="5" t="s">
        <v>5516</v>
      </c>
      <c r="J718" s="148" t="s">
        <v>4671</v>
      </c>
      <c r="K718" s="5" t="str">
        <f t="shared" si="22"/>
        <v>LTKJ</v>
      </c>
      <c r="P718" s="53" t="s">
        <v>379</v>
      </c>
    </row>
    <row r="719" spans="1:23" s="53" customFormat="1" x14ac:dyDescent="0.25">
      <c r="A719" s="58" t="str">
        <f t="shared" si="23"/>
        <v>XI TKJ 119</v>
      </c>
      <c r="B719" s="171">
        <f>COUNTIF(H$2:H719,H719)</f>
        <v>19</v>
      </c>
      <c r="C719" s="168">
        <v>102419438</v>
      </c>
      <c r="D719" s="168" t="s">
        <v>4582</v>
      </c>
      <c r="E719" s="168" t="s">
        <v>4982</v>
      </c>
      <c r="F719" s="198" t="s">
        <v>4233</v>
      </c>
      <c r="G719" s="168" t="s">
        <v>379</v>
      </c>
      <c r="H719" s="168" t="s">
        <v>1612</v>
      </c>
      <c r="I719" s="5" t="s">
        <v>5516</v>
      </c>
      <c r="J719" s="148" t="s">
        <v>4671</v>
      </c>
      <c r="K719" s="5" t="str">
        <f t="shared" si="22"/>
        <v>LTKJ</v>
      </c>
      <c r="P719" s="53" t="s">
        <v>379</v>
      </c>
    </row>
    <row r="720" spans="1:23" s="53" customFormat="1" x14ac:dyDescent="0.25">
      <c r="A720" s="58" t="str">
        <f t="shared" si="23"/>
        <v>XI TKJ 120</v>
      </c>
      <c r="B720" s="171">
        <f>COUNTIF(H$2:H720,H720)</f>
        <v>20</v>
      </c>
      <c r="C720" s="168">
        <v>102419439</v>
      </c>
      <c r="D720" s="168" t="s">
        <v>4583</v>
      </c>
      <c r="E720" s="168" t="s">
        <v>4983</v>
      </c>
      <c r="F720" s="198" t="s">
        <v>4234</v>
      </c>
      <c r="G720" s="168" t="s">
        <v>379</v>
      </c>
      <c r="H720" s="168" t="s">
        <v>1612</v>
      </c>
      <c r="I720" s="5" t="s">
        <v>5516</v>
      </c>
      <c r="J720" s="148" t="s">
        <v>4671</v>
      </c>
      <c r="K720" s="5" t="str">
        <f t="shared" si="22"/>
        <v>LTKJ</v>
      </c>
      <c r="P720" s="53" t="s">
        <v>379</v>
      </c>
    </row>
    <row r="721" spans="1:16" s="53" customFormat="1" x14ac:dyDescent="0.25">
      <c r="A721" s="58" t="str">
        <f t="shared" si="23"/>
        <v>XI TKJ 121</v>
      </c>
      <c r="B721" s="171">
        <f>COUNTIF(H$2:H721,H721)</f>
        <v>21</v>
      </c>
      <c r="C721" s="168">
        <v>102419440</v>
      </c>
      <c r="D721" s="168" t="s">
        <v>4584</v>
      </c>
      <c r="E721" s="168" t="s">
        <v>4984</v>
      </c>
      <c r="F721" s="198" t="s">
        <v>4235</v>
      </c>
      <c r="G721" s="168" t="s">
        <v>379</v>
      </c>
      <c r="H721" s="168" t="s">
        <v>1612</v>
      </c>
      <c r="I721" s="5" t="s">
        <v>5516</v>
      </c>
      <c r="J721" s="148" t="s">
        <v>4671</v>
      </c>
      <c r="K721" s="5" t="str">
        <f t="shared" si="22"/>
        <v>LTKJ</v>
      </c>
      <c r="P721" s="53" t="s">
        <v>379</v>
      </c>
    </row>
    <row r="722" spans="1:16" s="53" customFormat="1" x14ac:dyDescent="0.25">
      <c r="A722" s="58" t="str">
        <f t="shared" si="23"/>
        <v>XI TKJ 122</v>
      </c>
      <c r="B722" s="171">
        <f>COUNTIF(H$2:H722,H722)</f>
        <v>22</v>
      </c>
      <c r="C722" s="168">
        <v>102419441</v>
      </c>
      <c r="D722" s="168" t="s">
        <v>4585</v>
      </c>
      <c r="E722" s="168" t="s">
        <v>4985</v>
      </c>
      <c r="F722" s="198" t="s">
        <v>4236</v>
      </c>
      <c r="G722" s="168" t="s">
        <v>379</v>
      </c>
      <c r="H722" s="168" t="s">
        <v>1612</v>
      </c>
      <c r="I722" s="5" t="s">
        <v>5516</v>
      </c>
      <c r="J722" s="148" t="s">
        <v>4671</v>
      </c>
      <c r="K722" s="5" t="str">
        <f t="shared" si="22"/>
        <v>LTKJ</v>
      </c>
      <c r="P722" s="53" t="s">
        <v>379</v>
      </c>
    </row>
    <row r="723" spans="1:16" s="53" customFormat="1" x14ac:dyDescent="0.25">
      <c r="A723" s="58" t="str">
        <f t="shared" si="23"/>
        <v>XI TKJ 123</v>
      </c>
      <c r="B723" s="171">
        <f>COUNTIF(H$2:H723,H723)</f>
        <v>23</v>
      </c>
      <c r="C723" s="168">
        <v>102419442</v>
      </c>
      <c r="D723" s="168" t="s">
        <v>4586</v>
      </c>
      <c r="E723" s="168" t="s">
        <v>4986</v>
      </c>
      <c r="F723" s="198" t="s">
        <v>4237</v>
      </c>
      <c r="G723" s="168" t="s">
        <v>379</v>
      </c>
      <c r="H723" s="168" t="s">
        <v>1612</v>
      </c>
      <c r="I723" s="5" t="s">
        <v>5516</v>
      </c>
      <c r="J723" s="148" t="s">
        <v>4671</v>
      </c>
      <c r="K723" s="5" t="str">
        <f t="shared" si="22"/>
        <v>LTKJ</v>
      </c>
      <c r="P723" s="53" t="s">
        <v>379</v>
      </c>
    </row>
    <row r="724" spans="1:16" s="53" customFormat="1" x14ac:dyDescent="0.25">
      <c r="A724" s="58" t="str">
        <f t="shared" si="23"/>
        <v>XI TKJ 124</v>
      </c>
      <c r="B724" s="171">
        <f>COUNTIF(H$2:H724,H724)</f>
        <v>24</v>
      </c>
      <c r="C724" s="168">
        <v>102419443</v>
      </c>
      <c r="D724" s="168" t="s">
        <v>4587</v>
      </c>
      <c r="E724" s="168" t="s">
        <v>4987</v>
      </c>
      <c r="F724" s="198" t="s">
        <v>4238</v>
      </c>
      <c r="G724" s="168" t="s">
        <v>379</v>
      </c>
      <c r="H724" s="168" t="s">
        <v>1612</v>
      </c>
      <c r="I724" s="5" t="s">
        <v>5516</v>
      </c>
      <c r="J724" s="148" t="s">
        <v>4671</v>
      </c>
      <c r="K724" s="5" t="str">
        <f t="shared" si="22"/>
        <v>LTKJ</v>
      </c>
      <c r="P724" s="53" t="s">
        <v>379</v>
      </c>
    </row>
    <row r="725" spans="1:16" s="53" customFormat="1" x14ac:dyDescent="0.25">
      <c r="A725" s="58" t="str">
        <f t="shared" si="23"/>
        <v>XI TKJ 125</v>
      </c>
      <c r="B725" s="171">
        <f>COUNTIF(H$2:H725,H725)</f>
        <v>25</v>
      </c>
      <c r="C725" s="168">
        <v>102419444</v>
      </c>
      <c r="D725" s="168" t="s">
        <v>4588</v>
      </c>
      <c r="E725" s="168" t="s">
        <v>4988</v>
      </c>
      <c r="F725" s="198" t="s">
        <v>4239</v>
      </c>
      <c r="G725" s="168" t="s">
        <v>379</v>
      </c>
      <c r="H725" s="168" t="s">
        <v>1612</v>
      </c>
      <c r="I725" s="5" t="s">
        <v>5516</v>
      </c>
      <c r="J725" s="148" t="s">
        <v>4671</v>
      </c>
      <c r="K725" s="5" t="str">
        <f t="shared" si="22"/>
        <v>LTKJ</v>
      </c>
      <c r="P725" s="53" t="s">
        <v>379</v>
      </c>
    </row>
    <row r="726" spans="1:16" s="53" customFormat="1" x14ac:dyDescent="0.25">
      <c r="A726" s="58" t="str">
        <f t="shared" si="23"/>
        <v>XI TKJ 126</v>
      </c>
      <c r="B726" s="171">
        <f>COUNTIF(H$2:H726,H726)</f>
        <v>26</v>
      </c>
      <c r="C726" s="168">
        <v>102419445</v>
      </c>
      <c r="D726" s="168" t="s">
        <v>4589</v>
      </c>
      <c r="E726" s="168" t="s">
        <v>4989</v>
      </c>
      <c r="F726" s="198" t="s">
        <v>4240</v>
      </c>
      <c r="G726" s="168" t="s">
        <v>381</v>
      </c>
      <c r="H726" s="168" t="s">
        <v>1612</v>
      </c>
      <c r="I726" s="5" t="s">
        <v>5516</v>
      </c>
      <c r="J726" s="148" t="s">
        <v>4671</v>
      </c>
      <c r="K726" s="5" t="str">
        <f t="shared" si="22"/>
        <v>PTKJ</v>
      </c>
      <c r="P726" s="53" t="s">
        <v>381</v>
      </c>
    </row>
    <row r="727" spans="1:16" s="53" customFormat="1" x14ac:dyDescent="0.25">
      <c r="A727" s="58" t="str">
        <f t="shared" si="23"/>
        <v>XI TKJ 127</v>
      </c>
      <c r="B727" s="171">
        <f>COUNTIF(H$2:H727,H727)</f>
        <v>27</v>
      </c>
      <c r="C727" s="168">
        <v>102419446</v>
      </c>
      <c r="D727" s="168" t="s">
        <v>4590</v>
      </c>
      <c r="E727" s="168" t="s">
        <v>4990</v>
      </c>
      <c r="F727" s="198" t="s">
        <v>4241</v>
      </c>
      <c r="G727" s="168" t="s">
        <v>381</v>
      </c>
      <c r="H727" s="168" t="s">
        <v>1612</v>
      </c>
      <c r="I727" s="5" t="s">
        <v>5516</v>
      </c>
      <c r="J727" s="148" t="s">
        <v>4671</v>
      </c>
      <c r="K727" s="5" t="str">
        <f t="shared" si="22"/>
        <v>PTKJ</v>
      </c>
      <c r="P727" s="53" t="s">
        <v>381</v>
      </c>
    </row>
    <row r="728" spans="1:16" s="53" customFormat="1" x14ac:dyDescent="0.25">
      <c r="A728" s="58" t="str">
        <f t="shared" si="23"/>
        <v>XI TKJ 128</v>
      </c>
      <c r="B728" s="171">
        <f>COUNTIF(H$2:H728,H728)</f>
        <v>28</v>
      </c>
      <c r="C728" s="168">
        <v>102419447</v>
      </c>
      <c r="D728" s="168" t="s">
        <v>4591</v>
      </c>
      <c r="E728" s="168" t="s">
        <v>4991</v>
      </c>
      <c r="F728" s="198" t="s">
        <v>4242</v>
      </c>
      <c r="G728" s="168" t="s">
        <v>379</v>
      </c>
      <c r="H728" s="168" t="s">
        <v>1612</v>
      </c>
      <c r="I728" s="5" t="s">
        <v>5516</v>
      </c>
      <c r="J728" s="148" t="s">
        <v>4671</v>
      </c>
      <c r="K728" s="5" t="str">
        <f t="shared" si="22"/>
        <v>LTKJ</v>
      </c>
      <c r="P728" s="53" t="s">
        <v>379</v>
      </c>
    </row>
    <row r="729" spans="1:16" s="53" customFormat="1" x14ac:dyDescent="0.25">
      <c r="A729" s="58" t="str">
        <f t="shared" si="23"/>
        <v>XI TKJ 129</v>
      </c>
      <c r="B729" s="171">
        <f>COUNTIF(H$2:H729,H729)</f>
        <v>29</v>
      </c>
      <c r="C729" s="168">
        <v>102419448</v>
      </c>
      <c r="D729" s="168" t="s">
        <v>4592</v>
      </c>
      <c r="E729" s="168" t="s">
        <v>4992</v>
      </c>
      <c r="F729" s="198" t="s">
        <v>4243</v>
      </c>
      <c r="G729" s="168" t="s">
        <v>379</v>
      </c>
      <c r="H729" s="168" t="s">
        <v>1612</v>
      </c>
      <c r="I729" s="5" t="s">
        <v>5516</v>
      </c>
      <c r="J729" s="148" t="s">
        <v>4671</v>
      </c>
      <c r="K729" s="5" t="str">
        <f t="shared" si="22"/>
        <v>LTKJ</v>
      </c>
      <c r="P729" s="53" t="s">
        <v>379</v>
      </c>
    </row>
    <row r="730" spans="1:16" s="53" customFormat="1" x14ac:dyDescent="0.25">
      <c r="A730" s="58" t="str">
        <f t="shared" si="23"/>
        <v>XI TKJ 130</v>
      </c>
      <c r="B730" s="171">
        <f>COUNTIF(H$2:H730,H730)</f>
        <v>30</v>
      </c>
      <c r="C730" s="168">
        <v>102419449</v>
      </c>
      <c r="D730" s="168" t="s">
        <v>4593</v>
      </c>
      <c r="E730" s="168" t="s">
        <v>4993</v>
      </c>
      <c r="F730" s="198" t="s">
        <v>4213</v>
      </c>
      <c r="G730" s="168" t="s">
        <v>379</v>
      </c>
      <c r="H730" s="168" t="s">
        <v>1612</v>
      </c>
      <c r="I730" s="5" t="s">
        <v>5516</v>
      </c>
      <c r="J730" s="148" t="s">
        <v>4671</v>
      </c>
      <c r="K730" s="5" t="str">
        <f t="shared" si="22"/>
        <v>LTKJ</v>
      </c>
      <c r="P730" s="53" t="s">
        <v>379</v>
      </c>
    </row>
    <row r="731" spans="1:16" s="53" customFormat="1" x14ac:dyDescent="0.25">
      <c r="A731" s="58" t="str">
        <f t="shared" si="23"/>
        <v>XI TKJ 131</v>
      </c>
      <c r="B731" s="171">
        <f>COUNTIF(H$2:H731,H731)</f>
        <v>31</v>
      </c>
      <c r="C731" s="168">
        <v>102419450</v>
      </c>
      <c r="D731" s="168" t="s">
        <v>4594</v>
      </c>
      <c r="E731" s="168" t="s">
        <v>4994</v>
      </c>
      <c r="F731" s="198" t="s">
        <v>4244</v>
      </c>
      <c r="G731" s="168" t="s">
        <v>379</v>
      </c>
      <c r="H731" s="168" t="s">
        <v>1612</v>
      </c>
      <c r="I731" s="5" t="s">
        <v>5516</v>
      </c>
      <c r="J731" s="148" t="s">
        <v>4671</v>
      </c>
      <c r="K731" s="5" t="str">
        <f t="shared" si="22"/>
        <v>LTKJ</v>
      </c>
      <c r="P731" s="53" t="s">
        <v>379</v>
      </c>
    </row>
    <row r="732" spans="1:16" s="53" customFormat="1" x14ac:dyDescent="0.25">
      <c r="A732" s="58" t="str">
        <f t="shared" si="23"/>
        <v>XI TKJ 132</v>
      </c>
      <c r="B732" s="171">
        <f>COUNTIF(H$2:H732,H732)</f>
        <v>32</v>
      </c>
      <c r="C732" s="168">
        <v>102419451</v>
      </c>
      <c r="D732" s="168" t="s">
        <v>4595</v>
      </c>
      <c r="E732" s="168" t="s">
        <v>4995</v>
      </c>
      <c r="F732" s="198" t="s">
        <v>4245</v>
      </c>
      <c r="G732" s="168" t="s">
        <v>379</v>
      </c>
      <c r="H732" s="168" t="s">
        <v>1612</v>
      </c>
      <c r="I732" s="5" t="s">
        <v>5516</v>
      </c>
      <c r="J732" s="148" t="s">
        <v>4671</v>
      </c>
      <c r="K732" s="5" t="str">
        <f t="shared" si="22"/>
        <v>LTKJ</v>
      </c>
      <c r="P732" s="53" t="s">
        <v>379</v>
      </c>
    </row>
    <row r="733" spans="1:16" s="53" customFormat="1" x14ac:dyDescent="0.25">
      <c r="A733" s="58" t="str">
        <f t="shared" si="23"/>
        <v>XI TKJ 133</v>
      </c>
      <c r="B733" s="171">
        <f>COUNTIF(H$2:H733,H733)</f>
        <v>33</v>
      </c>
      <c r="C733" s="168">
        <v>102419452</v>
      </c>
      <c r="D733" s="168" t="s">
        <v>4596</v>
      </c>
      <c r="E733" s="168" t="s">
        <v>4996</v>
      </c>
      <c r="F733" s="198" t="s">
        <v>4247</v>
      </c>
      <c r="G733" s="168" t="s">
        <v>379</v>
      </c>
      <c r="H733" s="168" t="s">
        <v>1612</v>
      </c>
      <c r="I733" s="5" t="s">
        <v>5516</v>
      </c>
      <c r="J733" s="148" t="s">
        <v>4671</v>
      </c>
      <c r="K733" s="5" t="str">
        <f t="shared" si="22"/>
        <v>LTKJ</v>
      </c>
      <c r="P733" s="53" t="s">
        <v>379</v>
      </c>
    </row>
    <row r="734" spans="1:16" s="53" customFormat="1" x14ac:dyDescent="0.25">
      <c r="A734" s="58" t="str">
        <f t="shared" si="23"/>
        <v>XI TKJ 134</v>
      </c>
      <c r="B734" s="171">
        <f>COUNTIF(H$2:H734,H734)</f>
        <v>34</v>
      </c>
      <c r="C734" s="168">
        <v>102419453</v>
      </c>
      <c r="D734" s="168" t="s">
        <v>4597</v>
      </c>
      <c r="E734" s="168" t="s">
        <v>4997</v>
      </c>
      <c r="F734" s="198" t="s">
        <v>4249</v>
      </c>
      <c r="G734" s="168" t="s">
        <v>381</v>
      </c>
      <c r="H734" s="168" t="s">
        <v>1612</v>
      </c>
      <c r="I734" s="5" t="s">
        <v>5516</v>
      </c>
      <c r="J734" s="148" t="s">
        <v>4671</v>
      </c>
      <c r="K734" s="5" t="str">
        <f t="shared" si="22"/>
        <v>PTKJ</v>
      </c>
      <c r="P734" s="53" t="s">
        <v>381</v>
      </c>
    </row>
    <row r="735" spans="1:16" s="53" customFormat="1" x14ac:dyDescent="0.25">
      <c r="A735" s="58" t="str">
        <f t="shared" si="23"/>
        <v>XI TKJ 135</v>
      </c>
      <c r="B735" s="171">
        <f>COUNTIF(H$2:H735,H735)</f>
        <v>35</v>
      </c>
      <c r="C735" s="168">
        <v>102419454</v>
      </c>
      <c r="D735" s="168" t="s">
        <v>4598</v>
      </c>
      <c r="E735" s="168" t="s">
        <v>4998</v>
      </c>
      <c r="F735" s="198" t="s">
        <v>4216</v>
      </c>
      <c r="G735" s="168" t="s">
        <v>381</v>
      </c>
      <c r="H735" s="168" t="s">
        <v>1612</v>
      </c>
      <c r="I735" s="5" t="s">
        <v>5516</v>
      </c>
      <c r="J735" s="148" t="s">
        <v>4671</v>
      </c>
      <c r="K735" s="5" t="str">
        <f t="shared" si="22"/>
        <v>PTKJ</v>
      </c>
      <c r="P735" s="53" t="s">
        <v>381</v>
      </c>
    </row>
    <row r="736" spans="1:16" s="53" customFormat="1" x14ac:dyDescent="0.25">
      <c r="A736" s="58" t="str">
        <f t="shared" si="23"/>
        <v>XI TKJ 21</v>
      </c>
      <c r="B736" s="171">
        <f>COUNTIF(H$2:H736,H736)</f>
        <v>1</v>
      </c>
      <c r="C736" s="168">
        <v>102419455</v>
      </c>
      <c r="D736" s="168" t="s">
        <v>4599</v>
      </c>
      <c r="E736" s="168" t="s">
        <v>4999</v>
      </c>
      <c r="F736" s="198" t="s">
        <v>4184</v>
      </c>
      <c r="G736" s="168" t="s">
        <v>379</v>
      </c>
      <c r="H736" s="168" t="s">
        <v>1630</v>
      </c>
      <c r="I736" s="5" t="s">
        <v>5516</v>
      </c>
      <c r="J736" s="148" t="s">
        <v>4671</v>
      </c>
      <c r="K736" s="5" t="str">
        <f t="shared" si="22"/>
        <v>LTKJ</v>
      </c>
      <c r="P736" s="53" t="s">
        <v>379</v>
      </c>
    </row>
    <row r="737" spans="1:16" s="53" customFormat="1" x14ac:dyDescent="0.25">
      <c r="A737" s="58" t="str">
        <f t="shared" si="23"/>
        <v>XI TKJ 22</v>
      </c>
      <c r="B737" s="171">
        <f>COUNTIF(H$2:H737,H737)</f>
        <v>2</v>
      </c>
      <c r="C737" s="168">
        <v>102419456</v>
      </c>
      <c r="D737" s="168" t="s">
        <v>4600</v>
      </c>
      <c r="E737" s="168" t="s">
        <v>5000</v>
      </c>
      <c r="F737" s="198" t="s">
        <v>4185</v>
      </c>
      <c r="G737" s="168" t="s">
        <v>379</v>
      </c>
      <c r="H737" s="168" t="s">
        <v>1630</v>
      </c>
      <c r="I737" s="5" t="s">
        <v>5516</v>
      </c>
      <c r="J737" s="148" t="s">
        <v>4671</v>
      </c>
      <c r="K737" s="5" t="str">
        <f t="shared" si="22"/>
        <v>LTKJ</v>
      </c>
      <c r="P737" s="53" t="s">
        <v>379</v>
      </c>
    </row>
    <row r="738" spans="1:16" s="53" customFormat="1" x14ac:dyDescent="0.25">
      <c r="A738" s="58" t="str">
        <f t="shared" si="23"/>
        <v>XI TKJ 23</v>
      </c>
      <c r="B738" s="171">
        <f>COUNTIF(H$2:H738,H738)</f>
        <v>3</v>
      </c>
      <c r="C738" s="168">
        <v>102419457</v>
      </c>
      <c r="D738" s="168" t="s">
        <v>4601</v>
      </c>
      <c r="E738" s="168" t="s">
        <v>5001</v>
      </c>
      <c r="F738" s="198" t="s">
        <v>4186</v>
      </c>
      <c r="G738" s="168" t="s">
        <v>379</v>
      </c>
      <c r="H738" s="168" t="s">
        <v>1630</v>
      </c>
      <c r="I738" s="5" t="s">
        <v>5516</v>
      </c>
      <c r="J738" s="148" t="s">
        <v>4671</v>
      </c>
      <c r="K738" s="5" t="str">
        <f t="shared" si="22"/>
        <v>LTKJ</v>
      </c>
      <c r="P738" s="53" t="s">
        <v>379</v>
      </c>
    </row>
    <row r="739" spans="1:16" s="53" customFormat="1" x14ac:dyDescent="0.25">
      <c r="A739" s="58" t="str">
        <f t="shared" si="23"/>
        <v>XI TKJ 24</v>
      </c>
      <c r="B739" s="171">
        <f>COUNTIF(H$2:H739,H739)</f>
        <v>4</v>
      </c>
      <c r="C739" s="168">
        <v>102419458</v>
      </c>
      <c r="D739" s="168" t="s">
        <v>4602</v>
      </c>
      <c r="E739" s="168" t="s">
        <v>5002</v>
      </c>
      <c r="F739" s="198" t="s">
        <v>4187</v>
      </c>
      <c r="G739" s="168" t="s">
        <v>379</v>
      </c>
      <c r="H739" s="168" t="s">
        <v>1630</v>
      </c>
      <c r="I739" s="5" t="s">
        <v>5516</v>
      </c>
      <c r="J739" s="148" t="s">
        <v>4671</v>
      </c>
      <c r="K739" s="5" t="str">
        <f t="shared" si="22"/>
        <v>LTKJ</v>
      </c>
      <c r="P739" s="53" t="s">
        <v>379</v>
      </c>
    </row>
    <row r="740" spans="1:16" s="53" customFormat="1" x14ac:dyDescent="0.25">
      <c r="A740" s="58" t="str">
        <f t="shared" si="23"/>
        <v>XI TKJ 25</v>
      </c>
      <c r="B740" s="171">
        <f>COUNTIF(H$2:H740,H740)</f>
        <v>5</v>
      </c>
      <c r="C740" s="168">
        <v>102419459</v>
      </c>
      <c r="D740" s="168" t="s">
        <v>4603</v>
      </c>
      <c r="E740" s="168" t="s">
        <v>5003</v>
      </c>
      <c r="F740" s="198" t="s">
        <v>4188</v>
      </c>
      <c r="G740" s="168" t="s">
        <v>379</v>
      </c>
      <c r="H740" s="168" t="s">
        <v>1630</v>
      </c>
      <c r="I740" s="5" t="s">
        <v>5516</v>
      </c>
      <c r="J740" s="148" t="s">
        <v>4671</v>
      </c>
      <c r="K740" s="5" t="str">
        <f t="shared" si="22"/>
        <v>LTKJ</v>
      </c>
      <c r="P740" s="53" t="s">
        <v>379</v>
      </c>
    </row>
    <row r="741" spans="1:16" s="53" customFormat="1" x14ac:dyDescent="0.25">
      <c r="A741" s="58" t="str">
        <f t="shared" si="23"/>
        <v>XI TKJ 26</v>
      </c>
      <c r="B741" s="171">
        <f>COUNTIF(H$2:H741,H741)</f>
        <v>6</v>
      </c>
      <c r="C741" s="168">
        <v>102419460</v>
      </c>
      <c r="D741" s="168" t="s">
        <v>4604</v>
      </c>
      <c r="E741" s="168" t="s">
        <v>5004</v>
      </c>
      <c r="F741" s="198" t="s">
        <v>4222</v>
      </c>
      <c r="G741" s="168" t="s">
        <v>379</v>
      </c>
      <c r="H741" s="168" t="s">
        <v>1630</v>
      </c>
      <c r="I741" s="5" t="s">
        <v>5516</v>
      </c>
      <c r="J741" s="148" t="s">
        <v>4671</v>
      </c>
      <c r="K741" s="5" t="str">
        <f t="shared" si="22"/>
        <v>LTKJ</v>
      </c>
      <c r="P741" s="53" t="s">
        <v>379</v>
      </c>
    </row>
    <row r="742" spans="1:16" s="53" customFormat="1" x14ac:dyDescent="0.25">
      <c r="A742" s="58" t="str">
        <f t="shared" si="23"/>
        <v>XI TKJ 27</v>
      </c>
      <c r="B742" s="171">
        <f>COUNTIF(H$2:H742,H742)</f>
        <v>7</v>
      </c>
      <c r="C742" s="168">
        <v>102419461</v>
      </c>
      <c r="D742" s="168" t="s">
        <v>4605</v>
      </c>
      <c r="E742" s="168" t="s">
        <v>5005</v>
      </c>
      <c r="F742" s="198" t="s">
        <v>4223</v>
      </c>
      <c r="G742" s="168" t="s">
        <v>379</v>
      </c>
      <c r="H742" s="168" t="s">
        <v>1630</v>
      </c>
      <c r="I742" s="5" t="s">
        <v>5516</v>
      </c>
      <c r="J742" s="148" t="s">
        <v>4671</v>
      </c>
      <c r="K742" s="5" t="str">
        <f t="shared" si="22"/>
        <v>LTKJ</v>
      </c>
      <c r="P742" s="53" t="s">
        <v>379</v>
      </c>
    </row>
    <row r="743" spans="1:16" s="53" customFormat="1" x14ac:dyDescent="0.25">
      <c r="A743" s="58" t="str">
        <f t="shared" si="23"/>
        <v>XI TKJ 28</v>
      </c>
      <c r="B743" s="171">
        <f>COUNTIF(H$2:H743,H743)</f>
        <v>8</v>
      </c>
      <c r="C743" s="168">
        <v>102419462</v>
      </c>
      <c r="D743" s="168" t="s">
        <v>4606</v>
      </c>
      <c r="E743" s="168" t="s">
        <v>5006</v>
      </c>
      <c r="F743" s="198" t="s">
        <v>4262</v>
      </c>
      <c r="G743" s="168" t="s">
        <v>381</v>
      </c>
      <c r="H743" s="168" t="s">
        <v>1630</v>
      </c>
      <c r="I743" s="5" t="s">
        <v>5516</v>
      </c>
      <c r="J743" s="148" t="s">
        <v>4671</v>
      </c>
      <c r="K743" s="5" t="str">
        <f t="shared" si="22"/>
        <v>PTKJ</v>
      </c>
      <c r="P743" s="53" t="s">
        <v>381</v>
      </c>
    </row>
    <row r="744" spans="1:16" s="53" customFormat="1" x14ac:dyDescent="0.25">
      <c r="A744" s="58" t="str">
        <f t="shared" si="23"/>
        <v>XI TKJ 29</v>
      </c>
      <c r="B744" s="171">
        <f>COUNTIF(H$2:H744,H744)</f>
        <v>9</v>
      </c>
      <c r="C744" s="168">
        <v>102419463</v>
      </c>
      <c r="D744" s="168" t="s">
        <v>4607</v>
      </c>
      <c r="E744" s="168" t="s">
        <v>5007</v>
      </c>
      <c r="F744" s="198" t="s">
        <v>4224</v>
      </c>
      <c r="G744" s="168" t="s">
        <v>381</v>
      </c>
      <c r="H744" s="168" t="s">
        <v>1630</v>
      </c>
      <c r="I744" s="5" t="s">
        <v>5516</v>
      </c>
      <c r="J744" s="148" t="s">
        <v>4671</v>
      </c>
      <c r="K744" s="5" t="str">
        <f t="shared" si="22"/>
        <v>PTKJ</v>
      </c>
      <c r="P744" s="53" t="s">
        <v>381</v>
      </c>
    </row>
    <row r="745" spans="1:16" s="53" customFormat="1" x14ac:dyDescent="0.25">
      <c r="A745" s="58" t="str">
        <f t="shared" si="23"/>
        <v>XI TKJ 210</v>
      </c>
      <c r="B745" s="171">
        <f>COUNTIF(H$2:H745,H745)</f>
        <v>10</v>
      </c>
      <c r="C745" s="168">
        <v>102419464</v>
      </c>
      <c r="D745" s="168" t="s">
        <v>4608</v>
      </c>
      <c r="E745" s="168" t="s">
        <v>5008</v>
      </c>
      <c r="F745" s="198" t="s">
        <v>4193</v>
      </c>
      <c r="G745" s="168" t="s">
        <v>379</v>
      </c>
      <c r="H745" s="168" t="s">
        <v>1630</v>
      </c>
      <c r="I745" s="5" t="s">
        <v>5516</v>
      </c>
      <c r="J745" s="148" t="s">
        <v>4671</v>
      </c>
      <c r="K745" s="5" t="str">
        <f t="shared" si="22"/>
        <v>LTKJ</v>
      </c>
      <c r="P745" s="53" t="s">
        <v>379</v>
      </c>
    </row>
    <row r="746" spans="1:16" s="53" customFormat="1" x14ac:dyDescent="0.25">
      <c r="A746" s="58" t="str">
        <f t="shared" si="23"/>
        <v>XI TKJ 211</v>
      </c>
      <c r="B746" s="171">
        <f>COUNTIF(H$2:H746,H746)</f>
        <v>11</v>
      </c>
      <c r="C746" s="168">
        <v>102419465</v>
      </c>
      <c r="D746" s="168" t="s">
        <v>4609</v>
      </c>
      <c r="E746" s="168" t="s">
        <v>5009</v>
      </c>
      <c r="F746" s="198" t="s">
        <v>4194</v>
      </c>
      <c r="G746" s="168" t="s">
        <v>379</v>
      </c>
      <c r="H746" s="168" t="s">
        <v>1630</v>
      </c>
      <c r="I746" s="5" t="s">
        <v>5516</v>
      </c>
      <c r="J746" s="148" t="s">
        <v>4671</v>
      </c>
      <c r="K746" s="5" t="str">
        <f t="shared" ref="K746:K803" si="25">G746&amp;J746</f>
        <v>LTKJ</v>
      </c>
      <c r="P746" s="53" t="s">
        <v>379</v>
      </c>
    </row>
    <row r="747" spans="1:16" s="53" customFormat="1" x14ac:dyDescent="0.25">
      <c r="A747" s="58" t="str">
        <f t="shared" ref="A747:A810" si="26">H747&amp;B747</f>
        <v>XI TKJ 212</v>
      </c>
      <c r="B747" s="171">
        <f>COUNTIF(H$2:H747,H747)</f>
        <v>12</v>
      </c>
      <c r="C747" s="168">
        <v>102419466</v>
      </c>
      <c r="D747" s="168" t="s">
        <v>4610</v>
      </c>
      <c r="E747" s="168" t="s">
        <v>5010</v>
      </c>
      <c r="F747" s="198" t="s">
        <v>4195</v>
      </c>
      <c r="G747" s="168" t="s">
        <v>379</v>
      </c>
      <c r="H747" s="168" t="s">
        <v>1630</v>
      </c>
      <c r="I747" s="5" t="s">
        <v>5516</v>
      </c>
      <c r="J747" s="148" t="s">
        <v>4671</v>
      </c>
      <c r="K747" s="5" t="str">
        <f t="shared" si="25"/>
        <v>LTKJ</v>
      </c>
      <c r="P747" s="53" t="s">
        <v>379</v>
      </c>
    </row>
    <row r="748" spans="1:16" s="53" customFormat="1" x14ac:dyDescent="0.25">
      <c r="A748" s="58" t="str">
        <f t="shared" si="26"/>
        <v>XI TKJ 213</v>
      </c>
      <c r="B748" s="171">
        <f>COUNTIF(H$2:H748,H748)</f>
        <v>13</v>
      </c>
      <c r="C748" s="168">
        <v>102419467</v>
      </c>
      <c r="D748" s="168" t="s">
        <v>4611</v>
      </c>
      <c r="E748" s="168" t="s">
        <v>5011</v>
      </c>
      <c r="F748" s="198" t="s">
        <v>4228</v>
      </c>
      <c r="G748" s="168" t="s">
        <v>381</v>
      </c>
      <c r="H748" s="168" t="s">
        <v>1630</v>
      </c>
      <c r="I748" s="5" t="s">
        <v>5516</v>
      </c>
      <c r="J748" s="148" t="s">
        <v>4671</v>
      </c>
      <c r="K748" s="5" t="str">
        <f t="shared" si="25"/>
        <v>PTKJ</v>
      </c>
      <c r="P748" s="53" t="s">
        <v>381</v>
      </c>
    </row>
    <row r="749" spans="1:16" s="53" customFormat="1" x14ac:dyDescent="0.25">
      <c r="A749" s="58" t="str">
        <f t="shared" si="26"/>
        <v>XI TKJ 214</v>
      </c>
      <c r="B749" s="171">
        <f>COUNTIF(H$2:H749,H749)</f>
        <v>14</v>
      </c>
      <c r="C749" s="168">
        <v>102419469</v>
      </c>
      <c r="D749" s="168" t="s">
        <v>4613</v>
      </c>
      <c r="E749" s="168" t="s">
        <v>5013</v>
      </c>
      <c r="F749" s="198" t="s">
        <v>4198</v>
      </c>
      <c r="G749" s="168" t="s">
        <v>379</v>
      </c>
      <c r="H749" s="168" t="s">
        <v>1630</v>
      </c>
      <c r="I749" s="5" t="s">
        <v>5516</v>
      </c>
      <c r="J749" s="148" t="s">
        <v>4671</v>
      </c>
      <c r="K749" s="5" t="str">
        <f t="shared" si="25"/>
        <v>LTKJ</v>
      </c>
      <c r="P749" s="53" t="s">
        <v>379</v>
      </c>
    </row>
    <row r="750" spans="1:16" s="53" customFormat="1" x14ac:dyDescent="0.25">
      <c r="A750" s="58" t="str">
        <f t="shared" si="26"/>
        <v>XI TKJ 215</v>
      </c>
      <c r="B750" s="171">
        <f>COUNTIF(H$2:H750,H750)</f>
        <v>15</v>
      </c>
      <c r="C750" s="168">
        <v>102419470</v>
      </c>
      <c r="D750" s="168" t="s">
        <v>4614</v>
      </c>
      <c r="E750" s="168" t="s">
        <v>5014</v>
      </c>
      <c r="F750" s="198" t="s">
        <v>4199</v>
      </c>
      <c r="G750" s="168" t="s">
        <v>379</v>
      </c>
      <c r="H750" s="168" t="s">
        <v>1630</v>
      </c>
      <c r="I750" s="5" t="s">
        <v>5516</v>
      </c>
      <c r="J750" s="148" t="s">
        <v>4671</v>
      </c>
      <c r="K750" s="5" t="str">
        <f t="shared" si="25"/>
        <v>LTKJ</v>
      </c>
      <c r="P750" s="53" t="s">
        <v>379</v>
      </c>
    </row>
    <row r="751" spans="1:16" s="53" customFormat="1" x14ac:dyDescent="0.25">
      <c r="A751" s="58" t="str">
        <f t="shared" si="26"/>
        <v>XI TKJ 216</v>
      </c>
      <c r="B751" s="171">
        <f>COUNTIF(H$2:H751,H751)</f>
        <v>16</v>
      </c>
      <c r="C751" s="168">
        <v>102419471</v>
      </c>
      <c r="D751" s="168" t="s">
        <v>4615</v>
      </c>
      <c r="E751" s="168" t="s">
        <v>5015</v>
      </c>
      <c r="F751" s="198" t="s">
        <v>4200</v>
      </c>
      <c r="G751" s="168" t="s">
        <v>379</v>
      </c>
      <c r="H751" s="168" t="s">
        <v>1630</v>
      </c>
      <c r="I751" s="5" t="s">
        <v>5516</v>
      </c>
      <c r="J751" s="148" t="s">
        <v>4671</v>
      </c>
      <c r="K751" s="5" t="str">
        <f t="shared" si="25"/>
        <v>LTKJ</v>
      </c>
      <c r="P751" s="53" t="s">
        <v>379</v>
      </c>
    </row>
    <row r="752" spans="1:16" s="53" customFormat="1" x14ac:dyDescent="0.25">
      <c r="A752" s="58" t="str">
        <f t="shared" si="26"/>
        <v>XI TKJ 217</v>
      </c>
      <c r="B752" s="171">
        <f>COUNTIF(H$2:H752,H752)</f>
        <v>17</v>
      </c>
      <c r="C752" s="168">
        <v>102419472</v>
      </c>
      <c r="D752" s="168" t="s">
        <v>4616</v>
      </c>
      <c r="E752" s="168" t="s">
        <v>5016</v>
      </c>
      <c r="F752" s="198" t="s">
        <v>4201</v>
      </c>
      <c r="G752" s="168" t="s">
        <v>379</v>
      </c>
      <c r="H752" s="168" t="s">
        <v>1630</v>
      </c>
      <c r="I752" s="5" t="s">
        <v>5516</v>
      </c>
      <c r="J752" s="148" t="s">
        <v>4671</v>
      </c>
      <c r="K752" s="5" t="str">
        <f t="shared" si="25"/>
        <v>LTKJ</v>
      </c>
      <c r="P752" s="53" t="s">
        <v>379</v>
      </c>
    </row>
    <row r="753" spans="1:16" s="53" customFormat="1" x14ac:dyDescent="0.25">
      <c r="A753" s="58" t="str">
        <f t="shared" si="26"/>
        <v>XI TKJ 218</v>
      </c>
      <c r="B753" s="171">
        <f>COUNTIF(H$2:H753,H753)</f>
        <v>18</v>
      </c>
      <c r="C753" s="168">
        <v>102419473</v>
      </c>
      <c r="D753" s="168" t="s">
        <v>4617</v>
      </c>
      <c r="E753" s="168" t="s">
        <v>5017</v>
      </c>
      <c r="F753" s="198" t="s">
        <v>4202</v>
      </c>
      <c r="G753" s="168" t="s">
        <v>379</v>
      </c>
      <c r="H753" s="168" t="s">
        <v>1630</v>
      </c>
      <c r="I753" s="5" t="s">
        <v>5516</v>
      </c>
      <c r="J753" s="148" t="s">
        <v>4671</v>
      </c>
      <c r="K753" s="5" t="str">
        <f t="shared" si="25"/>
        <v>LTKJ</v>
      </c>
      <c r="P753" s="53" t="s">
        <v>379</v>
      </c>
    </row>
    <row r="754" spans="1:16" s="53" customFormat="1" x14ac:dyDescent="0.25">
      <c r="A754" s="58" t="str">
        <f t="shared" si="26"/>
        <v>XI TKJ 219</v>
      </c>
      <c r="B754" s="171">
        <f>COUNTIF(H$2:H754,H754)</f>
        <v>19</v>
      </c>
      <c r="C754" s="168">
        <v>102419474</v>
      </c>
      <c r="D754" s="168" t="s">
        <v>4618</v>
      </c>
      <c r="E754" s="168" t="s">
        <v>5018</v>
      </c>
      <c r="F754" s="198" t="s">
        <v>4203</v>
      </c>
      <c r="G754" s="168" t="s">
        <v>379</v>
      </c>
      <c r="H754" s="168" t="s">
        <v>1630</v>
      </c>
      <c r="I754" s="5" t="s">
        <v>5516</v>
      </c>
      <c r="J754" s="148" t="s">
        <v>4671</v>
      </c>
      <c r="K754" s="5" t="str">
        <f t="shared" si="25"/>
        <v>LTKJ</v>
      </c>
      <c r="P754" s="53" t="s">
        <v>379</v>
      </c>
    </row>
    <row r="755" spans="1:16" s="53" customFormat="1" x14ac:dyDescent="0.25">
      <c r="A755" s="58" t="str">
        <f t="shared" si="26"/>
        <v>XI TKJ 220</v>
      </c>
      <c r="B755" s="171">
        <f>COUNTIF(H$2:H755,H755)</f>
        <v>20</v>
      </c>
      <c r="C755" s="168">
        <v>102419475</v>
      </c>
      <c r="D755" s="168" t="s">
        <v>4619</v>
      </c>
      <c r="E755" s="168" t="s">
        <v>5019</v>
      </c>
      <c r="F755" s="198" t="s">
        <v>4204</v>
      </c>
      <c r="G755" s="168" t="s">
        <v>379</v>
      </c>
      <c r="H755" s="168" t="s">
        <v>1630</v>
      </c>
      <c r="I755" s="5" t="s">
        <v>5516</v>
      </c>
      <c r="J755" s="148" t="s">
        <v>4671</v>
      </c>
      <c r="K755" s="5" t="str">
        <f t="shared" si="25"/>
        <v>LTKJ</v>
      </c>
      <c r="P755" s="53" t="s">
        <v>379</v>
      </c>
    </row>
    <row r="756" spans="1:16" s="53" customFormat="1" x14ac:dyDescent="0.25">
      <c r="A756" s="58" t="str">
        <f t="shared" si="26"/>
        <v>XI TKJ 221</v>
      </c>
      <c r="B756" s="171">
        <f>COUNTIF(H$2:H756,H756)</f>
        <v>21</v>
      </c>
      <c r="C756" s="168">
        <v>102419476</v>
      </c>
      <c r="D756" s="168" t="s">
        <v>4620</v>
      </c>
      <c r="E756" s="168" t="s">
        <v>5020</v>
      </c>
      <c r="F756" s="198" t="s">
        <v>4205</v>
      </c>
      <c r="G756" s="168" t="s">
        <v>379</v>
      </c>
      <c r="H756" s="168" t="s">
        <v>1630</v>
      </c>
      <c r="I756" s="5" t="s">
        <v>5516</v>
      </c>
      <c r="J756" s="148" t="s">
        <v>4671</v>
      </c>
      <c r="K756" s="5" t="str">
        <f t="shared" si="25"/>
        <v>LTKJ</v>
      </c>
      <c r="P756" s="53" t="s">
        <v>379</v>
      </c>
    </row>
    <row r="757" spans="1:16" s="53" customFormat="1" x14ac:dyDescent="0.25">
      <c r="A757" s="58" t="str">
        <f t="shared" si="26"/>
        <v>XI TKJ 222</v>
      </c>
      <c r="B757" s="171">
        <f>COUNTIF(H$2:H757,H757)</f>
        <v>22</v>
      </c>
      <c r="C757" s="168">
        <v>102419477</v>
      </c>
      <c r="D757" s="168" t="s">
        <v>4621</v>
      </c>
      <c r="E757" s="168" t="s">
        <v>5021</v>
      </c>
      <c r="F757" s="198" t="s">
        <v>4164</v>
      </c>
      <c r="G757" s="168" t="s">
        <v>379</v>
      </c>
      <c r="H757" s="168" t="s">
        <v>1630</v>
      </c>
      <c r="I757" s="5" t="s">
        <v>5516</v>
      </c>
      <c r="J757" s="148" t="s">
        <v>4671</v>
      </c>
      <c r="K757" s="5" t="str">
        <f t="shared" si="25"/>
        <v>LTKJ</v>
      </c>
      <c r="P757" s="53" t="s">
        <v>379</v>
      </c>
    </row>
    <row r="758" spans="1:16" s="53" customFormat="1" x14ac:dyDescent="0.25">
      <c r="A758" s="58" t="str">
        <f t="shared" si="26"/>
        <v>XI TKJ 223</v>
      </c>
      <c r="B758" s="171">
        <f>COUNTIF(H$2:H758,H758)</f>
        <v>23</v>
      </c>
      <c r="C758" s="168">
        <v>102419478</v>
      </c>
      <c r="D758" s="168" t="s">
        <v>4622</v>
      </c>
      <c r="E758" s="168" t="s">
        <v>5022</v>
      </c>
      <c r="F758" s="198" t="s">
        <v>4206</v>
      </c>
      <c r="G758" s="168" t="s">
        <v>379</v>
      </c>
      <c r="H758" s="168" t="s">
        <v>1630</v>
      </c>
      <c r="I758" s="5" t="s">
        <v>5516</v>
      </c>
      <c r="J758" s="148" t="s">
        <v>4671</v>
      </c>
      <c r="K758" s="5" t="str">
        <f t="shared" si="25"/>
        <v>LTKJ</v>
      </c>
      <c r="P758" s="53" t="s">
        <v>379</v>
      </c>
    </row>
    <row r="759" spans="1:16" s="53" customFormat="1" x14ac:dyDescent="0.25">
      <c r="A759" s="58" t="str">
        <f t="shared" si="26"/>
        <v>XI TKJ 224</v>
      </c>
      <c r="B759" s="171">
        <f>COUNTIF(H$2:H759,H759)</f>
        <v>24</v>
      </c>
      <c r="C759" s="168">
        <v>102419479</v>
      </c>
      <c r="D759" s="168" t="s">
        <v>4623</v>
      </c>
      <c r="E759" s="168" t="s">
        <v>5023</v>
      </c>
      <c r="F759" s="198" t="s">
        <v>4207</v>
      </c>
      <c r="G759" s="168" t="s">
        <v>379</v>
      </c>
      <c r="H759" s="168" t="s">
        <v>1630</v>
      </c>
      <c r="I759" s="5" t="s">
        <v>5516</v>
      </c>
      <c r="J759" s="148" t="s">
        <v>4671</v>
      </c>
      <c r="K759" s="5" t="str">
        <f t="shared" si="25"/>
        <v>LTKJ</v>
      </c>
      <c r="P759" s="53" t="s">
        <v>379</v>
      </c>
    </row>
    <row r="760" spans="1:16" s="53" customFormat="1" x14ac:dyDescent="0.25">
      <c r="A760" s="58" t="str">
        <f t="shared" si="26"/>
        <v>XI TKJ 225</v>
      </c>
      <c r="B760" s="171">
        <f>COUNTIF(H$2:H760,H760)</f>
        <v>25</v>
      </c>
      <c r="C760" s="168">
        <v>102419480</v>
      </c>
      <c r="D760" s="168" t="s">
        <v>4624</v>
      </c>
      <c r="E760" s="168" t="s">
        <v>5024</v>
      </c>
      <c r="F760" s="198" t="s">
        <v>4208</v>
      </c>
      <c r="G760" s="168" t="s">
        <v>379</v>
      </c>
      <c r="H760" s="168" t="s">
        <v>1630</v>
      </c>
      <c r="I760" s="5" t="s">
        <v>5516</v>
      </c>
      <c r="J760" s="148" t="s">
        <v>4671</v>
      </c>
      <c r="K760" s="5" t="str">
        <f t="shared" si="25"/>
        <v>LTKJ</v>
      </c>
      <c r="P760" s="53" t="s">
        <v>379</v>
      </c>
    </row>
    <row r="761" spans="1:16" s="53" customFormat="1" x14ac:dyDescent="0.25">
      <c r="A761" s="58" t="str">
        <f t="shared" si="26"/>
        <v>XI TKJ 226</v>
      </c>
      <c r="B761" s="171">
        <f>COUNTIF(H$2:H761,H761)</f>
        <v>26</v>
      </c>
      <c r="C761" s="168">
        <v>102419481</v>
      </c>
      <c r="D761" s="168" t="s">
        <v>4625</v>
      </c>
      <c r="E761" s="168" t="s">
        <v>5025</v>
      </c>
      <c r="F761" s="198" t="s">
        <v>4209</v>
      </c>
      <c r="G761" s="168" t="s">
        <v>379</v>
      </c>
      <c r="H761" s="168" t="s">
        <v>1630</v>
      </c>
      <c r="I761" s="5" t="s">
        <v>5516</v>
      </c>
      <c r="J761" s="148" t="s">
        <v>4671</v>
      </c>
      <c r="K761" s="5" t="str">
        <f t="shared" si="25"/>
        <v>LTKJ</v>
      </c>
      <c r="P761" s="53" t="s">
        <v>379</v>
      </c>
    </row>
    <row r="762" spans="1:16" s="53" customFormat="1" x14ac:dyDescent="0.25">
      <c r="A762" s="58" t="str">
        <f t="shared" si="26"/>
        <v>XI TKJ 227</v>
      </c>
      <c r="B762" s="171">
        <f>COUNTIF(H$2:H762,H762)</f>
        <v>27</v>
      </c>
      <c r="C762" s="168">
        <v>102419482</v>
      </c>
      <c r="D762" s="168" t="s">
        <v>4626</v>
      </c>
      <c r="E762" s="168" t="s">
        <v>5026</v>
      </c>
      <c r="F762" s="198" t="s">
        <v>4210</v>
      </c>
      <c r="G762" s="168" t="s">
        <v>379</v>
      </c>
      <c r="H762" s="168" t="s">
        <v>1630</v>
      </c>
      <c r="I762" s="5" t="s">
        <v>5516</v>
      </c>
      <c r="J762" s="148" t="s">
        <v>4671</v>
      </c>
      <c r="K762" s="5" t="str">
        <f t="shared" si="25"/>
        <v>LTKJ</v>
      </c>
      <c r="P762" s="53" t="s">
        <v>379</v>
      </c>
    </row>
    <row r="763" spans="1:16" s="53" customFormat="1" x14ac:dyDescent="0.25">
      <c r="A763" s="58" t="str">
        <f t="shared" si="26"/>
        <v>XI TKJ 228</v>
      </c>
      <c r="B763" s="171">
        <f>COUNTIF(H$2:H763,H763)</f>
        <v>28</v>
      </c>
      <c r="C763" s="168">
        <v>102419483</v>
      </c>
      <c r="D763" s="168" t="s">
        <v>4627</v>
      </c>
      <c r="E763" s="168" t="s">
        <v>5027</v>
      </c>
      <c r="F763" s="198" t="s">
        <v>4211</v>
      </c>
      <c r="G763" s="168" t="s">
        <v>379</v>
      </c>
      <c r="H763" s="168" t="s">
        <v>1630</v>
      </c>
      <c r="I763" s="5" t="s">
        <v>5516</v>
      </c>
      <c r="J763" s="148" t="s">
        <v>4671</v>
      </c>
      <c r="K763" s="5" t="str">
        <f t="shared" si="25"/>
        <v>LTKJ</v>
      </c>
      <c r="P763" s="53" t="s">
        <v>379</v>
      </c>
    </row>
    <row r="764" spans="1:16" s="53" customFormat="1" x14ac:dyDescent="0.25">
      <c r="A764" s="58" t="str">
        <f t="shared" si="26"/>
        <v>XI TKJ 229</v>
      </c>
      <c r="B764" s="171">
        <f>COUNTIF(H$2:H764,H764)</f>
        <v>29</v>
      </c>
      <c r="C764" s="168">
        <v>102419484</v>
      </c>
      <c r="D764" s="168" t="s">
        <v>4628</v>
      </c>
      <c r="E764" s="168" t="s">
        <v>5028</v>
      </c>
      <c r="F764" s="198" t="s">
        <v>4212</v>
      </c>
      <c r="G764" s="168" t="s">
        <v>379</v>
      </c>
      <c r="H764" s="168" t="s">
        <v>1630</v>
      </c>
      <c r="I764" s="5" t="s">
        <v>5516</v>
      </c>
      <c r="J764" s="148" t="s">
        <v>4671</v>
      </c>
      <c r="K764" s="5" t="str">
        <f t="shared" si="25"/>
        <v>LTKJ</v>
      </c>
      <c r="P764" s="53" t="s">
        <v>379</v>
      </c>
    </row>
    <row r="765" spans="1:16" s="53" customFormat="1" x14ac:dyDescent="0.25">
      <c r="A765" s="58" t="str">
        <f t="shared" si="26"/>
        <v>XI TKJ 230</v>
      </c>
      <c r="B765" s="171">
        <f>COUNTIF(H$2:H765,H765)</f>
        <v>30</v>
      </c>
      <c r="C765" s="168">
        <v>102419485</v>
      </c>
      <c r="D765" s="168" t="s">
        <v>4629</v>
      </c>
      <c r="E765" s="168" t="s">
        <v>5029</v>
      </c>
      <c r="F765" s="198" t="s">
        <v>4246</v>
      </c>
      <c r="G765" s="168" t="s">
        <v>379</v>
      </c>
      <c r="H765" s="168" t="s">
        <v>1630</v>
      </c>
      <c r="I765" s="5" t="s">
        <v>5516</v>
      </c>
      <c r="J765" s="148" t="s">
        <v>4671</v>
      </c>
      <c r="K765" s="5" t="str">
        <f t="shared" si="25"/>
        <v>LTKJ</v>
      </c>
      <c r="P765" s="53" t="s">
        <v>379</v>
      </c>
    </row>
    <row r="766" spans="1:16" s="53" customFormat="1" x14ac:dyDescent="0.25">
      <c r="A766" s="58" t="str">
        <f t="shared" si="26"/>
        <v>XI TKJ 231</v>
      </c>
      <c r="B766" s="171">
        <f>COUNTIF(H$2:H766,H766)</f>
        <v>31</v>
      </c>
      <c r="C766" s="168">
        <v>102419486</v>
      </c>
      <c r="D766" s="168" t="s">
        <v>4630</v>
      </c>
      <c r="E766" s="168" t="s">
        <v>5030</v>
      </c>
      <c r="F766" s="198" t="s">
        <v>4214</v>
      </c>
      <c r="G766" s="168" t="s">
        <v>381</v>
      </c>
      <c r="H766" s="168" t="s">
        <v>1630</v>
      </c>
      <c r="I766" s="5" t="s">
        <v>5516</v>
      </c>
      <c r="J766" s="148" t="s">
        <v>4671</v>
      </c>
      <c r="K766" s="5" t="str">
        <f t="shared" si="25"/>
        <v>PTKJ</v>
      </c>
      <c r="P766" s="53" t="s">
        <v>381</v>
      </c>
    </row>
    <row r="767" spans="1:16" s="53" customFormat="1" x14ac:dyDescent="0.25">
      <c r="A767" s="58" t="str">
        <f t="shared" si="26"/>
        <v>XI TKJ 232</v>
      </c>
      <c r="B767" s="171">
        <f>COUNTIF(H$2:H767,H767)</f>
        <v>32</v>
      </c>
      <c r="C767" s="168">
        <v>102419487</v>
      </c>
      <c r="D767" s="168" t="s">
        <v>4631</v>
      </c>
      <c r="E767" s="168" t="s">
        <v>5031</v>
      </c>
      <c r="F767" s="198" t="s">
        <v>4248</v>
      </c>
      <c r="G767" s="168" t="s">
        <v>379</v>
      </c>
      <c r="H767" s="168" t="s">
        <v>1630</v>
      </c>
      <c r="I767" s="5" t="s">
        <v>5516</v>
      </c>
      <c r="J767" s="148" t="s">
        <v>4671</v>
      </c>
      <c r="K767" s="5" t="str">
        <f t="shared" si="25"/>
        <v>LTKJ</v>
      </c>
      <c r="P767" s="53" t="s">
        <v>379</v>
      </c>
    </row>
    <row r="768" spans="1:16" s="53" customFormat="1" x14ac:dyDescent="0.25">
      <c r="A768" s="58" t="str">
        <f t="shared" si="26"/>
        <v>XI TKJ 233</v>
      </c>
      <c r="B768" s="171">
        <f>COUNTIF(H$2:H768,H768)</f>
        <v>33</v>
      </c>
      <c r="C768" s="168">
        <v>102419488</v>
      </c>
      <c r="D768" s="168" t="s">
        <v>4632</v>
      </c>
      <c r="E768" s="168" t="s">
        <v>5032</v>
      </c>
      <c r="F768" s="198" t="s">
        <v>4215</v>
      </c>
      <c r="G768" s="168" t="s">
        <v>379</v>
      </c>
      <c r="H768" s="168" t="s">
        <v>1630</v>
      </c>
      <c r="I768" s="5" t="s">
        <v>5516</v>
      </c>
      <c r="J768" s="148" t="s">
        <v>4671</v>
      </c>
      <c r="K768" s="5" t="str">
        <f t="shared" si="25"/>
        <v>LTKJ</v>
      </c>
      <c r="P768" s="53" t="s">
        <v>379</v>
      </c>
    </row>
    <row r="769" spans="1:16" s="53" customFormat="1" x14ac:dyDescent="0.25">
      <c r="A769" s="58" t="str">
        <f t="shared" si="26"/>
        <v>XI TKJ 234</v>
      </c>
      <c r="B769" s="171">
        <f>COUNTIF(H$2:H769,H769)</f>
        <v>34</v>
      </c>
      <c r="C769" s="168">
        <v>102419489</v>
      </c>
      <c r="D769" s="168" t="s">
        <v>4633</v>
      </c>
      <c r="E769" s="168" t="s">
        <v>5033</v>
      </c>
      <c r="F769" s="198" t="s">
        <v>4250</v>
      </c>
      <c r="G769" s="168" t="s">
        <v>379</v>
      </c>
      <c r="H769" s="168" t="s">
        <v>1630</v>
      </c>
      <c r="I769" s="5" t="s">
        <v>5516</v>
      </c>
      <c r="J769" s="148" t="s">
        <v>4671</v>
      </c>
      <c r="K769" s="5" t="str">
        <f t="shared" si="25"/>
        <v>LTKJ</v>
      </c>
      <c r="P769" s="53" t="s">
        <v>379</v>
      </c>
    </row>
    <row r="770" spans="1:16" s="53" customFormat="1" x14ac:dyDescent="0.25">
      <c r="A770" s="58" t="str">
        <f t="shared" si="26"/>
        <v>XI TKJ 31</v>
      </c>
      <c r="B770" s="171">
        <f>COUNTIF(H$2:H770,H770)</f>
        <v>1</v>
      </c>
      <c r="C770" s="168">
        <v>102419490</v>
      </c>
      <c r="D770" s="168" t="s">
        <v>4634</v>
      </c>
      <c r="E770" s="168" t="s">
        <v>5034</v>
      </c>
      <c r="F770" s="198" t="s">
        <v>4217</v>
      </c>
      <c r="G770" s="168" t="s">
        <v>379</v>
      </c>
      <c r="H770" s="168" t="s">
        <v>1615</v>
      </c>
      <c r="I770" s="5" t="s">
        <v>5516</v>
      </c>
      <c r="J770" s="148" t="s">
        <v>4671</v>
      </c>
      <c r="K770" s="5" t="str">
        <f t="shared" si="25"/>
        <v>LTKJ</v>
      </c>
      <c r="P770" s="53" t="s">
        <v>379</v>
      </c>
    </row>
    <row r="771" spans="1:16" s="53" customFormat="1" x14ac:dyDescent="0.25">
      <c r="A771" s="58" t="str">
        <f t="shared" si="26"/>
        <v>XI TKJ 32</v>
      </c>
      <c r="B771" s="171">
        <f>COUNTIF(H$2:H771,H771)</f>
        <v>2</v>
      </c>
      <c r="C771" s="168">
        <v>102419491</v>
      </c>
      <c r="D771" s="168" t="s">
        <v>4635</v>
      </c>
      <c r="E771" s="168" t="s">
        <v>5035</v>
      </c>
      <c r="F771" s="198" t="s">
        <v>4218</v>
      </c>
      <c r="G771" s="168" t="s">
        <v>379</v>
      </c>
      <c r="H771" s="168" t="s">
        <v>1615</v>
      </c>
      <c r="I771" s="5" t="s">
        <v>5516</v>
      </c>
      <c r="J771" s="148" t="s">
        <v>4671</v>
      </c>
      <c r="K771" s="5" t="str">
        <f t="shared" si="25"/>
        <v>LTKJ</v>
      </c>
      <c r="P771" s="53" t="s">
        <v>379</v>
      </c>
    </row>
    <row r="772" spans="1:16" s="53" customFormat="1" x14ac:dyDescent="0.25">
      <c r="A772" s="58" t="str">
        <f t="shared" si="26"/>
        <v>XI TKJ 33</v>
      </c>
      <c r="B772" s="171">
        <f>COUNTIF(H$2:H772,H772)</f>
        <v>3</v>
      </c>
      <c r="C772" s="168">
        <v>102419492</v>
      </c>
      <c r="D772" s="168" t="s">
        <v>4636</v>
      </c>
      <c r="E772" s="168" t="s">
        <v>5036</v>
      </c>
      <c r="F772" s="198" t="s">
        <v>4219</v>
      </c>
      <c r="G772" s="168" t="s">
        <v>379</v>
      </c>
      <c r="H772" s="168" t="s">
        <v>1615</v>
      </c>
      <c r="I772" s="5" t="s">
        <v>5516</v>
      </c>
      <c r="J772" s="148" t="s">
        <v>4671</v>
      </c>
      <c r="K772" s="5" t="str">
        <f t="shared" si="25"/>
        <v>LTKJ</v>
      </c>
      <c r="P772" s="53" t="s">
        <v>379</v>
      </c>
    </row>
    <row r="773" spans="1:16" s="53" customFormat="1" x14ac:dyDescent="0.25">
      <c r="A773" s="58" t="str">
        <f t="shared" si="26"/>
        <v>XI TKJ 34</v>
      </c>
      <c r="B773" s="171">
        <f>COUNTIF(H$2:H773,H773)</f>
        <v>4</v>
      </c>
      <c r="C773" s="168">
        <v>102419493</v>
      </c>
      <c r="D773" s="168" t="s">
        <v>4637</v>
      </c>
      <c r="E773" s="168" t="s">
        <v>5037</v>
      </c>
      <c r="F773" s="198" t="s">
        <v>4220</v>
      </c>
      <c r="G773" s="168" t="s">
        <v>379</v>
      </c>
      <c r="H773" s="168" t="s">
        <v>1615</v>
      </c>
      <c r="I773" s="5" t="s">
        <v>5516</v>
      </c>
      <c r="J773" s="148" t="s">
        <v>4671</v>
      </c>
      <c r="K773" s="5" t="str">
        <f t="shared" si="25"/>
        <v>LTKJ</v>
      </c>
      <c r="P773" s="53" t="s">
        <v>379</v>
      </c>
    </row>
    <row r="774" spans="1:16" s="53" customFormat="1" x14ac:dyDescent="0.25">
      <c r="A774" s="58" t="str">
        <f t="shared" si="26"/>
        <v>XI TKJ 35</v>
      </c>
      <c r="B774" s="171">
        <f>COUNTIF(H$2:H774,H774)</f>
        <v>5</v>
      </c>
      <c r="C774" s="168">
        <v>102419494</v>
      </c>
      <c r="D774" s="168" t="s">
        <v>4638</v>
      </c>
      <c r="E774" s="168" t="s">
        <v>5038</v>
      </c>
      <c r="F774" s="198" t="s">
        <v>4154</v>
      </c>
      <c r="G774" s="168" t="s">
        <v>379</v>
      </c>
      <c r="H774" s="168" t="s">
        <v>1615</v>
      </c>
      <c r="I774" s="5" t="s">
        <v>5516</v>
      </c>
      <c r="J774" s="148" t="s">
        <v>4671</v>
      </c>
      <c r="K774" s="5" t="str">
        <f t="shared" si="25"/>
        <v>LTKJ</v>
      </c>
      <c r="P774" s="53" t="s">
        <v>379</v>
      </c>
    </row>
    <row r="775" spans="1:16" s="53" customFormat="1" x14ac:dyDescent="0.25">
      <c r="A775" s="58" t="str">
        <f t="shared" si="26"/>
        <v>XI TKJ 36</v>
      </c>
      <c r="B775" s="171">
        <f>COUNTIF(H$2:H775,H775)</f>
        <v>6</v>
      </c>
      <c r="C775" s="168">
        <v>102419495</v>
      </c>
      <c r="D775" s="168" t="s">
        <v>4639</v>
      </c>
      <c r="E775" s="168" t="s">
        <v>5039</v>
      </c>
      <c r="F775" s="198" t="s">
        <v>4155</v>
      </c>
      <c r="G775" s="168" t="s">
        <v>379</v>
      </c>
      <c r="H775" s="168" t="s">
        <v>1615</v>
      </c>
      <c r="I775" s="5" t="s">
        <v>5516</v>
      </c>
      <c r="J775" s="148" t="s">
        <v>4671</v>
      </c>
      <c r="K775" s="5" t="str">
        <f t="shared" si="25"/>
        <v>LTKJ</v>
      </c>
      <c r="P775" s="53" t="s">
        <v>379</v>
      </c>
    </row>
    <row r="776" spans="1:16" s="53" customFormat="1" x14ac:dyDescent="0.25">
      <c r="A776" s="58" t="str">
        <f t="shared" si="26"/>
        <v>XI TKJ 37</v>
      </c>
      <c r="B776" s="171">
        <f>COUNTIF(H$2:H776,H776)</f>
        <v>7</v>
      </c>
      <c r="C776" s="168">
        <v>102419496</v>
      </c>
      <c r="D776" s="168" t="s">
        <v>4640</v>
      </c>
      <c r="E776" s="168" t="s">
        <v>5040</v>
      </c>
      <c r="F776" s="198" t="s">
        <v>4156</v>
      </c>
      <c r="G776" s="168" t="s">
        <v>379</v>
      </c>
      <c r="H776" s="168" t="s">
        <v>1615</v>
      </c>
      <c r="I776" s="5" t="s">
        <v>5516</v>
      </c>
      <c r="J776" s="148" t="s">
        <v>4671</v>
      </c>
      <c r="K776" s="5" t="str">
        <f t="shared" si="25"/>
        <v>LTKJ</v>
      </c>
      <c r="P776" s="53" t="s">
        <v>379</v>
      </c>
    </row>
    <row r="777" spans="1:16" s="53" customFormat="1" x14ac:dyDescent="0.25">
      <c r="A777" s="58" t="str">
        <f t="shared" si="26"/>
        <v>XI TKJ 38</v>
      </c>
      <c r="B777" s="171">
        <f>COUNTIF(H$2:H777,H777)</f>
        <v>8</v>
      </c>
      <c r="C777" s="168">
        <v>102419497</v>
      </c>
      <c r="D777" s="168" t="s">
        <v>4641</v>
      </c>
      <c r="E777" s="168" t="s">
        <v>5041</v>
      </c>
      <c r="F777" s="198" t="s">
        <v>4157</v>
      </c>
      <c r="G777" s="168" t="s">
        <v>379</v>
      </c>
      <c r="H777" s="168" t="s">
        <v>1615</v>
      </c>
      <c r="I777" s="5" t="s">
        <v>5516</v>
      </c>
      <c r="J777" s="148" t="s">
        <v>4671</v>
      </c>
      <c r="K777" s="5" t="str">
        <f t="shared" si="25"/>
        <v>LTKJ</v>
      </c>
      <c r="P777" s="53" t="s">
        <v>379</v>
      </c>
    </row>
    <row r="778" spans="1:16" s="53" customFormat="1" x14ac:dyDescent="0.25">
      <c r="A778" s="58" t="str">
        <f t="shared" si="26"/>
        <v>XI TKJ 39</v>
      </c>
      <c r="B778" s="171">
        <f>COUNTIF(H$2:H778,H778)</f>
        <v>9</v>
      </c>
      <c r="C778" s="168">
        <v>102419498</v>
      </c>
      <c r="D778" s="168" t="s">
        <v>4642</v>
      </c>
      <c r="E778" s="168" t="s">
        <v>5042</v>
      </c>
      <c r="F778" s="198" t="s">
        <v>4270</v>
      </c>
      <c r="G778" s="168" t="s">
        <v>379</v>
      </c>
      <c r="H778" s="168" t="s">
        <v>1615</v>
      </c>
      <c r="I778" s="5" t="s">
        <v>5516</v>
      </c>
      <c r="J778" s="148" t="s">
        <v>4671</v>
      </c>
      <c r="K778" s="5" t="str">
        <f t="shared" si="25"/>
        <v>LTKJ</v>
      </c>
      <c r="P778" s="53" t="s">
        <v>379</v>
      </c>
    </row>
    <row r="779" spans="1:16" s="53" customFormat="1" x14ac:dyDescent="0.25">
      <c r="A779" s="58" t="str">
        <f t="shared" si="26"/>
        <v>XI TKJ 310</v>
      </c>
      <c r="B779" s="171">
        <f>COUNTIF(H$2:H779,H779)</f>
        <v>10</v>
      </c>
      <c r="C779" s="168">
        <v>102419499</v>
      </c>
      <c r="D779" s="168" t="s">
        <v>4643</v>
      </c>
      <c r="E779" s="168" t="s">
        <v>5043</v>
      </c>
      <c r="F779" s="198" t="s">
        <v>4158</v>
      </c>
      <c r="G779" s="168" t="s">
        <v>379</v>
      </c>
      <c r="H779" s="168" t="s">
        <v>1615</v>
      </c>
      <c r="I779" s="5" t="s">
        <v>5516</v>
      </c>
      <c r="J779" s="148" t="s">
        <v>4671</v>
      </c>
      <c r="K779" s="5" t="str">
        <f t="shared" si="25"/>
        <v>LTKJ</v>
      </c>
      <c r="P779" s="53" t="s">
        <v>379</v>
      </c>
    </row>
    <row r="780" spans="1:16" s="53" customFormat="1" x14ac:dyDescent="0.25">
      <c r="A780" s="58" t="str">
        <f t="shared" si="26"/>
        <v>XI TKJ 311</v>
      </c>
      <c r="B780" s="171">
        <f>COUNTIF(H$2:H780,H780)</f>
        <v>11</v>
      </c>
      <c r="C780" s="168">
        <v>102419500</v>
      </c>
      <c r="D780" s="168">
        <v>0</v>
      </c>
      <c r="E780" s="168" t="s">
        <v>5044</v>
      </c>
      <c r="F780" s="198" t="s">
        <v>4159</v>
      </c>
      <c r="G780" s="168" t="s">
        <v>379</v>
      </c>
      <c r="H780" s="168" t="s">
        <v>1615</v>
      </c>
      <c r="I780" s="5" t="s">
        <v>5516</v>
      </c>
      <c r="J780" s="148" t="s">
        <v>4671</v>
      </c>
      <c r="K780" s="5" t="str">
        <f t="shared" si="25"/>
        <v>LTKJ</v>
      </c>
      <c r="P780" s="53" t="s">
        <v>379</v>
      </c>
    </row>
    <row r="781" spans="1:16" s="53" customFormat="1" x14ac:dyDescent="0.25">
      <c r="A781" s="58" t="str">
        <f t="shared" si="26"/>
        <v>XI TKJ 312</v>
      </c>
      <c r="B781" s="171">
        <f>COUNTIF(H$2:H781,H781)</f>
        <v>12</v>
      </c>
      <c r="C781" s="168">
        <v>102419501</v>
      </c>
      <c r="D781" s="168" t="s">
        <v>4644</v>
      </c>
      <c r="E781" s="168" t="s">
        <v>5045</v>
      </c>
      <c r="F781" s="198" t="s">
        <v>4160</v>
      </c>
      <c r="G781" s="168" t="s">
        <v>379</v>
      </c>
      <c r="H781" s="168" t="s">
        <v>1615</v>
      </c>
      <c r="I781" s="5" t="s">
        <v>5516</v>
      </c>
      <c r="J781" s="148" t="s">
        <v>4671</v>
      </c>
      <c r="K781" s="5" t="str">
        <f t="shared" si="25"/>
        <v>LTKJ</v>
      </c>
      <c r="P781" s="53" t="s">
        <v>379</v>
      </c>
    </row>
    <row r="782" spans="1:16" s="53" customFormat="1" x14ac:dyDescent="0.25">
      <c r="A782" s="58" t="str">
        <f t="shared" si="26"/>
        <v>XI TKJ 313</v>
      </c>
      <c r="B782" s="171">
        <f>COUNTIF(H$2:H782,H782)</f>
        <v>13</v>
      </c>
      <c r="C782" s="168">
        <v>102419502</v>
      </c>
      <c r="D782" s="168" t="s">
        <v>4645</v>
      </c>
      <c r="E782" s="168" t="s">
        <v>5046</v>
      </c>
      <c r="F782" s="198" t="s">
        <v>4161</v>
      </c>
      <c r="G782" s="168" t="s">
        <v>379</v>
      </c>
      <c r="H782" s="168" t="s">
        <v>1615</v>
      </c>
      <c r="I782" s="5" t="s">
        <v>5516</v>
      </c>
      <c r="J782" s="148" t="s">
        <v>4671</v>
      </c>
      <c r="K782" s="5" t="str">
        <f t="shared" si="25"/>
        <v>LTKJ</v>
      </c>
      <c r="P782" s="53" t="s">
        <v>379</v>
      </c>
    </row>
    <row r="783" spans="1:16" s="53" customFormat="1" x14ac:dyDescent="0.25">
      <c r="A783" s="58" t="str">
        <f t="shared" si="26"/>
        <v>XI TKJ 314</v>
      </c>
      <c r="B783" s="171">
        <f>COUNTIF(H$2:H783,H783)</f>
        <v>14</v>
      </c>
      <c r="C783" s="168">
        <v>102419503</v>
      </c>
      <c r="D783" s="168" t="s">
        <v>4646</v>
      </c>
      <c r="E783" s="168" t="s">
        <v>5047</v>
      </c>
      <c r="F783" s="198" t="s">
        <v>4162</v>
      </c>
      <c r="G783" s="168" t="s">
        <v>379</v>
      </c>
      <c r="H783" s="168" t="s">
        <v>1615</v>
      </c>
      <c r="I783" s="5" t="s">
        <v>5516</v>
      </c>
      <c r="J783" s="148" t="s">
        <v>4671</v>
      </c>
      <c r="K783" s="5" t="str">
        <f t="shared" si="25"/>
        <v>LTKJ</v>
      </c>
      <c r="P783" s="53" t="s">
        <v>379</v>
      </c>
    </row>
    <row r="784" spans="1:16" s="53" customFormat="1" x14ac:dyDescent="0.25">
      <c r="A784" s="58" t="str">
        <f t="shared" si="26"/>
        <v>XI TKJ 315</v>
      </c>
      <c r="B784" s="171">
        <f>COUNTIF(H$2:H784,H784)</f>
        <v>15</v>
      </c>
      <c r="C784" s="168">
        <v>102419504</v>
      </c>
      <c r="D784" s="168" t="s">
        <v>4647</v>
      </c>
      <c r="E784" s="168" t="s">
        <v>5048</v>
      </c>
      <c r="F784" s="198" t="s">
        <v>4163</v>
      </c>
      <c r="G784" s="168" t="s">
        <v>379</v>
      </c>
      <c r="H784" s="168" t="s">
        <v>1615</v>
      </c>
      <c r="I784" s="5" t="s">
        <v>5516</v>
      </c>
      <c r="J784" s="148" t="s">
        <v>4671</v>
      </c>
      <c r="K784" s="5" t="str">
        <f t="shared" si="25"/>
        <v>LTKJ</v>
      </c>
      <c r="P784" s="53" t="s">
        <v>379</v>
      </c>
    </row>
    <row r="785" spans="1:16" s="53" customFormat="1" x14ac:dyDescent="0.25">
      <c r="A785" s="58" t="str">
        <f t="shared" si="26"/>
        <v>XI TKJ 316</v>
      </c>
      <c r="B785" s="171">
        <f>COUNTIF(H$2:H785,H785)</f>
        <v>16</v>
      </c>
      <c r="C785" s="168">
        <v>102419505</v>
      </c>
      <c r="D785" s="168" t="s">
        <v>4648</v>
      </c>
      <c r="E785" s="168" t="s">
        <v>5049</v>
      </c>
      <c r="F785" s="198" t="s">
        <v>4165</v>
      </c>
      <c r="G785" s="168" t="s">
        <v>379</v>
      </c>
      <c r="H785" s="168" t="s">
        <v>1615</v>
      </c>
      <c r="I785" s="5" t="s">
        <v>5516</v>
      </c>
      <c r="J785" s="148" t="s">
        <v>4671</v>
      </c>
      <c r="K785" s="5" t="str">
        <f t="shared" si="25"/>
        <v>LTKJ</v>
      </c>
      <c r="P785" s="53" t="s">
        <v>379</v>
      </c>
    </row>
    <row r="786" spans="1:16" s="53" customFormat="1" x14ac:dyDescent="0.25">
      <c r="A786" s="58" t="str">
        <f t="shared" si="26"/>
        <v>XI TKJ 317</v>
      </c>
      <c r="B786" s="171">
        <f>COUNTIF(H$2:H786,H786)</f>
        <v>17</v>
      </c>
      <c r="C786" s="168">
        <v>102419506</v>
      </c>
      <c r="D786" s="168" t="s">
        <v>4649</v>
      </c>
      <c r="E786" s="168" t="s">
        <v>5050</v>
      </c>
      <c r="F786" s="198" t="s">
        <v>4166</v>
      </c>
      <c r="G786" s="168" t="s">
        <v>379</v>
      </c>
      <c r="H786" s="168" t="s">
        <v>1615</v>
      </c>
      <c r="I786" s="5" t="s">
        <v>5516</v>
      </c>
      <c r="J786" s="148" t="s">
        <v>4671</v>
      </c>
      <c r="K786" s="5" t="str">
        <f t="shared" si="25"/>
        <v>LTKJ</v>
      </c>
      <c r="P786" s="53" t="s">
        <v>379</v>
      </c>
    </row>
    <row r="787" spans="1:16" s="53" customFormat="1" x14ac:dyDescent="0.25">
      <c r="A787" s="58" t="str">
        <f t="shared" si="26"/>
        <v>XI TKJ 318</v>
      </c>
      <c r="B787" s="171">
        <f>COUNTIF(H$2:H787,H787)</f>
        <v>18</v>
      </c>
      <c r="C787" s="168">
        <v>102419507</v>
      </c>
      <c r="D787" s="168" t="s">
        <v>4650</v>
      </c>
      <c r="E787" s="168" t="s">
        <v>5051</v>
      </c>
      <c r="F787" s="198" t="s">
        <v>4167</v>
      </c>
      <c r="G787" s="168" t="s">
        <v>381</v>
      </c>
      <c r="H787" s="168" t="s">
        <v>1615</v>
      </c>
      <c r="I787" s="5" t="s">
        <v>5516</v>
      </c>
      <c r="J787" s="148" t="s">
        <v>4671</v>
      </c>
      <c r="K787" s="5" t="str">
        <f t="shared" si="25"/>
        <v>PTKJ</v>
      </c>
      <c r="P787" s="53" t="s">
        <v>381</v>
      </c>
    </row>
    <row r="788" spans="1:16" s="53" customFormat="1" x14ac:dyDescent="0.25">
      <c r="A788" s="58" t="str">
        <f t="shared" si="26"/>
        <v>XI TKJ 319</v>
      </c>
      <c r="B788" s="171">
        <f>COUNTIF(H$2:H788,H788)</f>
        <v>19</v>
      </c>
      <c r="C788" s="168">
        <v>102419508</v>
      </c>
      <c r="D788" s="168" t="s">
        <v>4651</v>
      </c>
      <c r="E788" s="168" t="s">
        <v>5052</v>
      </c>
      <c r="F788" s="198" t="s">
        <v>4168</v>
      </c>
      <c r="G788" s="168" t="s">
        <v>379</v>
      </c>
      <c r="H788" s="168" t="s">
        <v>1615</v>
      </c>
      <c r="I788" s="5" t="s">
        <v>5516</v>
      </c>
      <c r="J788" s="148" t="s">
        <v>4671</v>
      </c>
      <c r="K788" s="5" t="str">
        <f t="shared" si="25"/>
        <v>LTKJ</v>
      </c>
      <c r="P788" s="53" t="s">
        <v>379</v>
      </c>
    </row>
    <row r="789" spans="1:16" x14ac:dyDescent="0.25">
      <c r="A789" s="58" t="str">
        <f t="shared" si="26"/>
        <v>XI TKJ 320</v>
      </c>
      <c r="B789" s="171">
        <f>COUNTIF(H$2:H789,H789)</f>
        <v>20</v>
      </c>
      <c r="C789" s="168">
        <v>102419509</v>
      </c>
      <c r="D789" s="168" t="s">
        <v>4652</v>
      </c>
      <c r="E789" s="168" t="s">
        <v>5053</v>
      </c>
      <c r="F789" s="198" t="s">
        <v>4169</v>
      </c>
      <c r="G789" s="168" t="s">
        <v>379</v>
      </c>
      <c r="H789" s="168" t="s">
        <v>1615</v>
      </c>
      <c r="I789" s="5" t="s">
        <v>5516</v>
      </c>
      <c r="J789" s="148" t="s">
        <v>4671</v>
      </c>
      <c r="K789" s="5" t="str">
        <f t="shared" si="25"/>
        <v>LTKJ</v>
      </c>
      <c r="P789" s="49" t="s">
        <v>379</v>
      </c>
    </row>
    <row r="790" spans="1:16" x14ac:dyDescent="0.25">
      <c r="A790" s="58" t="str">
        <f t="shared" si="26"/>
        <v>XI TKJ 321</v>
      </c>
      <c r="B790" s="171">
        <f>COUNTIF(H$2:H790,H790)</f>
        <v>21</v>
      </c>
      <c r="C790" s="168">
        <v>102419510</v>
      </c>
      <c r="D790" s="168" t="s">
        <v>4653</v>
      </c>
      <c r="E790" s="168" t="s">
        <v>5054</v>
      </c>
      <c r="F790" s="198" t="s">
        <v>4170</v>
      </c>
      <c r="G790" s="168" t="s">
        <v>379</v>
      </c>
      <c r="H790" s="168" t="s">
        <v>1615</v>
      </c>
      <c r="I790" s="5" t="s">
        <v>5516</v>
      </c>
      <c r="J790" s="148" t="s">
        <v>4671</v>
      </c>
      <c r="K790" s="5" t="str">
        <f t="shared" si="25"/>
        <v>LTKJ</v>
      </c>
      <c r="P790" s="49" t="s">
        <v>379</v>
      </c>
    </row>
    <row r="791" spans="1:16" x14ac:dyDescent="0.25">
      <c r="A791" s="58" t="str">
        <f t="shared" si="26"/>
        <v>XI TKJ 322</v>
      </c>
      <c r="B791" s="171">
        <f>COUNTIF(H$2:H791,H791)</f>
        <v>22</v>
      </c>
      <c r="C791" s="168">
        <v>102419511</v>
      </c>
      <c r="D791" s="168" t="s">
        <v>4654</v>
      </c>
      <c r="E791" s="168" t="s">
        <v>5055</v>
      </c>
      <c r="F791" s="198" t="s">
        <v>4171</v>
      </c>
      <c r="G791" s="168" t="s">
        <v>379</v>
      </c>
      <c r="H791" s="168" t="s">
        <v>1615</v>
      </c>
      <c r="I791" s="5" t="s">
        <v>5516</v>
      </c>
      <c r="J791" s="148" t="s">
        <v>4671</v>
      </c>
      <c r="K791" s="5" t="str">
        <f t="shared" si="25"/>
        <v>LTKJ</v>
      </c>
      <c r="P791" s="49" t="s">
        <v>379</v>
      </c>
    </row>
    <row r="792" spans="1:16" x14ac:dyDescent="0.25">
      <c r="A792" s="58" t="str">
        <f t="shared" si="26"/>
        <v>XI TKJ 323</v>
      </c>
      <c r="B792" s="171">
        <f>COUNTIF(H$2:H792,H792)</f>
        <v>23</v>
      </c>
      <c r="C792" s="168">
        <v>102419512</v>
      </c>
      <c r="D792" s="168" t="s">
        <v>4655</v>
      </c>
      <c r="E792" s="168" t="s">
        <v>5056</v>
      </c>
      <c r="F792" s="198" t="s">
        <v>4172</v>
      </c>
      <c r="G792" s="168" t="s">
        <v>379</v>
      </c>
      <c r="H792" s="168" t="s">
        <v>1615</v>
      </c>
      <c r="I792" s="5" t="s">
        <v>5516</v>
      </c>
      <c r="J792" s="148" t="s">
        <v>4671</v>
      </c>
      <c r="K792" s="5" t="str">
        <f t="shared" si="25"/>
        <v>LTKJ</v>
      </c>
      <c r="P792" s="49" t="s">
        <v>379</v>
      </c>
    </row>
    <row r="793" spans="1:16" x14ac:dyDescent="0.25">
      <c r="A793" s="58" t="str">
        <f t="shared" si="26"/>
        <v>XI TKJ 324</v>
      </c>
      <c r="B793" s="171">
        <f>COUNTIF(H$2:H793,H793)</f>
        <v>24</v>
      </c>
      <c r="C793" s="168">
        <v>102419513</v>
      </c>
      <c r="D793" s="168" t="s">
        <v>4656</v>
      </c>
      <c r="E793" s="168" t="s">
        <v>5057</v>
      </c>
      <c r="F793" s="198" t="s">
        <v>4173</v>
      </c>
      <c r="G793" s="168" t="s">
        <v>381</v>
      </c>
      <c r="H793" s="168" t="s">
        <v>1615</v>
      </c>
      <c r="I793" s="5" t="s">
        <v>5516</v>
      </c>
      <c r="J793" s="148" t="s">
        <v>4671</v>
      </c>
      <c r="K793" s="5" t="str">
        <f t="shared" si="25"/>
        <v>PTKJ</v>
      </c>
      <c r="P793" s="49" t="s">
        <v>381</v>
      </c>
    </row>
    <row r="794" spans="1:16" x14ac:dyDescent="0.25">
      <c r="A794" s="58" t="str">
        <f t="shared" si="26"/>
        <v>XI TKJ 325</v>
      </c>
      <c r="B794" s="171">
        <f>COUNTIF(H$2:H794,H794)</f>
        <v>25</v>
      </c>
      <c r="C794" s="168">
        <v>102419514</v>
      </c>
      <c r="D794" s="168" t="s">
        <v>4657</v>
      </c>
      <c r="E794" s="168" t="s">
        <v>5058</v>
      </c>
      <c r="F794" s="198" t="s">
        <v>4174</v>
      </c>
      <c r="G794" s="168" t="s">
        <v>379</v>
      </c>
      <c r="H794" s="168" t="s">
        <v>1615</v>
      </c>
      <c r="I794" s="5" t="s">
        <v>5516</v>
      </c>
      <c r="J794" s="148" t="s">
        <v>4671</v>
      </c>
      <c r="K794" s="5" t="str">
        <f t="shared" si="25"/>
        <v>LTKJ</v>
      </c>
      <c r="P794" s="49" t="s">
        <v>379</v>
      </c>
    </row>
    <row r="795" spans="1:16" x14ac:dyDescent="0.25">
      <c r="A795" s="58" t="str">
        <f t="shared" si="26"/>
        <v>XI TKJ 326</v>
      </c>
      <c r="B795" s="171">
        <f>COUNTIF(H$2:H795,H795)</f>
        <v>26</v>
      </c>
      <c r="C795" s="168">
        <v>102419515</v>
      </c>
      <c r="D795" s="168" t="s">
        <v>4658</v>
      </c>
      <c r="E795" s="168" t="s">
        <v>5059</v>
      </c>
      <c r="F795" s="198" t="s">
        <v>4175</v>
      </c>
      <c r="G795" s="168" t="s">
        <v>379</v>
      </c>
      <c r="H795" s="168" t="s">
        <v>1615</v>
      </c>
      <c r="I795" s="5" t="s">
        <v>5516</v>
      </c>
      <c r="J795" s="148" t="s">
        <v>4671</v>
      </c>
      <c r="K795" s="5" t="str">
        <f t="shared" si="25"/>
        <v>LTKJ</v>
      </c>
      <c r="P795" s="49" t="s">
        <v>379</v>
      </c>
    </row>
    <row r="796" spans="1:16" x14ac:dyDescent="0.25">
      <c r="A796" s="58" t="str">
        <f t="shared" si="26"/>
        <v>XI TKJ 327</v>
      </c>
      <c r="B796" s="171">
        <f>COUNTIF(H$2:H796,H796)</f>
        <v>27</v>
      </c>
      <c r="C796" s="168">
        <v>102419516</v>
      </c>
      <c r="D796" s="168" t="s">
        <v>4659</v>
      </c>
      <c r="E796" s="168" t="s">
        <v>5060</v>
      </c>
      <c r="F796" s="198" t="s">
        <v>4176</v>
      </c>
      <c r="G796" s="168" t="s">
        <v>379</v>
      </c>
      <c r="H796" s="168" t="s">
        <v>1615</v>
      </c>
      <c r="I796" s="5" t="s">
        <v>5516</v>
      </c>
      <c r="J796" s="148" t="s">
        <v>4671</v>
      </c>
      <c r="K796" s="5" t="str">
        <f t="shared" si="25"/>
        <v>LTKJ</v>
      </c>
      <c r="P796" s="49" t="s">
        <v>379</v>
      </c>
    </row>
    <row r="797" spans="1:16" x14ac:dyDescent="0.25">
      <c r="A797" s="58" t="str">
        <f t="shared" si="26"/>
        <v>XI TKJ 328</v>
      </c>
      <c r="B797" s="171">
        <f>COUNTIF(H$2:H797,H797)</f>
        <v>28</v>
      </c>
      <c r="C797" s="168">
        <v>102419517</v>
      </c>
      <c r="D797" s="168" t="s">
        <v>4660</v>
      </c>
      <c r="E797" s="168" t="s">
        <v>5061</v>
      </c>
      <c r="F797" s="198" t="s">
        <v>4177</v>
      </c>
      <c r="G797" s="168" t="s">
        <v>381</v>
      </c>
      <c r="H797" s="168" t="s">
        <v>1615</v>
      </c>
      <c r="I797" s="5" t="s">
        <v>5516</v>
      </c>
      <c r="J797" s="148" t="s">
        <v>4671</v>
      </c>
      <c r="K797" s="5" t="str">
        <f t="shared" si="25"/>
        <v>PTKJ</v>
      </c>
      <c r="P797" s="49" t="s">
        <v>381</v>
      </c>
    </row>
    <row r="798" spans="1:16" x14ac:dyDescent="0.25">
      <c r="A798" s="58" t="str">
        <f t="shared" si="26"/>
        <v>XI TKJ 329</v>
      </c>
      <c r="B798" s="171">
        <f>COUNTIF(H$2:H798,H798)</f>
        <v>29</v>
      </c>
      <c r="C798" s="168">
        <v>102419518</v>
      </c>
      <c r="D798" s="168" t="s">
        <v>4661</v>
      </c>
      <c r="E798" s="168" t="s">
        <v>5062</v>
      </c>
      <c r="F798" s="198" t="s">
        <v>4178</v>
      </c>
      <c r="G798" s="168" t="s">
        <v>381</v>
      </c>
      <c r="H798" s="168" t="s">
        <v>1615</v>
      </c>
      <c r="I798" s="5" t="s">
        <v>5516</v>
      </c>
      <c r="J798" s="148" t="s">
        <v>4671</v>
      </c>
      <c r="K798" s="5" t="str">
        <f t="shared" si="25"/>
        <v>PTKJ</v>
      </c>
      <c r="P798" s="49" t="s">
        <v>381</v>
      </c>
    </row>
    <row r="799" spans="1:16" x14ac:dyDescent="0.25">
      <c r="A799" s="58" t="str">
        <f t="shared" si="26"/>
        <v>XI TKJ 330</v>
      </c>
      <c r="B799" s="171">
        <f>COUNTIF(H$2:H799,H799)</f>
        <v>30</v>
      </c>
      <c r="C799" s="168">
        <v>102419519</v>
      </c>
      <c r="D799" s="168" t="s">
        <v>4662</v>
      </c>
      <c r="E799" s="168" t="s">
        <v>5063</v>
      </c>
      <c r="F799" s="198" t="s">
        <v>4179</v>
      </c>
      <c r="G799" s="168" t="s">
        <v>381</v>
      </c>
      <c r="H799" s="168" t="s">
        <v>1615</v>
      </c>
      <c r="I799" s="5" t="s">
        <v>5516</v>
      </c>
      <c r="J799" s="148" t="s">
        <v>4671</v>
      </c>
      <c r="K799" s="5" t="str">
        <f t="shared" si="25"/>
        <v>PTKJ</v>
      </c>
      <c r="P799" s="49" t="s">
        <v>381</v>
      </c>
    </row>
    <row r="800" spans="1:16" x14ac:dyDescent="0.25">
      <c r="A800" s="58" t="str">
        <f t="shared" si="26"/>
        <v>XI TKJ 331</v>
      </c>
      <c r="B800" s="171">
        <f>COUNTIF(H$2:H800,H800)</f>
        <v>31</v>
      </c>
      <c r="C800" s="168">
        <v>102419520</v>
      </c>
      <c r="D800" s="168" t="s">
        <v>4663</v>
      </c>
      <c r="E800" s="168" t="s">
        <v>5064</v>
      </c>
      <c r="F800" s="198" t="s">
        <v>4180</v>
      </c>
      <c r="G800" s="168" t="s">
        <v>379</v>
      </c>
      <c r="H800" s="168" t="s">
        <v>1615</v>
      </c>
      <c r="I800" s="5" t="s">
        <v>5516</v>
      </c>
      <c r="J800" s="148" t="s">
        <v>4671</v>
      </c>
      <c r="K800" s="5" t="str">
        <f t="shared" si="25"/>
        <v>LTKJ</v>
      </c>
      <c r="P800" s="49" t="s">
        <v>379</v>
      </c>
    </row>
    <row r="801" spans="1:16" x14ac:dyDescent="0.25">
      <c r="A801" s="58" t="str">
        <f t="shared" si="26"/>
        <v>XI TKJ 332</v>
      </c>
      <c r="B801" s="171">
        <f>COUNTIF(H$2:H801,H801)</f>
        <v>32</v>
      </c>
      <c r="C801" s="168">
        <v>102419521</v>
      </c>
      <c r="D801" s="168" t="s">
        <v>4664</v>
      </c>
      <c r="E801" s="168" t="s">
        <v>5065</v>
      </c>
      <c r="F801" s="198" t="s">
        <v>4181</v>
      </c>
      <c r="G801" s="168" t="s">
        <v>381</v>
      </c>
      <c r="H801" s="168" t="s">
        <v>1615</v>
      </c>
      <c r="I801" s="5" t="s">
        <v>5516</v>
      </c>
      <c r="J801" s="148" t="s">
        <v>4671</v>
      </c>
      <c r="K801" s="5" t="str">
        <f t="shared" si="25"/>
        <v>PTKJ</v>
      </c>
      <c r="P801" s="49" t="s">
        <v>381</v>
      </c>
    </row>
    <row r="802" spans="1:16" x14ac:dyDescent="0.25">
      <c r="A802" s="58" t="str">
        <f t="shared" si="26"/>
        <v>XI TKJ 333</v>
      </c>
      <c r="B802" s="171">
        <f>COUNTIF(H$2:H802,H802)</f>
        <v>33</v>
      </c>
      <c r="C802" s="168">
        <v>102419522</v>
      </c>
      <c r="D802" s="168" t="s">
        <v>4665</v>
      </c>
      <c r="E802" s="168" t="s">
        <v>5066</v>
      </c>
      <c r="F802" s="198" t="s">
        <v>4182</v>
      </c>
      <c r="G802" s="168" t="s">
        <v>379</v>
      </c>
      <c r="H802" s="168" t="s">
        <v>1615</v>
      </c>
      <c r="I802" s="5" t="s">
        <v>5516</v>
      </c>
      <c r="J802" s="148" t="s">
        <v>4671</v>
      </c>
      <c r="K802" s="5" t="str">
        <f t="shared" si="25"/>
        <v>LTKJ</v>
      </c>
      <c r="P802" s="49" t="s">
        <v>379</v>
      </c>
    </row>
    <row r="803" spans="1:16" x14ac:dyDescent="0.25">
      <c r="A803" s="58" t="str">
        <f t="shared" si="26"/>
        <v>XI TKJ 334</v>
      </c>
      <c r="B803" s="171">
        <f>COUNTIF(H$2:H803,H803)</f>
        <v>34</v>
      </c>
      <c r="C803" s="168">
        <v>102419523</v>
      </c>
      <c r="D803" s="168" t="s">
        <v>4666</v>
      </c>
      <c r="E803" s="168" t="s">
        <v>5067</v>
      </c>
      <c r="F803" s="198" t="s">
        <v>4183</v>
      </c>
      <c r="G803" s="168" t="s">
        <v>379</v>
      </c>
      <c r="H803" s="168" t="s">
        <v>1615</v>
      </c>
      <c r="I803" s="5" t="s">
        <v>5516</v>
      </c>
      <c r="J803" s="148" t="s">
        <v>4671</v>
      </c>
      <c r="K803" s="5" t="str">
        <f t="shared" si="25"/>
        <v>LTKJ</v>
      </c>
      <c r="P803" s="49" t="s">
        <v>379</v>
      </c>
    </row>
    <row r="804" spans="1:16" x14ac:dyDescent="0.25">
      <c r="A804" s="58" t="str">
        <f t="shared" si="26"/>
        <v>XII KA 11</v>
      </c>
      <c r="B804" s="171">
        <f>COUNTIF(H$2:H804,H804)</f>
        <v>1</v>
      </c>
      <c r="C804" s="201">
        <v>102318738</v>
      </c>
      <c r="D804" s="168" t="s">
        <v>3077</v>
      </c>
      <c r="E804" s="168" t="str">
        <f t="shared" ref="E804:E867" si="27">C804&amp; " / "&amp; D804</f>
        <v>102318738 / 0076650474</v>
      </c>
      <c r="F804" s="169" t="s">
        <v>3078</v>
      </c>
      <c r="G804" s="176" t="s">
        <v>379</v>
      </c>
      <c r="H804" s="202" t="s">
        <v>3857</v>
      </c>
      <c r="I804" s="5" t="s">
        <v>5675</v>
      </c>
      <c r="J804" s="5" t="s">
        <v>5673</v>
      </c>
      <c r="K804" s="5" t="str">
        <f t="shared" ref="K804:K815" si="28">G804&amp;J804</f>
        <v>LKA</v>
      </c>
    </row>
    <row r="805" spans="1:16" x14ac:dyDescent="0.25">
      <c r="A805" s="58" t="str">
        <f t="shared" si="26"/>
        <v>XII KA 12</v>
      </c>
      <c r="B805" s="171">
        <f>COUNTIF(H$2:H805,H805)</f>
        <v>2</v>
      </c>
      <c r="C805" s="201">
        <v>102318739</v>
      </c>
      <c r="D805" s="168" t="s">
        <v>3079</v>
      </c>
      <c r="E805" s="168" t="str">
        <f t="shared" si="27"/>
        <v>102318739 / 0086535292</v>
      </c>
      <c r="F805" s="169" t="s">
        <v>3080</v>
      </c>
      <c r="G805" s="176" t="s">
        <v>381</v>
      </c>
      <c r="H805" s="202" t="s">
        <v>3857</v>
      </c>
      <c r="I805" s="5" t="s">
        <v>5675</v>
      </c>
      <c r="J805" s="5" t="s">
        <v>5673</v>
      </c>
      <c r="K805" s="5" t="str">
        <f t="shared" si="28"/>
        <v>PKA</v>
      </c>
    </row>
    <row r="806" spans="1:16" x14ac:dyDescent="0.25">
      <c r="A806" s="58" t="str">
        <f t="shared" si="26"/>
        <v>XII KA 13</v>
      </c>
      <c r="B806" s="171">
        <f>COUNTIF(H$2:H806,H806)</f>
        <v>3</v>
      </c>
      <c r="C806" s="201">
        <v>102318740</v>
      </c>
      <c r="D806" s="168" t="s">
        <v>3081</v>
      </c>
      <c r="E806" s="168" t="str">
        <f t="shared" si="27"/>
        <v>102318740 / 0073643663</v>
      </c>
      <c r="F806" s="169" t="s">
        <v>3082</v>
      </c>
      <c r="G806" s="176" t="s">
        <v>381</v>
      </c>
      <c r="H806" s="202" t="s">
        <v>3857</v>
      </c>
      <c r="I806" s="5" t="s">
        <v>5675</v>
      </c>
      <c r="J806" s="5" t="s">
        <v>5673</v>
      </c>
      <c r="K806" s="5" t="str">
        <f t="shared" si="28"/>
        <v>PKA</v>
      </c>
    </row>
    <row r="807" spans="1:16" x14ac:dyDescent="0.25">
      <c r="A807" s="58" t="str">
        <f t="shared" si="26"/>
        <v>XII KA 14</v>
      </c>
      <c r="B807" s="171">
        <f>COUNTIF(H$2:H807,H807)</f>
        <v>4</v>
      </c>
      <c r="C807" s="201">
        <v>102318741</v>
      </c>
      <c r="D807" s="168" t="s">
        <v>3083</v>
      </c>
      <c r="E807" s="168" t="str">
        <f t="shared" si="27"/>
        <v>102318741 / 0089316539</v>
      </c>
      <c r="F807" s="169" t="s">
        <v>3084</v>
      </c>
      <c r="G807" s="176" t="s">
        <v>381</v>
      </c>
      <c r="H807" s="202" t="s">
        <v>3857</v>
      </c>
      <c r="I807" s="5" t="s">
        <v>5675</v>
      </c>
      <c r="J807" s="5" t="s">
        <v>5673</v>
      </c>
      <c r="K807" s="5" t="str">
        <f t="shared" si="28"/>
        <v>PKA</v>
      </c>
    </row>
    <row r="808" spans="1:16" x14ac:dyDescent="0.25">
      <c r="A808" s="58" t="str">
        <f t="shared" si="26"/>
        <v>XII KA 15</v>
      </c>
      <c r="B808" s="171">
        <f>COUNTIF(H$2:H808,H808)</f>
        <v>5</v>
      </c>
      <c r="C808" s="201">
        <v>102318742</v>
      </c>
      <c r="D808" s="168" t="s">
        <v>3085</v>
      </c>
      <c r="E808" s="168" t="str">
        <f t="shared" si="27"/>
        <v>102318742 / 0075977264</v>
      </c>
      <c r="F808" s="169" t="s">
        <v>3086</v>
      </c>
      <c r="G808" s="176" t="s">
        <v>381</v>
      </c>
      <c r="H808" s="202" t="s">
        <v>3857</v>
      </c>
      <c r="I808" s="5" t="s">
        <v>5675</v>
      </c>
      <c r="J808" s="5" t="s">
        <v>5673</v>
      </c>
      <c r="K808" s="5" t="str">
        <f t="shared" si="28"/>
        <v>PKA</v>
      </c>
    </row>
    <row r="809" spans="1:16" x14ac:dyDescent="0.25">
      <c r="A809" s="58" t="str">
        <f t="shared" si="26"/>
        <v>XII KA 16</v>
      </c>
      <c r="B809" s="171">
        <f>COUNTIF(H$2:H809,H809)</f>
        <v>6</v>
      </c>
      <c r="C809" s="201">
        <v>102318743</v>
      </c>
      <c r="D809" s="168" t="s">
        <v>3087</v>
      </c>
      <c r="E809" s="168" t="str">
        <f t="shared" si="27"/>
        <v>102318743 / 0074316539</v>
      </c>
      <c r="F809" s="169" t="s">
        <v>3088</v>
      </c>
      <c r="G809" s="176" t="s">
        <v>381</v>
      </c>
      <c r="H809" s="202" t="s">
        <v>3857</v>
      </c>
      <c r="I809" s="5" t="s">
        <v>5675</v>
      </c>
      <c r="J809" s="5" t="s">
        <v>5673</v>
      </c>
      <c r="K809" s="5" t="str">
        <f t="shared" si="28"/>
        <v>PKA</v>
      </c>
    </row>
    <row r="810" spans="1:16" x14ac:dyDescent="0.25">
      <c r="A810" s="58" t="str">
        <f t="shared" si="26"/>
        <v>XII KA 17</v>
      </c>
      <c r="B810" s="171">
        <f>COUNTIF(H$2:H810,H810)</f>
        <v>7</v>
      </c>
      <c r="C810" s="201">
        <v>102318744</v>
      </c>
      <c r="D810" s="168" t="s">
        <v>3089</v>
      </c>
      <c r="E810" s="168" t="str">
        <f t="shared" si="27"/>
        <v>102318744 / 0077024892</v>
      </c>
      <c r="F810" s="169" t="s">
        <v>3090</v>
      </c>
      <c r="G810" s="176" t="s">
        <v>379</v>
      </c>
      <c r="H810" s="202" t="s">
        <v>3857</v>
      </c>
      <c r="I810" s="5" t="s">
        <v>5675</v>
      </c>
      <c r="J810" s="5" t="s">
        <v>5673</v>
      </c>
      <c r="K810" s="5" t="str">
        <f t="shared" si="28"/>
        <v>LKA</v>
      </c>
    </row>
    <row r="811" spans="1:16" x14ac:dyDescent="0.25">
      <c r="A811" s="58" t="str">
        <f t="shared" ref="A811:A874" si="29">H811&amp;B811</f>
        <v>XII KA 18</v>
      </c>
      <c r="B811" s="171">
        <f>COUNTIF(H$2:H811,H811)</f>
        <v>8</v>
      </c>
      <c r="C811" s="201">
        <v>102318745</v>
      </c>
      <c r="D811" s="168" t="s">
        <v>3091</v>
      </c>
      <c r="E811" s="168" t="str">
        <f t="shared" si="27"/>
        <v>102318745 / 0075115777</v>
      </c>
      <c r="F811" s="169" t="s">
        <v>3092</v>
      </c>
      <c r="G811" s="176" t="s">
        <v>381</v>
      </c>
      <c r="H811" s="202" t="s">
        <v>3857</v>
      </c>
      <c r="I811" s="5" t="s">
        <v>5675</v>
      </c>
      <c r="J811" s="5" t="s">
        <v>5673</v>
      </c>
      <c r="K811" s="5" t="str">
        <f t="shared" si="28"/>
        <v>PKA</v>
      </c>
    </row>
    <row r="812" spans="1:16" x14ac:dyDescent="0.25">
      <c r="A812" s="58" t="str">
        <f t="shared" si="29"/>
        <v>XII KA 19</v>
      </c>
      <c r="B812" s="171">
        <f>COUNTIF(H$2:H812,H812)</f>
        <v>9</v>
      </c>
      <c r="C812" s="201">
        <v>102318746</v>
      </c>
      <c r="D812" s="168" t="s">
        <v>3093</v>
      </c>
      <c r="E812" s="168" t="str">
        <f t="shared" si="27"/>
        <v>102318746 / 0089847230</v>
      </c>
      <c r="F812" s="169" t="s">
        <v>3094</v>
      </c>
      <c r="G812" s="176" t="s">
        <v>381</v>
      </c>
      <c r="H812" s="202" t="s">
        <v>3857</v>
      </c>
      <c r="I812" s="5" t="s">
        <v>5675</v>
      </c>
      <c r="J812" s="5" t="s">
        <v>5673</v>
      </c>
      <c r="K812" s="5" t="str">
        <f t="shared" si="28"/>
        <v>PKA</v>
      </c>
    </row>
    <row r="813" spans="1:16" x14ac:dyDescent="0.25">
      <c r="A813" s="58" t="str">
        <f t="shared" si="29"/>
        <v>XII KA 110</v>
      </c>
      <c r="B813" s="171">
        <f>COUNTIF(H$2:H813,H813)</f>
        <v>10</v>
      </c>
      <c r="C813" s="201">
        <v>102318747</v>
      </c>
      <c r="D813" s="168" t="s">
        <v>3095</v>
      </c>
      <c r="E813" s="168" t="str">
        <f t="shared" si="27"/>
        <v>102318747 / 0087993601</v>
      </c>
      <c r="F813" s="169" t="s">
        <v>3096</v>
      </c>
      <c r="G813" s="176" t="s">
        <v>381</v>
      </c>
      <c r="H813" s="202" t="s">
        <v>3857</v>
      </c>
      <c r="I813" s="5" t="s">
        <v>5675</v>
      </c>
      <c r="J813" s="5" t="s">
        <v>5673</v>
      </c>
      <c r="K813" s="5" t="str">
        <f t="shared" si="28"/>
        <v>PKA</v>
      </c>
    </row>
    <row r="814" spans="1:16" x14ac:dyDescent="0.25">
      <c r="A814" s="58" t="str">
        <f t="shared" si="29"/>
        <v>XII KA 111</v>
      </c>
      <c r="B814" s="171">
        <f>COUNTIF(H$2:H814,H814)</f>
        <v>11</v>
      </c>
      <c r="C814" s="201">
        <v>102318748</v>
      </c>
      <c r="D814" s="168" t="s">
        <v>3097</v>
      </c>
      <c r="E814" s="168" t="str">
        <f t="shared" si="27"/>
        <v>102318748 / 0083121409</v>
      </c>
      <c r="F814" s="169" t="s">
        <v>3098</v>
      </c>
      <c r="G814" s="176" t="s">
        <v>379</v>
      </c>
      <c r="H814" s="202" t="s">
        <v>3857</v>
      </c>
      <c r="I814" s="5" t="s">
        <v>5675</v>
      </c>
      <c r="J814" s="5" t="s">
        <v>5673</v>
      </c>
      <c r="K814" s="5" t="str">
        <f t="shared" si="28"/>
        <v>LKA</v>
      </c>
    </row>
    <row r="815" spans="1:16" x14ac:dyDescent="0.25">
      <c r="A815" s="58" t="str">
        <f t="shared" si="29"/>
        <v>XII KA 112</v>
      </c>
      <c r="B815" s="171">
        <f>COUNTIF(H$2:H815,H815)</f>
        <v>12</v>
      </c>
      <c r="C815" s="201">
        <v>102318749</v>
      </c>
      <c r="D815" s="168" t="s">
        <v>3099</v>
      </c>
      <c r="E815" s="168" t="str">
        <f t="shared" si="27"/>
        <v>102318749 / 0076487771</v>
      </c>
      <c r="F815" s="169" t="s">
        <v>3100</v>
      </c>
      <c r="G815" s="176" t="s">
        <v>381</v>
      </c>
      <c r="H815" s="202" t="s">
        <v>3857</v>
      </c>
      <c r="I815" s="5" t="s">
        <v>5675</v>
      </c>
      <c r="J815" s="5" t="s">
        <v>5673</v>
      </c>
      <c r="K815" s="5" t="str">
        <f t="shared" si="28"/>
        <v>PKA</v>
      </c>
    </row>
    <row r="816" spans="1:16" x14ac:dyDescent="0.25">
      <c r="A816" s="58" t="str">
        <f t="shared" si="29"/>
        <v>XII KA 113</v>
      </c>
      <c r="B816" s="171">
        <f>COUNTIF(H$2:H816,H816)</f>
        <v>13</v>
      </c>
      <c r="C816" s="201">
        <v>102318750</v>
      </c>
      <c r="D816" s="168" t="s">
        <v>3101</v>
      </c>
      <c r="E816" s="168" t="str">
        <f t="shared" si="27"/>
        <v>102318750 / 0083861812</v>
      </c>
      <c r="F816" s="169" t="s">
        <v>3102</v>
      </c>
      <c r="G816" s="176" t="s">
        <v>379</v>
      </c>
      <c r="H816" s="202" t="s">
        <v>3857</v>
      </c>
      <c r="I816" s="5" t="s">
        <v>5675</v>
      </c>
      <c r="J816" s="5" t="s">
        <v>5673</v>
      </c>
      <c r="K816" s="5" t="str">
        <f t="shared" ref="K816:K879" si="30">G816&amp;J816</f>
        <v>LKA</v>
      </c>
    </row>
    <row r="817" spans="1:23" x14ac:dyDescent="0.25">
      <c r="A817" s="58" t="str">
        <f t="shared" si="29"/>
        <v>XII KA 114</v>
      </c>
      <c r="B817" s="171">
        <f>COUNTIF(H$2:H817,H817)</f>
        <v>14</v>
      </c>
      <c r="C817" s="201">
        <v>102318751</v>
      </c>
      <c r="D817" s="168" t="s">
        <v>3103</v>
      </c>
      <c r="E817" s="168" t="str">
        <f t="shared" si="27"/>
        <v>102318751 / 0073444383</v>
      </c>
      <c r="F817" s="169" t="s">
        <v>3104</v>
      </c>
      <c r="G817" s="176" t="s">
        <v>381</v>
      </c>
      <c r="H817" s="202" t="s">
        <v>3857</v>
      </c>
      <c r="I817" s="5" t="s">
        <v>5675</v>
      </c>
      <c r="J817" s="5" t="s">
        <v>5673</v>
      </c>
      <c r="K817" s="5" t="str">
        <f t="shared" si="30"/>
        <v>PKA</v>
      </c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</row>
    <row r="818" spans="1:23" x14ac:dyDescent="0.25">
      <c r="A818" s="58" t="str">
        <f t="shared" si="29"/>
        <v>XII KA 115</v>
      </c>
      <c r="B818" s="171">
        <f>COUNTIF(H$2:H818,H818)</f>
        <v>15</v>
      </c>
      <c r="C818" s="201">
        <v>102318752</v>
      </c>
      <c r="D818" s="168" t="s">
        <v>3105</v>
      </c>
      <c r="E818" s="168" t="str">
        <f t="shared" si="27"/>
        <v>102318752 / 0086597062</v>
      </c>
      <c r="F818" s="169" t="s">
        <v>3106</v>
      </c>
      <c r="G818" s="176" t="s">
        <v>381</v>
      </c>
      <c r="H818" s="202" t="s">
        <v>3857</v>
      </c>
      <c r="I818" s="5" t="s">
        <v>5675</v>
      </c>
      <c r="J818" s="5" t="s">
        <v>5673</v>
      </c>
      <c r="K818" s="5" t="str">
        <f t="shared" si="30"/>
        <v>PKA</v>
      </c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</row>
    <row r="819" spans="1:23" x14ac:dyDescent="0.25">
      <c r="A819" s="58" t="str">
        <f t="shared" si="29"/>
        <v>XII KA 116</v>
      </c>
      <c r="B819" s="171">
        <f>COUNTIF(H$2:H819,H819)</f>
        <v>16</v>
      </c>
      <c r="C819" s="201">
        <v>102318753</v>
      </c>
      <c r="D819" s="168" t="s">
        <v>3107</v>
      </c>
      <c r="E819" s="168" t="str">
        <f t="shared" si="27"/>
        <v>102318753 / 0088168979</v>
      </c>
      <c r="F819" s="169" t="s">
        <v>3108</v>
      </c>
      <c r="G819" s="176" t="s">
        <v>381</v>
      </c>
      <c r="H819" s="202" t="s">
        <v>3857</v>
      </c>
      <c r="I819" s="5" t="s">
        <v>5675</v>
      </c>
      <c r="J819" s="5" t="s">
        <v>5673</v>
      </c>
      <c r="K819" s="5" t="str">
        <f t="shared" si="30"/>
        <v>PKA</v>
      </c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</row>
    <row r="820" spans="1:23" x14ac:dyDescent="0.25">
      <c r="A820" s="58" t="str">
        <f t="shared" si="29"/>
        <v>XII KA 117</v>
      </c>
      <c r="B820" s="171">
        <f>COUNTIF(H$2:H820,H820)</f>
        <v>17</v>
      </c>
      <c r="C820" s="201">
        <v>102318754</v>
      </c>
      <c r="D820" s="168" t="s">
        <v>3109</v>
      </c>
      <c r="E820" s="168" t="str">
        <f t="shared" si="27"/>
        <v>102318754 / 0075463246</v>
      </c>
      <c r="F820" s="169" t="s">
        <v>3110</v>
      </c>
      <c r="G820" s="176" t="s">
        <v>381</v>
      </c>
      <c r="H820" s="202" t="s">
        <v>3857</v>
      </c>
      <c r="I820" s="5" t="s">
        <v>5675</v>
      </c>
      <c r="J820" s="5" t="s">
        <v>5673</v>
      </c>
      <c r="K820" s="5" t="str">
        <f t="shared" si="30"/>
        <v>PKA</v>
      </c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</row>
    <row r="821" spans="1:23" x14ac:dyDescent="0.25">
      <c r="A821" s="58" t="str">
        <f t="shared" si="29"/>
        <v>XII KA 118</v>
      </c>
      <c r="B821" s="171">
        <f>COUNTIF(H$2:H821,H821)</f>
        <v>18</v>
      </c>
      <c r="C821" s="201">
        <v>102318755</v>
      </c>
      <c r="D821" s="168" t="s">
        <v>3111</v>
      </c>
      <c r="E821" s="168" t="str">
        <f t="shared" si="27"/>
        <v>102318755 / 0071783553</v>
      </c>
      <c r="F821" s="169" t="s">
        <v>3112</v>
      </c>
      <c r="G821" s="176" t="s">
        <v>381</v>
      </c>
      <c r="H821" s="202" t="s">
        <v>3857</v>
      </c>
      <c r="I821" s="5" t="s">
        <v>5675</v>
      </c>
      <c r="J821" s="5" t="s">
        <v>5673</v>
      </c>
      <c r="K821" s="5" t="str">
        <f t="shared" si="30"/>
        <v>PKA</v>
      </c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</row>
    <row r="822" spans="1:23" x14ac:dyDescent="0.25">
      <c r="A822" s="58" t="str">
        <f t="shared" si="29"/>
        <v>XII KA 119</v>
      </c>
      <c r="B822" s="171">
        <f>COUNTIF(H$2:H822,H822)</f>
        <v>19</v>
      </c>
      <c r="C822" s="201">
        <v>102318756</v>
      </c>
      <c r="D822" s="168" t="s">
        <v>3113</v>
      </c>
      <c r="E822" s="168" t="str">
        <f t="shared" si="27"/>
        <v>102318756 / 0082007607</v>
      </c>
      <c r="F822" s="169" t="s">
        <v>3114</v>
      </c>
      <c r="G822" s="176" t="s">
        <v>381</v>
      </c>
      <c r="H822" s="202" t="s">
        <v>3857</v>
      </c>
      <c r="I822" s="5" t="s">
        <v>5675</v>
      </c>
      <c r="J822" s="5" t="s">
        <v>5673</v>
      </c>
      <c r="K822" s="5" t="str">
        <f t="shared" si="30"/>
        <v>PKA</v>
      </c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</row>
    <row r="823" spans="1:23" x14ac:dyDescent="0.25">
      <c r="A823" s="58" t="str">
        <f t="shared" si="29"/>
        <v>XII KA 120</v>
      </c>
      <c r="B823" s="171">
        <f>COUNTIF(H$2:H823,H823)</f>
        <v>20</v>
      </c>
      <c r="C823" s="201">
        <v>102318757</v>
      </c>
      <c r="D823" s="168" t="s">
        <v>3115</v>
      </c>
      <c r="E823" s="168" t="str">
        <f t="shared" si="27"/>
        <v>102318757 / 0087008346</v>
      </c>
      <c r="F823" s="169" t="s">
        <v>3116</v>
      </c>
      <c r="G823" s="176" t="s">
        <v>381</v>
      </c>
      <c r="H823" s="202" t="s">
        <v>3857</v>
      </c>
      <c r="I823" s="5" t="s">
        <v>5675</v>
      </c>
      <c r="J823" s="5" t="s">
        <v>5673</v>
      </c>
      <c r="K823" s="5" t="str">
        <f t="shared" si="30"/>
        <v>PKA</v>
      </c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</row>
    <row r="824" spans="1:23" x14ac:dyDescent="0.25">
      <c r="A824" s="58" t="str">
        <f t="shared" si="29"/>
        <v>XII KA 121</v>
      </c>
      <c r="B824" s="171">
        <f>COUNTIF(H$2:H824,H824)</f>
        <v>21</v>
      </c>
      <c r="C824" s="201">
        <v>102318758</v>
      </c>
      <c r="D824" s="168" t="s">
        <v>3117</v>
      </c>
      <c r="E824" s="168" t="str">
        <f t="shared" si="27"/>
        <v>102318758 / 0082388418</v>
      </c>
      <c r="F824" s="169" t="s">
        <v>3118</v>
      </c>
      <c r="G824" s="176" t="s">
        <v>381</v>
      </c>
      <c r="H824" s="202" t="s">
        <v>3857</v>
      </c>
      <c r="I824" s="5" t="s">
        <v>5675</v>
      </c>
      <c r="J824" s="5" t="s">
        <v>5673</v>
      </c>
      <c r="K824" s="5" t="str">
        <f t="shared" si="30"/>
        <v>PKA</v>
      </c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</row>
    <row r="825" spans="1:23" x14ac:dyDescent="0.25">
      <c r="A825" s="58" t="str">
        <f t="shared" si="29"/>
        <v>XII KA 122</v>
      </c>
      <c r="B825" s="171">
        <f>COUNTIF(H$2:H825,H825)</f>
        <v>22</v>
      </c>
      <c r="C825" s="201">
        <v>102318759</v>
      </c>
      <c r="D825" s="168" t="s">
        <v>3119</v>
      </c>
      <c r="E825" s="168" t="str">
        <f t="shared" si="27"/>
        <v>102318759 / 0088620854</v>
      </c>
      <c r="F825" s="169" t="s">
        <v>3120</v>
      </c>
      <c r="G825" s="176" t="s">
        <v>381</v>
      </c>
      <c r="H825" s="202" t="s">
        <v>3857</v>
      </c>
      <c r="I825" s="5" t="s">
        <v>5675</v>
      </c>
      <c r="J825" s="5" t="s">
        <v>5673</v>
      </c>
      <c r="K825" s="5" t="str">
        <f t="shared" si="30"/>
        <v>PKA</v>
      </c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</row>
    <row r="826" spans="1:23" x14ac:dyDescent="0.25">
      <c r="A826" s="58" t="str">
        <f t="shared" si="29"/>
        <v>XII KA 123</v>
      </c>
      <c r="B826" s="171">
        <f>COUNTIF(H$2:H826,H826)</f>
        <v>23</v>
      </c>
      <c r="C826" s="201">
        <v>102318760</v>
      </c>
      <c r="D826" s="168" t="s">
        <v>3121</v>
      </c>
      <c r="E826" s="168" t="str">
        <f t="shared" si="27"/>
        <v>102318760 / 0082811386</v>
      </c>
      <c r="F826" s="169" t="s">
        <v>3122</v>
      </c>
      <c r="G826" s="176" t="s">
        <v>379</v>
      </c>
      <c r="H826" s="202" t="s">
        <v>3857</v>
      </c>
      <c r="I826" s="5" t="s">
        <v>5675</v>
      </c>
      <c r="J826" s="5" t="s">
        <v>5673</v>
      </c>
      <c r="K826" s="5" t="str">
        <f t="shared" si="30"/>
        <v>LKA</v>
      </c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</row>
    <row r="827" spans="1:23" x14ac:dyDescent="0.25">
      <c r="A827" s="58" t="str">
        <f t="shared" si="29"/>
        <v>XII KA 124</v>
      </c>
      <c r="B827" s="171">
        <f>COUNTIF(H$2:H827,H827)</f>
        <v>24</v>
      </c>
      <c r="C827" s="201">
        <v>102318761</v>
      </c>
      <c r="D827" s="168" t="s">
        <v>3123</v>
      </c>
      <c r="E827" s="168" t="str">
        <f t="shared" si="27"/>
        <v>102318761 / 0072159565</v>
      </c>
      <c r="F827" s="169" t="s">
        <v>3124</v>
      </c>
      <c r="G827" s="176" t="s">
        <v>379</v>
      </c>
      <c r="H827" s="202" t="s">
        <v>3857</v>
      </c>
      <c r="I827" s="5" t="s">
        <v>5675</v>
      </c>
      <c r="J827" s="5" t="s">
        <v>5673</v>
      </c>
      <c r="K827" s="5" t="str">
        <f t="shared" si="30"/>
        <v>LKA</v>
      </c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</row>
    <row r="828" spans="1:23" x14ac:dyDescent="0.25">
      <c r="A828" s="58" t="str">
        <f t="shared" si="29"/>
        <v>XII KA 125</v>
      </c>
      <c r="B828" s="171">
        <f>COUNTIF(H$2:H828,H828)</f>
        <v>25</v>
      </c>
      <c r="C828" s="201">
        <v>102318762</v>
      </c>
      <c r="D828" s="168" t="s">
        <v>3125</v>
      </c>
      <c r="E828" s="168" t="str">
        <f t="shared" si="27"/>
        <v>102318762 / 0076284245</v>
      </c>
      <c r="F828" s="169" t="s">
        <v>3126</v>
      </c>
      <c r="G828" s="176" t="s">
        <v>381</v>
      </c>
      <c r="H828" s="202" t="s">
        <v>3857</v>
      </c>
      <c r="I828" s="5" t="s">
        <v>5675</v>
      </c>
      <c r="J828" s="5" t="s">
        <v>5673</v>
      </c>
      <c r="K828" s="5" t="str">
        <f t="shared" si="30"/>
        <v>PKA</v>
      </c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</row>
    <row r="829" spans="1:23" x14ac:dyDescent="0.25">
      <c r="A829" s="58" t="str">
        <f t="shared" si="29"/>
        <v>XII KA 126</v>
      </c>
      <c r="B829" s="171">
        <f>COUNTIF(H$2:H829,H829)</f>
        <v>26</v>
      </c>
      <c r="C829" s="201">
        <v>102318763</v>
      </c>
      <c r="D829" s="168" t="s">
        <v>3127</v>
      </c>
      <c r="E829" s="168" t="str">
        <f t="shared" si="27"/>
        <v>102318763 / 0078016724</v>
      </c>
      <c r="F829" s="169" t="s">
        <v>3128</v>
      </c>
      <c r="G829" s="176" t="s">
        <v>381</v>
      </c>
      <c r="H829" s="202" t="s">
        <v>3857</v>
      </c>
      <c r="I829" s="5" t="s">
        <v>5675</v>
      </c>
      <c r="J829" s="5" t="s">
        <v>5673</v>
      </c>
      <c r="K829" s="5" t="str">
        <f t="shared" si="30"/>
        <v>PKA</v>
      </c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</row>
    <row r="830" spans="1:23" x14ac:dyDescent="0.25">
      <c r="A830" s="58" t="str">
        <f t="shared" si="29"/>
        <v>XII KA 127</v>
      </c>
      <c r="B830" s="171">
        <f>COUNTIF(H$2:H830,H830)</f>
        <v>27</v>
      </c>
      <c r="C830" s="201">
        <v>102318764</v>
      </c>
      <c r="D830" s="168" t="s">
        <v>3129</v>
      </c>
      <c r="E830" s="168" t="str">
        <f t="shared" si="27"/>
        <v>102318764 / 0085595699</v>
      </c>
      <c r="F830" s="169" t="s">
        <v>3130</v>
      </c>
      <c r="G830" s="176" t="s">
        <v>381</v>
      </c>
      <c r="H830" s="202" t="s">
        <v>3857</v>
      </c>
      <c r="I830" s="5" t="s">
        <v>5675</v>
      </c>
      <c r="J830" s="5" t="s">
        <v>5673</v>
      </c>
      <c r="K830" s="5" t="str">
        <f t="shared" si="30"/>
        <v>PKA</v>
      </c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</row>
    <row r="831" spans="1:23" x14ac:dyDescent="0.25">
      <c r="A831" s="58" t="str">
        <f t="shared" si="29"/>
        <v>XII KA 128</v>
      </c>
      <c r="B831" s="171">
        <f>COUNTIF(H$2:H831,H831)</f>
        <v>28</v>
      </c>
      <c r="C831" s="201">
        <v>102318765</v>
      </c>
      <c r="D831" s="168" t="s">
        <v>3131</v>
      </c>
      <c r="E831" s="168" t="str">
        <f t="shared" si="27"/>
        <v>102318765 / 0071854052</v>
      </c>
      <c r="F831" s="169" t="s">
        <v>3132</v>
      </c>
      <c r="G831" s="176" t="s">
        <v>379</v>
      </c>
      <c r="H831" s="202" t="s">
        <v>3857</v>
      </c>
      <c r="I831" s="5" t="s">
        <v>5675</v>
      </c>
      <c r="J831" s="5" t="s">
        <v>5673</v>
      </c>
      <c r="K831" s="5" t="str">
        <f t="shared" si="30"/>
        <v>LKA</v>
      </c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</row>
    <row r="832" spans="1:23" x14ac:dyDescent="0.25">
      <c r="A832" s="58" t="str">
        <f t="shared" si="29"/>
        <v>XII KA 129</v>
      </c>
      <c r="B832" s="171">
        <f>COUNTIF(H$2:H832,H832)</f>
        <v>29</v>
      </c>
      <c r="C832" s="201">
        <v>102318766</v>
      </c>
      <c r="D832" s="168" t="s">
        <v>3133</v>
      </c>
      <c r="E832" s="168" t="str">
        <f t="shared" si="27"/>
        <v>102318766 / 0074233228</v>
      </c>
      <c r="F832" s="169" t="s">
        <v>3134</v>
      </c>
      <c r="G832" s="176" t="s">
        <v>381</v>
      </c>
      <c r="H832" s="202" t="s">
        <v>3857</v>
      </c>
      <c r="I832" s="5" t="s">
        <v>5675</v>
      </c>
      <c r="J832" s="5" t="s">
        <v>5673</v>
      </c>
      <c r="K832" s="5" t="str">
        <f t="shared" si="30"/>
        <v>PKA</v>
      </c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</row>
    <row r="833" spans="1:23" x14ac:dyDescent="0.25">
      <c r="A833" s="58" t="str">
        <f t="shared" si="29"/>
        <v>XII KA 130</v>
      </c>
      <c r="B833" s="171">
        <f>COUNTIF(H$2:H833,H833)</f>
        <v>30</v>
      </c>
      <c r="C833" s="201">
        <v>102318767</v>
      </c>
      <c r="D833" s="168" t="s">
        <v>3135</v>
      </c>
      <c r="E833" s="168" t="str">
        <f t="shared" si="27"/>
        <v>102318767 / 0081133852</v>
      </c>
      <c r="F833" s="169" t="s">
        <v>3136</v>
      </c>
      <c r="G833" s="176" t="s">
        <v>379</v>
      </c>
      <c r="H833" s="202" t="s">
        <v>3857</v>
      </c>
      <c r="I833" s="5" t="s">
        <v>5675</v>
      </c>
      <c r="J833" s="5" t="s">
        <v>5673</v>
      </c>
      <c r="K833" s="5" t="str">
        <f t="shared" si="30"/>
        <v>LKA</v>
      </c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</row>
    <row r="834" spans="1:23" x14ac:dyDescent="0.25">
      <c r="A834" s="58" t="str">
        <f t="shared" si="29"/>
        <v>XII KA 131</v>
      </c>
      <c r="B834" s="171">
        <f>COUNTIF(H$2:H834,H834)</f>
        <v>31</v>
      </c>
      <c r="C834" s="201">
        <v>102318768</v>
      </c>
      <c r="D834" s="168" t="s">
        <v>3137</v>
      </c>
      <c r="E834" s="168" t="str">
        <f t="shared" si="27"/>
        <v>102318768 / 3078294883</v>
      </c>
      <c r="F834" s="169" t="s">
        <v>3138</v>
      </c>
      <c r="G834" s="176" t="s">
        <v>381</v>
      </c>
      <c r="H834" s="202" t="s">
        <v>3857</v>
      </c>
      <c r="I834" s="5" t="s">
        <v>5675</v>
      </c>
      <c r="J834" s="5" t="s">
        <v>5673</v>
      </c>
      <c r="K834" s="5" t="str">
        <f t="shared" si="30"/>
        <v>PKA</v>
      </c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</row>
    <row r="835" spans="1:23" x14ac:dyDescent="0.25">
      <c r="A835" s="58" t="str">
        <f t="shared" si="29"/>
        <v>XII KA 132</v>
      </c>
      <c r="B835" s="171">
        <f>COUNTIF(H$2:H835,H835)</f>
        <v>32</v>
      </c>
      <c r="C835" s="201">
        <v>102318769</v>
      </c>
      <c r="D835" s="168" t="s">
        <v>3139</v>
      </c>
      <c r="E835" s="168" t="str">
        <f t="shared" si="27"/>
        <v>102318769 / 0078892846</v>
      </c>
      <c r="F835" s="169" t="s">
        <v>3140</v>
      </c>
      <c r="G835" s="176" t="s">
        <v>381</v>
      </c>
      <c r="H835" s="202" t="s">
        <v>3857</v>
      </c>
      <c r="I835" s="5" t="s">
        <v>5675</v>
      </c>
      <c r="J835" s="5" t="s">
        <v>5673</v>
      </c>
      <c r="K835" s="5" t="str">
        <f t="shared" si="30"/>
        <v>PKA</v>
      </c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</row>
    <row r="836" spans="1:23" x14ac:dyDescent="0.25">
      <c r="A836" s="58" t="str">
        <f t="shared" si="29"/>
        <v>XII KA 133</v>
      </c>
      <c r="B836" s="171">
        <f>COUNTIF(H$2:H836,H836)</f>
        <v>33</v>
      </c>
      <c r="C836" s="201">
        <v>102318770</v>
      </c>
      <c r="D836" s="168" t="s">
        <v>3141</v>
      </c>
      <c r="E836" s="168" t="str">
        <f t="shared" si="27"/>
        <v>102318770 / 0086108062</v>
      </c>
      <c r="F836" s="169" t="s">
        <v>3142</v>
      </c>
      <c r="G836" s="176" t="s">
        <v>379</v>
      </c>
      <c r="H836" s="202" t="s">
        <v>3857</v>
      </c>
      <c r="I836" s="5" t="s">
        <v>5675</v>
      </c>
      <c r="J836" s="5" t="s">
        <v>5673</v>
      </c>
      <c r="K836" s="5" t="str">
        <f t="shared" si="30"/>
        <v>LKA</v>
      </c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</row>
    <row r="837" spans="1:23" x14ac:dyDescent="0.25">
      <c r="A837" s="58" t="str">
        <f t="shared" si="29"/>
        <v>XII KA 134</v>
      </c>
      <c r="B837" s="171">
        <f>COUNTIF(H$2:H837,H837)</f>
        <v>34</v>
      </c>
      <c r="C837" s="201">
        <v>102318771</v>
      </c>
      <c r="D837" s="168" t="s">
        <v>3143</v>
      </c>
      <c r="E837" s="168" t="str">
        <f t="shared" si="27"/>
        <v>102318771 / 0075938192</v>
      </c>
      <c r="F837" s="169" t="s">
        <v>3144</v>
      </c>
      <c r="G837" s="176" t="s">
        <v>379</v>
      </c>
      <c r="H837" s="202" t="s">
        <v>3857</v>
      </c>
      <c r="I837" s="5" t="s">
        <v>5675</v>
      </c>
      <c r="J837" s="5" t="s">
        <v>5673</v>
      </c>
      <c r="K837" s="5" t="str">
        <f t="shared" si="30"/>
        <v>LKA</v>
      </c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</row>
    <row r="838" spans="1:23" x14ac:dyDescent="0.25">
      <c r="A838" s="58" t="str">
        <f t="shared" si="29"/>
        <v>XII KA 135</v>
      </c>
      <c r="B838" s="171">
        <f>COUNTIF(H$2:H838,H838)</f>
        <v>35</v>
      </c>
      <c r="C838" s="201">
        <v>102318773</v>
      </c>
      <c r="D838" s="168" t="s">
        <v>3145</v>
      </c>
      <c r="E838" s="168" t="str">
        <f t="shared" si="27"/>
        <v>102318773 / 0086799792</v>
      </c>
      <c r="F838" s="169" t="s">
        <v>3146</v>
      </c>
      <c r="G838" s="176" t="s">
        <v>381</v>
      </c>
      <c r="H838" s="202" t="s">
        <v>3857</v>
      </c>
      <c r="I838" s="5" t="s">
        <v>5675</v>
      </c>
      <c r="J838" s="5" t="s">
        <v>5673</v>
      </c>
      <c r="K838" s="5" t="str">
        <f t="shared" si="30"/>
        <v>PKA</v>
      </c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</row>
    <row r="839" spans="1:23" x14ac:dyDescent="0.25">
      <c r="A839" s="58" t="str">
        <f t="shared" si="29"/>
        <v>XII KA 21</v>
      </c>
      <c r="B839" s="171">
        <f>COUNTIF(H$2:H839,H839)</f>
        <v>1</v>
      </c>
      <c r="C839" s="201">
        <v>102318774</v>
      </c>
      <c r="D839" s="168" t="s">
        <v>3147</v>
      </c>
      <c r="E839" s="168" t="str">
        <f t="shared" si="27"/>
        <v>102318774 / 3085051012</v>
      </c>
      <c r="F839" s="169" t="s">
        <v>3148</v>
      </c>
      <c r="G839" s="176" t="s">
        <v>379</v>
      </c>
      <c r="H839" s="202" t="s">
        <v>3858</v>
      </c>
      <c r="I839" s="5" t="s">
        <v>5675</v>
      </c>
      <c r="J839" s="5" t="s">
        <v>5673</v>
      </c>
      <c r="K839" s="5" t="str">
        <f t="shared" si="30"/>
        <v>LKA</v>
      </c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</row>
    <row r="840" spans="1:23" x14ac:dyDescent="0.25">
      <c r="A840" s="58" t="str">
        <f t="shared" si="29"/>
        <v>XII KA 22</v>
      </c>
      <c r="B840" s="171">
        <f>COUNTIF(H$2:H840,H840)</f>
        <v>2</v>
      </c>
      <c r="C840" s="201">
        <v>102318775</v>
      </c>
      <c r="D840" s="168" t="s">
        <v>3149</v>
      </c>
      <c r="E840" s="168" t="str">
        <f t="shared" si="27"/>
        <v>102318775 / 0073567964</v>
      </c>
      <c r="F840" s="169" t="s">
        <v>3150</v>
      </c>
      <c r="G840" s="176" t="s">
        <v>381</v>
      </c>
      <c r="H840" s="202" t="s">
        <v>3858</v>
      </c>
      <c r="I840" s="5" t="s">
        <v>5675</v>
      </c>
      <c r="J840" s="5" t="s">
        <v>5673</v>
      </c>
      <c r="K840" s="5" t="str">
        <f t="shared" si="30"/>
        <v>PKA</v>
      </c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</row>
    <row r="841" spans="1:23" x14ac:dyDescent="0.25">
      <c r="A841" s="58" t="str">
        <f t="shared" si="29"/>
        <v>XII KA 23</v>
      </c>
      <c r="B841" s="171">
        <f>COUNTIF(H$2:H841,H841)</f>
        <v>3</v>
      </c>
      <c r="C841" s="201">
        <v>102318776</v>
      </c>
      <c r="D841" s="168" t="s">
        <v>3151</v>
      </c>
      <c r="E841" s="168" t="str">
        <f t="shared" si="27"/>
        <v>102318776 / 0083465238</v>
      </c>
      <c r="F841" s="169" t="s">
        <v>3152</v>
      </c>
      <c r="G841" s="176" t="s">
        <v>381</v>
      </c>
      <c r="H841" s="202" t="s">
        <v>3858</v>
      </c>
      <c r="I841" s="5" t="s">
        <v>5675</v>
      </c>
      <c r="J841" s="5" t="s">
        <v>5673</v>
      </c>
      <c r="K841" s="5" t="str">
        <f t="shared" si="30"/>
        <v>PKA</v>
      </c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</row>
    <row r="842" spans="1:23" x14ac:dyDescent="0.25">
      <c r="A842" s="58" t="str">
        <f t="shared" si="29"/>
        <v>XII KA 24</v>
      </c>
      <c r="B842" s="171">
        <f>COUNTIF(H$2:H842,H842)</f>
        <v>4</v>
      </c>
      <c r="C842" s="201">
        <v>102318777</v>
      </c>
      <c r="D842" s="168" t="s">
        <v>3153</v>
      </c>
      <c r="E842" s="168" t="str">
        <f t="shared" si="27"/>
        <v>102318777 / 0083222975</v>
      </c>
      <c r="F842" s="169" t="s">
        <v>3154</v>
      </c>
      <c r="G842" s="176" t="s">
        <v>381</v>
      </c>
      <c r="H842" s="202" t="s">
        <v>3858</v>
      </c>
      <c r="I842" s="5" t="s">
        <v>5675</v>
      </c>
      <c r="J842" s="5" t="s">
        <v>5673</v>
      </c>
      <c r="K842" s="5" t="str">
        <f t="shared" si="30"/>
        <v>PKA</v>
      </c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</row>
    <row r="843" spans="1:23" x14ac:dyDescent="0.25">
      <c r="A843" s="58" t="str">
        <f t="shared" si="29"/>
        <v>XII KA 25</v>
      </c>
      <c r="B843" s="171">
        <f>COUNTIF(H$2:H843,H843)</f>
        <v>5</v>
      </c>
      <c r="C843" s="201">
        <v>102318778</v>
      </c>
      <c r="D843" s="168" t="s">
        <v>3155</v>
      </c>
      <c r="E843" s="168" t="str">
        <f t="shared" si="27"/>
        <v>102318778 / 0074840659</v>
      </c>
      <c r="F843" s="169" t="s">
        <v>3156</v>
      </c>
      <c r="G843" s="176" t="s">
        <v>381</v>
      </c>
      <c r="H843" s="202" t="s">
        <v>3858</v>
      </c>
      <c r="I843" s="5" t="s">
        <v>5675</v>
      </c>
      <c r="J843" s="5" t="s">
        <v>5673</v>
      </c>
      <c r="K843" s="5" t="str">
        <f t="shared" si="30"/>
        <v>PKA</v>
      </c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</row>
    <row r="844" spans="1:23" x14ac:dyDescent="0.25">
      <c r="A844" s="58" t="str">
        <f t="shared" si="29"/>
        <v>XII KA 26</v>
      </c>
      <c r="B844" s="171">
        <f>COUNTIF(H$2:H844,H844)</f>
        <v>6</v>
      </c>
      <c r="C844" s="201">
        <v>102318779</v>
      </c>
      <c r="D844" s="168" t="s">
        <v>3157</v>
      </c>
      <c r="E844" s="168" t="str">
        <f t="shared" si="27"/>
        <v>102318779 / 0076654942</v>
      </c>
      <c r="F844" s="169" t="s">
        <v>3158</v>
      </c>
      <c r="G844" s="176" t="s">
        <v>381</v>
      </c>
      <c r="H844" s="202" t="s">
        <v>3858</v>
      </c>
      <c r="I844" s="5" t="s">
        <v>5675</v>
      </c>
      <c r="J844" s="5" t="s">
        <v>5673</v>
      </c>
      <c r="K844" s="5" t="str">
        <f t="shared" si="30"/>
        <v>PKA</v>
      </c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</row>
    <row r="845" spans="1:23" x14ac:dyDescent="0.25">
      <c r="A845" s="58" t="str">
        <f t="shared" si="29"/>
        <v>XII KA 27</v>
      </c>
      <c r="B845" s="171">
        <f>COUNTIF(H$2:H845,H845)</f>
        <v>7</v>
      </c>
      <c r="C845" s="201">
        <v>102318780</v>
      </c>
      <c r="D845" s="168" t="s">
        <v>3159</v>
      </c>
      <c r="E845" s="168" t="str">
        <f t="shared" si="27"/>
        <v>102318780 / 0073463134</v>
      </c>
      <c r="F845" s="169" t="s">
        <v>3160</v>
      </c>
      <c r="G845" s="176" t="s">
        <v>379</v>
      </c>
      <c r="H845" s="202" t="s">
        <v>3858</v>
      </c>
      <c r="I845" s="5" t="s">
        <v>5675</v>
      </c>
      <c r="J845" s="5" t="s">
        <v>5673</v>
      </c>
      <c r="K845" s="5" t="str">
        <f t="shared" si="30"/>
        <v>LKA</v>
      </c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</row>
    <row r="846" spans="1:23" x14ac:dyDescent="0.25">
      <c r="A846" s="58" t="str">
        <f t="shared" si="29"/>
        <v>XII KA 28</v>
      </c>
      <c r="B846" s="171">
        <f>COUNTIF(H$2:H846,H846)</f>
        <v>8</v>
      </c>
      <c r="C846" s="201">
        <v>102318781</v>
      </c>
      <c r="D846" s="168" t="s">
        <v>3161</v>
      </c>
      <c r="E846" s="168" t="str">
        <f t="shared" si="27"/>
        <v>102318781 / 0081408458</v>
      </c>
      <c r="F846" s="169" t="s">
        <v>3162</v>
      </c>
      <c r="G846" s="176" t="s">
        <v>381</v>
      </c>
      <c r="H846" s="202" t="s">
        <v>3858</v>
      </c>
      <c r="I846" s="5" t="s">
        <v>5675</v>
      </c>
      <c r="J846" s="5" t="s">
        <v>5673</v>
      </c>
      <c r="K846" s="5" t="str">
        <f t="shared" si="30"/>
        <v>PKA</v>
      </c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</row>
    <row r="847" spans="1:23" x14ac:dyDescent="0.25">
      <c r="A847" s="58" t="str">
        <f t="shared" si="29"/>
        <v>XII KA 29</v>
      </c>
      <c r="B847" s="171">
        <f>COUNTIF(H$2:H847,H847)</f>
        <v>9</v>
      </c>
      <c r="C847" s="201">
        <v>102318782</v>
      </c>
      <c r="D847" s="168" t="s">
        <v>3163</v>
      </c>
      <c r="E847" s="168" t="str">
        <f t="shared" si="27"/>
        <v>102318782 / 0087221131</v>
      </c>
      <c r="F847" s="169" t="s">
        <v>3164</v>
      </c>
      <c r="G847" s="176" t="s">
        <v>381</v>
      </c>
      <c r="H847" s="202" t="s">
        <v>3858</v>
      </c>
      <c r="I847" s="5" t="s">
        <v>5675</v>
      </c>
      <c r="J847" s="5" t="s">
        <v>5673</v>
      </c>
      <c r="K847" s="5" t="str">
        <f t="shared" si="30"/>
        <v>PKA</v>
      </c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</row>
    <row r="848" spans="1:23" x14ac:dyDescent="0.25">
      <c r="A848" s="58" t="str">
        <f t="shared" si="29"/>
        <v>XII KA 210</v>
      </c>
      <c r="B848" s="171">
        <f>COUNTIF(H$2:H848,H848)</f>
        <v>10</v>
      </c>
      <c r="C848" s="201">
        <v>102318783</v>
      </c>
      <c r="D848" s="168" t="s">
        <v>3165</v>
      </c>
      <c r="E848" s="168" t="str">
        <f t="shared" si="27"/>
        <v>102318783 / 0085798636</v>
      </c>
      <c r="F848" s="169" t="s">
        <v>3166</v>
      </c>
      <c r="G848" s="176" t="s">
        <v>381</v>
      </c>
      <c r="H848" s="202" t="s">
        <v>3858</v>
      </c>
      <c r="I848" s="5" t="s">
        <v>5675</v>
      </c>
      <c r="J848" s="5" t="s">
        <v>5673</v>
      </c>
      <c r="K848" s="5" t="str">
        <f t="shared" si="30"/>
        <v>PKA</v>
      </c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</row>
    <row r="849" spans="1:23" x14ac:dyDescent="0.25">
      <c r="A849" s="58" t="str">
        <f t="shared" si="29"/>
        <v>XII KA 211</v>
      </c>
      <c r="B849" s="171">
        <f>COUNTIF(H$2:H849,H849)</f>
        <v>11</v>
      </c>
      <c r="C849" s="201">
        <v>102318784</v>
      </c>
      <c r="D849" s="168" t="s">
        <v>3167</v>
      </c>
      <c r="E849" s="168" t="str">
        <f t="shared" si="27"/>
        <v>102318784 / 0075839709</v>
      </c>
      <c r="F849" s="169" t="s">
        <v>3168</v>
      </c>
      <c r="G849" s="176" t="s">
        <v>381</v>
      </c>
      <c r="H849" s="202" t="s">
        <v>3858</v>
      </c>
      <c r="I849" s="5" t="s">
        <v>5675</v>
      </c>
      <c r="J849" s="5" t="s">
        <v>5673</v>
      </c>
      <c r="K849" s="5" t="str">
        <f t="shared" si="30"/>
        <v>PKA</v>
      </c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</row>
    <row r="850" spans="1:23" x14ac:dyDescent="0.25">
      <c r="A850" s="58" t="str">
        <f t="shared" si="29"/>
        <v>XII KA 212</v>
      </c>
      <c r="B850" s="171">
        <f>COUNTIF(H$2:H850,H850)</f>
        <v>12</v>
      </c>
      <c r="C850" s="201">
        <v>102318785</v>
      </c>
      <c r="D850" s="168" t="s">
        <v>3169</v>
      </c>
      <c r="E850" s="168" t="str">
        <f t="shared" si="27"/>
        <v>102318785 / 0085379842</v>
      </c>
      <c r="F850" s="169" t="s">
        <v>3170</v>
      </c>
      <c r="G850" s="176" t="s">
        <v>379</v>
      </c>
      <c r="H850" s="202" t="s">
        <v>3858</v>
      </c>
      <c r="I850" s="5" t="s">
        <v>5675</v>
      </c>
      <c r="J850" s="5" t="s">
        <v>5673</v>
      </c>
      <c r="K850" s="5" t="str">
        <f t="shared" si="30"/>
        <v>LKA</v>
      </c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</row>
    <row r="851" spans="1:23" x14ac:dyDescent="0.25">
      <c r="A851" s="58" t="str">
        <f t="shared" si="29"/>
        <v>XII KA 213</v>
      </c>
      <c r="B851" s="171">
        <f>COUNTIF(H$2:H851,H851)</f>
        <v>13</v>
      </c>
      <c r="C851" s="201">
        <v>102318786</v>
      </c>
      <c r="D851" s="168" t="s">
        <v>3171</v>
      </c>
      <c r="E851" s="168" t="str">
        <f t="shared" si="27"/>
        <v>102318786 / 0082036680</v>
      </c>
      <c r="F851" s="169" t="s">
        <v>3172</v>
      </c>
      <c r="G851" s="176" t="s">
        <v>381</v>
      </c>
      <c r="H851" s="202" t="s">
        <v>3858</v>
      </c>
      <c r="I851" s="5" t="s">
        <v>5675</v>
      </c>
      <c r="J851" s="5" t="s">
        <v>5673</v>
      </c>
      <c r="K851" s="5" t="str">
        <f t="shared" si="30"/>
        <v>PKA</v>
      </c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</row>
    <row r="852" spans="1:23" x14ac:dyDescent="0.25">
      <c r="A852" s="58" t="str">
        <f t="shared" si="29"/>
        <v>XII KA 214</v>
      </c>
      <c r="B852" s="171">
        <f>COUNTIF(H$2:H852,H852)</f>
        <v>14</v>
      </c>
      <c r="C852" s="201">
        <v>102318789</v>
      </c>
      <c r="D852" s="168" t="s">
        <v>3173</v>
      </c>
      <c r="E852" s="168" t="str">
        <f t="shared" si="27"/>
        <v>102318789 / 0085343931</v>
      </c>
      <c r="F852" s="169" t="s">
        <v>3174</v>
      </c>
      <c r="G852" s="176" t="s">
        <v>381</v>
      </c>
      <c r="H852" s="202" t="s">
        <v>3858</v>
      </c>
      <c r="I852" s="5" t="s">
        <v>5675</v>
      </c>
      <c r="J852" s="5" t="s">
        <v>5673</v>
      </c>
      <c r="K852" s="5" t="str">
        <f t="shared" si="30"/>
        <v>PKA</v>
      </c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</row>
    <row r="853" spans="1:23" x14ac:dyDescent="0.25">
      <c r="A853" s="58" t="str">
        <f t="shared" si="29"/>
        <v>XII KA 215</v>
      </c>
      <c r="B853" s="171">
        <f>COUNTIF(H$2:H853,H853)</f>
        <v>15</v>
      </c>
      <c r="C853" s="201">
        <v>102318790</v>
      </c>
      <c r="D853" s="168" t="s">
        <v>3175</v>
      </c>
      <c r="E853" s="168" t="str">
        <f t="shared" si="27"/>
        <v>102318790 / 0075257725</v>
      </c>
      <c r="F853" s="169" t="s">
        <v>3176</v>
      </c>
      <c r="G853" s="176" t="s">
        <v>379</v>
      </c>
      <c r="H853" s="202" t="s">
        <v>3858</v>
      </c>
      <c r="I853" s="5" t="s">
        <v>5675</v>
      </c>
      <c r="J853" s="5" t="s">
        <v>5673</v>
      </c>
      <c r="K853" s="5" t="str">
        <f t="shared" si="30"/>
        <v>LKA</v>
      </c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</row>
    <row r="854" spans="1:23" x14ac:dyDescent="0.25">
      <c r="A854" s="58" t="str">
        <f t="shared" si="29"/>
        <v>XII KA 216</v>
      </c>
      <c r="B854" s="171">
        <f>COUNTIF(H$2:H854,H854)</f>
        <v>16</v>
      </c>
      <c r="C854" s="201">
        <v>102318791</v>
      </c>
      <c r="D854" s="168" t="s">
        <v>3177</v>
      </c>
      <c r="E854" s="168" t="str">
        <f t="shared" si="27"/>
        <v>102318791 / 0081320475</v>
      </c>
      <c r="F854" s="169" t="s">
        <v>3178</v>
      </c>
      <c r="G854" s="176" t="s">
        <v>381</v>
      </c>
      <c r="H854" s="202" t="s">
        <v>3858</v>
      </c>
      <c r="I854" s="5" t="s">
        <v>5675</v>
      </c>
      <c r="J854" s="5" t="s">
        <v>5673</v>
      </c>
      <c r="K854" s="5" t="str">
        <f t="shared" si="30"/>
        <v>PKA</v>
      </c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</row>
    <row r="855" spans="1:23" x14ac:dyDescent="0.25">
      <c r="A855" s="58" t="str">
        <f t="shared" si="29"/>
        <v>XII KA 217</v>
      </c>
      <c r="B855" s="171">
        <f>COUNTIF(H$2:H855,H855)</f>
        <v>17</v>
      </c>
      <c r="C855" s="201">
        <v>102318792</v>
      </c>
      <c r="D855" s="168" t="s">
        <v>3179</v>
      </c>
      <c r="E855" s="168" t="str">
        <f t="shared" si="27"/>
        <v>102318792 / 0081715088</v>
      </c>
      <c r="F855" s="169" t="s">
        <v>3180</v>
      </c>
      <c r="G855" s="176" t="s">
        <v>381</v>
      </c>
      <c r="H855" s="202" t="s">
        <v>3858</v>
      </c>
      <c r="I855" s="5" t="s">
        <v>5675</v>
      </c>
      <c r="J855" s="5" t="s">
        <v>5673</v>
      </c>
      <c r="K855" s="5" t="str">
        <f t="shared" si="30"/>
        <v>PKA</v>
      </c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</row>
    <row r="856" spans="1:23" x14ac:dyDescent="0.25">
      <c r="A856" s="58" t="str">
        <f t="shared" si="29"/>
        <v>XII KA 218</v>
      </c>
      <c r="B856" s="171">
        <f>COUNTIF(H$2:H856,H856)</f>
        <v>18</v>
      </c>
      <c r="C856" s="201">
        <v>102318794</v>
      </c>
      <c r="D856" s="168" t="s">
        <v>3181</v>
      </c>
      <c r="E856" s="168" t="str">
        <f t="shared" si="27"/>
        <v>102318794 / 0071667824</v>
      </c>
      <c r="F856" s="169" t="s">
        <v>3182</v>
      </c>
      <c r="G856" s="176" t="s">
        <v>381</v>
      </c>
      <c r="H856" s="202" t="s">
        <v>3858</v>
      </c>
      <c r="I856" s="5" t="s">
        <v>5675</v>
      </c>
      <c r="J856" s="5" t="s">
        <v>5673</v>
      </c>
      <c r="K856" s="5" t="str">
        <f t="shared" si="30"/>
        <v>PKA</v>
      </c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</row>
    <row r="857" spans="1:23" x14ac:dyDescent="0.25">
      <c r="A857" s="58" t="str">
        <f t="shared" si="29"/>
        <v>XII KA 219</v>
      </c>
      <c r="B857" s="171">
        <f>COUNTIF(H$2:H857,H857)</f>
        <v>19</v>
      </c>
      <c r="C857" s="201">
        <v>102318795</v>
      </c>
      <c r="D857" s="168" t="s">
        <v>3183</v>
      </c>
      <c r="E857" s="168" t="str">
        <f t="shared" si="27"/>
        <v>102318795 / 0089247870</v>
      </c>
      <c r="F857" s="169" t="s">
        <v>3184</v>
      </c>
      <c r="G857" s="176" t="s">
        <v>379</v>
      </c>
      <c r="H857" s="202" t="s">
        <v>3858</v>
      </c>
      <c r="I857" s="5" t="s">
        <v>5675</v>
      </c>
      <c r="J857" s="5" t="s">
        <v>5673</v>
      </c>
      <c r="K857" s="5" t="str">
        <f t="shared" si="30"/>
        <v>LKA</v>
      </c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</row>
    <row r="858" spans="1:23" x14ac:dyDescent="0.25">
      <c r="A858" s="58" t="str">
        <f t="shared" si="29"/>
        <v>XII KA 220</v>
      </c>
      <c r="B858" s="171">
        <f>COUNTIF(H$2:H858,H858)</f>
        <v>20</v>
      </c>
      <c r="C858" s="201">
        <v>102318796</v>
      </c>
      <c r="D858" s="168" t="s">
        <v>3185</v>
      </c>
      <c r="E858" s="168" t="str">
        <f t="shared" si="27"/>
        <v>102318796 / 0088331583</v>
      </c>
      <c r="F858" s="169" t="s">
        <v>3186</v>
      </c>
      <c r="G858" s="176" t="s">
        <v>379</v>
      </c>
      <c r="H858" s="202" t="s">
        <v>3858</v>
      </c>
      <c r="I858" s="5" t="s">
        <v>5675</v>
      </c>
      <c r="J858" s="5" t="s">
        <v>5673</v>
      </c>
      <c r="K858" s="5" t="str">
        <f t="shared" si="30"/>
        <v>LKA</v>
      </c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</row>
    <row r="859" spans="1:23" x14ac:dyDescent="0.25">
      <c r="A859" s="58" t="str">
        <f t="shared" si="29"/>
        <v>XII KA 221</v>
      </c>
      <c r="B859" s="171">
        <f>COUNTIF(H$2:H859,H859)</f>
        <v>21</v>
      </c>
      <c r="C859" s="201">
        <v>102318797</v>
      </c>
      <c r="D859" s="168" t="s">
        <v>3187</v>
      </c>
      <c r="E859" s="168" t="str">
        <f t="shared" si="27"/>
        <v>102318797 / 0085866723</v>
      </c>
      <c r="F859" s="169" t="s">
        <v>3188</v>
      </c>
      <c r="G859" s="176" t="s">
        <v>379</v>
      </c>
      <c r="H859" s="202" t="s">
        <v>3858</v>
      </c>
      <c r="I859" s="5" t="s">
        <v>5675</v>
      </c>
      <c r="J859" s="5" t="s">
        <v>5673</v>
      </c>
      <c r="K859" s="5" t="str">
        <f t="shared" si="30"/>
        <v>LKA</v>
      </c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</row>
    <row r="860" spans="1:23" x14ac:dyDescent="0.25">
      <c r="A860" s="58" t="str">
        <f t="shared" si="29"/>
        <v>XII KA 222</v>
      </c>
      <c r="B860" s="171">
        <f>COUNTIF(H$2:H860,H860)</f>
        <v>22</v>
      </c>
      <c r="C860" s="201">
        <v>102318798</v>
      </c>
      <c r="D860" s="168" t="s">
        <v>3189</v>
      </c>
      <c r="E860" s="168" t="str">
        <f t="shared" si="27"/>
        <v>102318798 / 0084094977</v>
      </c>
      <c r="F860" s="169" t="s">
        <v>3190</v>
      </c>
      <c r="G860" s="176" t="s">
        <v>379</v>
      </c>
      <c r="H860" s="202" t="s">
        <v>3858</v>
      </c>
      <c r="I860" s="5" t="s">
        <v>5675</v>
      </c>
      <c r="J860" s="5" t="s">
        <v>5673</v>
      </c>
      <c r="K860" s="5" t="str">
        <f t="shared" si="30"/>
        <v>LKA</v>
      </c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</row>
    <row r="861" spans="1:23" x14ac:dyDescent="0.25">
      <c r="A861" s="58" t="str">
        <f t="shared" si="29"/>
        <v>XII KA 223</v>
      </c>
      <c r="B861" s="171">
        <f>COUNTIF(H$2:H861,H861)</f>
        <v>23</v>
      </c>
      <c r="C861" s="201">
        <v>102318799</v>
      </c>
      <c r="D861" s="168" t="s">
        <v>3191</v>
      </c>
      <c r="E861" s="168" t="str">
        <f t="shared" si="27"/>
        <v>102318799 / 0076436466</v>
      </c>
      <c r="F861" s="169" t="s">
        <v>3192</v>
      </c>
      <c r="G861" s="176" t="s">
        <v>381</v>
      </c>
      <c r="H861" s="202" t="s">
        <v>3858</v>
      </c>
      <c r="I861" s="5" t="s">
        <v>5675</v>
      </c>
      <c r="J861" s="5" t="s">
        <v>5673</v>
      </c>
      <c r="K861" s="5" t="str">
        <f t="shared" si="30"/>
        <v>PKA</v>
      </c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</row>
    <row r="862" spans="1:23" x14ac:dyDescent="0.25">
      <c r="A862" s="58" t="str">
        <f t="shared" si="29"/>
        <v>XII KA 224</v>
      </c>
      <c r="B862" s="171">
        <f>COUNTIF(H$2:H862,H862)</f>
        <v>24</v>
      </c>
      <c r="C862" s="201">
        <v>102318800</v>
      </c>
      <c r="D862" s="168" t="s">
        <v>3193</v>
      </c>
      <c r="E862" s="168" t="str">
        <f t="shared" si="27"/>
        <v>102318800 / 0075122729</v>
      </c>
      <c r="F862" s="169" t="s">
        <v>3194</v>
      </c>
      <c r="G862" s="176" t="s">
        <v>381</v>
      </c>
      <c r="H862" s="202" t="s">
        <v>3858</v>
      </c>
      <c r="I862" s="5" t="s">
        <v>5675</v>
      </c>
      <c r="J862" s="5" t="s">
        <v>5673</v>
      </c>
      <c r="K862" s="5" t="str">
        <f t="shared" si="30"/>
        <v>PKA</v>
      </c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</row>
    <row r="863" spans="1:23" x14ac:dyDescent="0.25">
      <c r="A863" s="58" t="str">
        <f t="shared" si="29"/>
        <v>XII KA 225</v>
      </c>
      <c r="B863" s="171">
        <f>COUNTIF(H$2:H863,H863)</f>
        <v>25</v>
      </c>
      <c r="C863" s="201">
        <v>102318801</v>
      </c>
      <c r="D863" s="168" t="s">
        <v>3195</v>
      </c>
      <c r="E863" s="168" t="str">
        <f t="shared" si="27"/>
        <v>102318801 / 0088641135</v>
      </c>
      <c r="F863" s="169" t="s">
        <v>3196</v>
      </c>
      <c r="G863" s="176" t="s">
        <v>381</v>
      </c>
      <c r="H863" s="202" t="s">
        <v>3858</v>
      </c>
      <c r="I863" s="5" t="s">
        <v>5675</v>
      </c>
      <c r="J863" s="5" t="s">
        <v>5673</v>
      </c>
      <c r="K863" s="5" t="str">
        <f t="shared" si="30"/>
        <v>PKA</v>
      </c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</row>
    <row r="864" spans="1:23" x14ac:dyDescent="0.25">
      <c r="A864" s="58" t="str">
        <f t="shared" si="29"/>
        <v>XII KA 226</v>
      </c>
      <c r="B864" s="171">
        <f>COUNTIF(H$2:H864,H864)</f>
        <v>26</v>
      </c>
      <c r="C864" s="201">
        <v>102318802</v>
      </c>
      <c r="D864" s="168" t="s">
        <v>3197</v>
      </c>
      <c r="E864" s="168" t="str">
        <f t="shared" si="27"/>
        <v>102318802 / 0075641736</v>
      </c>
      <c r="F864" s="169" t="s">
        <v>3198</v>
      </c>
      <c r="G864" s="176" t="s">
        <v>381</v>
      </c>
      <c r="H864" s="202" t="s">
        <v>3858</v>
      </c>
      <c r="I864" s="5" t="s">
        <v>5675</v>
      </c>
      <c r="J864" s="5" t="s">
        <v>5673</v>
      </c>
      <c r="K864" s="5" t="str">
        <f t="shared" si="30"/>
        <v>PKA</v>
      </c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</row>
    <row r="865" spans="1:23" x14ac:dyDescent="0.25">
      <c r="A865" s="58" t="str">
        <f t="shared" si="29"/>
        <v>XII KA 227</v>
      </c>
      <c r="B865" s="171">
        <f>COUNTIF(H$2:H865,H865)</f>
        <v>27</v>
      </c>
      <c r="C865" s="201">
        <v>102318803</v>
      </c>
      <c r="D865" s="168" t="s">
        <v>3199</v>
      </c>
      <c r="E865" s="168" t="str">
        <f t="shared" si="27"/>
        <v>102318803 / 0088615018</v>
      </c>
      <c r="F865" s="169" t="s">
        <v>3200</v>
      </c>
      <c r="G865" s="176" t="s">
        <v>379</v>
      </c>
      <c r="H865" s="202" t="s">
        <v>3858</v>
      </c>
      <c r="I865" s="5" t="s">
        <v>5675</v>
      </c>
      <c r="J865" s="5" t="s">
        <v>5673</v>
      </c>
      <c r="K865" s="5" t="str">
        <f t="shared" si="30"/>
        <v>LKA</v>
      </c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</row>
    <row r="866" spans="1:23" x14ac:dyDescent="0.25">
      <c r="A866" s="58" t="str">
        <f t="shared" si="29"/>
        <v>XII KA 228</v>
      </c>
      <c r="B866" s="171">
        <f>COUNTIF(H$2:H866,H866)</f>
        <v>28</v>
      </c>
      <c r="C866" s="201">
        <v>102318804</v>
      </c>
      <c r="D866" s="168" t="s">
        <v>3201</v>
      </c>
      <c r="E866" s="168" t="str">
        <f t="shared" si="27"/>
        <v>102318804 / 0075507432</v>
      </c>
      <c r="F866" s="169" t="s">
        <v>3202</v>
      </c>
      <c r="G866" s="176" t="s">
        <v>381</v>
      </c>
      <c r="H866" s="202" t="s">
        <v>3858</v>
      </c>
      <c r="I866" s="5" t="s">
        <v>5675</v>
      </c>
      <c r="J866" s="5" t="s">
        <v>5673</v>
      </c>
      <c r="K866" s="5" t="str">
        <f t="shared" si="30"/>
        <v>PKA</v>
      </c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</row>
    <row r="867" spans="1:23" x14ac:dyDescent="0.25">
      <c r="A867" s="58" t="str">
        <f t="shared" si="29"/>
        <v>XII KA 229</v>
      </c>
      <c r="B867" s="171">
        <f>COUNTIF(H$2:H867,H867)</f>
        <v>29</v>
      </c>
      <c r="C867" s="201">
        <v>102318805</v>
      </c>
      <c r="D867" s="168" t="s">
        <v>3203</v>
      </c>
      <c r="E867" s="168" t="str">
        <f t="shared" si="27"/>
        <v>102318805 / 0077007002</v>
      </c>
      <c r="F867" s="169" t="s">
        <v>3204</v>
      </c>
      <c r="G867" s="176" t="s">
        <v>381</v>
      </c>
      <c r="H867" s="202" t="s">
        <v>3858</v>
      </c>
      <c r="I867" s="5" t="s">
        <v>5675</v>
      </c>
      <c r="J867" s="5" t="s">
        <v>5673</v>
      </c>
      <c r="K867" s="5" t="str">
        <f t="shared" si="30"/>
        <v>PKA</v>
      </c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</row>
    <row r="868" spans="1:23" x14ac:dyDescent="0.25">
      <c r="A868" s="58" t="str">
        <f t="shared" si="29"/>
        <v>XII KA 230</v>
      </c>
      <c r="B868" s="171">
        <f>COUNTIF(H$2:H868,H868)</f>
        <v>30</v>
      </c>
      <c r="C868" s="201">
        <v>102318806</v>
      </c>
      <c r="D868" s="168" t="s">
        <v>3205</v>
      </c>
      <c r="E868" s="168" t="str">
        <f t="shared" ref="E868:E931" si="31">C868&amp; " / "&amp; D868</f>
        <v>102318806 / 0079635732</v>
      </c>
      <c r="F868" s="169" t="s">
        <v>3206</v>
      </c>
      <c r="G868" s="176" t="s">
        <v>379</v>
      </c>
      <c r="H868" s="202" t="s">
        <v>3858</v>
      </c>
      <c r="I868" s="5" t="s">
        <v>5675</v>
      </c>
      <c r="J868" s="5" t="s">
        <v>5673</v>
      </c>
      <c r="K868" s="5" t="str">
        <f t="shared" si="30"/>
        <v>LKA</v>
      </c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</row>
    <row r="869" spans="1:23" x14ac:dyDescent="0.25">
      <c r="A869" s="58" t="str">
        <f t="shared" si="29"/>
        <v>XII KA 231</v>
      </c>
      <c r="B869" s="171">
        <f>COUNTIF(H$2:H869,H869)</f>
        <v>31</v>
      </c>
      <c r="C869" s="201">
        <v>102318807</v>
      </c>
      <c r="D869" s="168" t="s">
        <v>3207</v>
      </c>
      <c r="E869" s="168" t="str">
        <f t="shared" si="31"/>
        <v>102318807 / 0087009812</v>
      </c>
      <c r="F869" s="169" t="s">
        <v>3208</v>
      </c>
      <c r="G869" s="176" t="s">
        <v>381</v>
      </c>
      <c r="H869" s="202" t="s">
        <v>3858</v>
      </c>
      <c r="I869" s="5" t="s">
        <v>5675</v>
      </c>
      <c r="J869" s="5" t="s">
        <v>5673</v>
      </c>
      <c r="K869" s="5" t="str">
        <f t="shared" si="30"/>
        <v>PKA</v>
      </c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</row>
    <row r="870" spans="1:23" x14ac:dyDescent="0.25">
      <c r="A870" s="58" t="str">
        <f t="shared" si="29"/>
        <v>XII KA 232</v>
      </c>
      <c r="B870" s="171">
        <f>COUNTIF(H$2:H870,H870)</f>
        <v>32</v>
      </c>
      <c r="C870" s="201">
        <v>102318808</v>
      </c>
      <c r="D870" s="168" t="s">
        <v>3209</v>
      </c>
      <c r="E870" s="168" t="str">
        <f t="shared" si="31"/>
        <v>102318808 / 0073418492</v>
      </c>
      <c r="F870" s="169" t="s">
        <v>3210</v>
      </c>
      <c r="G870" s="176" t="s">
        <v>381</v>
      </c>
      <c r="H870" s="202" t="s">
        <v>3858</v>
      </c>
      <c r="I870" s="5" t="s">
        <v>5675</v>
      </c>
      <c r="J870" s="5" t="s">
        <v>5673</v>
      </c>
      <c r="K870" s="5" t="str">
        <f t="shared" si="30"/>
        <v>PKA</v>
      </c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</row>
    <row r="871" spans="1:23" x14ac:dyDescent="0.25">
      <c r="A871" s="58" t="str">
        <f t="shared" si="29"/>
        <v>XII KA 233</v>
      </c>
      <c r="B871" s="171">
        <f>COUNTIF(H$2:H871,H871)</f>
        <v>33</v>
      </c>
      <c r="C871" s="201">
        <v>102318809</v>
      </c>
      <c r="D871" s="168" t="s">
        <v>3211</v>
      </c>
      <c r="E871" s="168" t="str">
        <f t="shared" si="31"/>
        <v>102318809 / 0084133237</v>
      </c>
      <c r="F871" s="169" t="s">
        <v>3212</v>
      </c>
      <c r="G871" s="176" t="s">
        <v>381</v>
      </c>
      <c r="H871" s="202" t="s">
        <v>3858</v>
      </c>
      <c r="I871" s="5" t="s">
        <v>5675</v>
      </c>
      <c r="J871" s="5" t="s">
        <v>5673</v>
      </c>
      <c r="K871" s="5" t="str">
        <f t="shared" si="30"/>
        <v>PKA</v>
      </c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</row>
    <row r="872" spans="1:23" x14ac:dyDescent="0.25">
      <c r="A872" s="58" t="str">
        <f t="shared" si="29"/>
        <v>XII KA 234</v>
      </c>
      <c r="B872" s="171">
        <f>COUNTIF(H$2:H872,H872)</f>
        <v>34</v>
      </c>
      <c r="C872" s="201">
        <v>102318810</v>
      </c>
      <c r="D872" s="168" t="s">
        <v>3213</v>
      </c>
      <c r="E872" s="168" t="str">
        <f t="shared" si="31"/>
        <v>102318810 / 0083676718</v>
      </c>
      <c r="F872" s="169" t="s">
        <v>3214</v>
      </c>
      <c r="G872" s="176" t="s">
        <v>381</v>
      </c>
      <c r="H872" s="202" t="s">
        <v>3858</v>
      </c>
      <c r="I872" s="5" t="s">
        <v>5675</v>
      </c>
      <c r="J872" s="5" t="s">
        <v>5673</v>
      </c>
      <c r="K872" s="5" t="str">
        <f t="shared" si="30"/>
        <v>PKA</v>
      </c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</row>
    <row r="873" spans="1:23" x14ac:dyDescent="0.25">
      <c r="A873" s="58" t="str">
        <f t="shared" si="29"/>
        <v>XII KA 31</v>
      </c>
      <c r="B873" s="171">
        <f>COUNTIF(H$2:H873,H873)</f>
        <v>1</v>
      </c>
      <c r="C873" s="201">
        <v>102318811</v>
      </c>
      <c r="D873" s="168" t="s">
        <v>3215</v>
      </c>
      <c r="E873" s="168" t="str">
        <f t="shared" si="31"/>
        <v>102318811 / 0077280204</v>
      </c>
      <c r="F873" s="169" t="s">
        <v>3216</v>
      </c>
      <c r="G873" s="176" t="s">
        <v>379</v>
      </c>
      <c r="H873" s="202" t="s">
        <v>3859</v>
      </c>
      <c r="I873" s="5" t="s">
        <v>5675</v>
      </c>
      <c r="J873" s="5" t="s">
        <v>5673</v>
      </c>
      <c r="K873" s="5" t="str">
        <f t="shared" si="30"/>
        <v>LKA</v>
      </c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</row>
    <row r="874" spans="1:23" x14ac:dyDescent="0.25">
      <c r="A874" s="58" t="str">
        <f t="shared" si="29"/>
        <v>XII KA 32</v>
      </c>
      <c r="B874" s="171">
        <f>COUNTIF(H$2:H874,H874)</f>
        <v>2</v>
      </c>
      <c r="C874" s="201">
        <v>102318812</v>
      </c>
      <c r="D874" s="168" t="s">
        <v>3217</v>
      </c>
      <c r="E874" s="168" t="str">
        <f t="shared" si="31"/>
        <v>102318812 / 0086626524</v>
      </c>
      <c r="F874" s="169" t="s">
        <v>3218</v>
      </c>
      <c r="G874" s="176" t="s">
        <v>379</v>
      </c>
      <c r="H874" s="202" t="s">
        <v>3859</v>
      </c>
      <c r="I874" s="5" t="s">
        <v>5675</v>
      </c>
      <c r="J874" s="5" t="s">
        <v>5673</v>
      </c>
      <c r="K874" s="5" t="str">
        <f t="shared" si="30"/>
        <v>LKA</v>
      </c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</row>
    <row r="875" spans="1:23" x14ac:dyDescent="0.25">
      <c r="A875" s="58" t="str">
        <f t="shared" ref="A875:A938" si="32">H875&amp;B875</f>
        <v>XII KA 33</v>
      </c>
      <c r="B875" s="171">
        <f>COUNTIF(H$2:H875,H875)</f>
        <v>3</v>
      </c>
      <c r="C875" s="201">
        <v>102318813</v>
      </c>
      <c r="D875" s="168" t="s">
        <v>3219</v>
      </c>
      <c r="E875" s="168" t="str">
        <f t="shared" si="31"/>
        <v>102318813 / 0084951585</v>
      </c>
      <c r="F875" s="169" t="s">
        <v>3220</v>
      </c>
      <c r="G875" s="176" t="s">
        <v>381</v>
      </c>
      <c r="H875" s="202" t="s">
        <v>3859</v>
      </c>
      <c r="I875" s="5" t="s">
        <v>5675</v>
      </c>
      <c r="J875" s="5" t="s">
        <v>5673</v>
      </c>
      <c r="K875" s="5" t="str">
        <f t="shared" si="30"/>
        <v>PKA</v>
      </c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</row>
    <row r="876" spans="1:23" x14ac:dyDescent="0.25">
      <c r="A876" s="58" t="str">
        <f t="shared" si="32"/>
        <v>XII KA 34</v>
      </c>
      <c r="B876" s="171">
        <f>COUNTIF(H$2:H876,H876)</f>
        <v>4</v>
      </c>
      <c r="C876" s="201">
        <v>102318814</v>
      </c>
      <c r="D876" s="168" t="s">
        <v>3221</v>
      </c>
      <c r="E876" s="168" t="str">
        <f t="shared" si="31"/>
        <v>102318814 / 0082555479</v>
      </c>
      <c r="F876" s="169" t="s">
        <v>3222</v>
      </c>
      <c r="G876" s="176" t="s">
        <v>379</v>
      </c>
      <c r="H876" s="202" t="s">
        <v>3859</v>
      </c>
      <c r="I876" s="5" t="s">
        <v>5675</v>
      </c>
      <c r="J876" s="5" t="s">
        <v>5673</v>
      </c>
      <c r="K876" s="5" t="str">
        <f t="shared" si="30"/>
        <v>LKA</v>
      </c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</row>
    <row r="877" spans="1:23" x14ac:dyDescent="0.25">
      <c r="A877" s="58" t="str">
        <f t="shared" si="32"/>
        <v>XII KA 35</v>
      </c>
      <c r="B877" s="171">
        <f>COUNTIF(H$2:H877,H877)</f>
        <v>5</v>
      </c>
      <c r="C877" s="201">
        <v>102318815</v>
      </c>
      <c r="D877" s="168" t="s">
        <v>3223</v>
      </c>
      <c r="E877" s="168" t="str">
        <f t="shared" si="31"/>
        <v>102318815 / 0083899515</v>
      </c>
      <c r="F877" s="169" t="s">
        <v>3224</v>
      </c>
      <c r="G877" s="176" t="s">
        <v>379</v>
      </c>
      <c r="H877" s="202" t="s">
        <v>3859</v>
      </c>
      <c r="I877" s="5" t="s">
        <v>5675</v>
      </c>
      <c r="J877" s="5" t="s">
        <v>5673</v>
      </c>
      <c r="K877" s="5" t="str">
        <f t="shared" si="30"/>
        <v>LKA</v>
      </c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</row>
    <row r="878" spans="1:23" x14ac:dyDescent="0.25">
      <c r="A878" s="58" t="str">
        <f t="shared" si="32"/>
        <v>XII KA 36</v>
      </c>
      <c r="B878" s="171">
        <f>COUNTIF(H$2:H878,H878)</f>
        <v>6</v>
      </c>
      <c r="C878" s="201">
        <v>102318816</v>
      </c>
      <c r="D878" s="168" t="s">
        <v>3225</v>
      </c>
      <c r="E878" s="168" t="str">
        <f t="shared" si="31"/>
        <v>102318816 / 0075630300</v>
      </c>
      <c r="F878" s="169" t="s">
        <v>3226</v>
      </c>
      <c r="G878" s="176" t="s">
        <v>381</v>
      </c>
      <c r="H878" s="202" t="s">
        <v>3859</v>
      </c>
      <c r="I878" s="5" t="s">
        <v>5675</v>
      </c>
      <c r="J878" s="5" t="s">
        <v>5673</v>
      </c>
      <c r="K878" s="5" t="str">
        <f t="shared" si="30"/>
        <v>PKA</v>
      </c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</row>
    <row r="879" spans="1:23" x14ac:dyDescent="0.25">
      <c r="A879" s="58" t="str">
        <f t="shared" si="32"/>
        <v>XII KA 37</v>
      </c>
      <c r="B879" s="171">
        <f>COUNTIF(H$2:H879,H879)</f>
        <v>7</v>
      </c>
      <c r="C879" s="201">
        <v>102318817</v>
      </c>
      <c r="D879" s="168" t="s">
        <v>3227</v>
      </c>
      <c r="E879" s="168" t="str">
        <f t="shared" si="31"/>
        <v>102318817 / 0082801923</v>
      </c>
      <c r="F879" s="169" t="s">
        <v>3228</v>
      </c>
      <c r="G879" s="176" t="s">
        <v>381</v>
      </c>
      <c r="H879" s="202" t="s">
        <v>3859</v>
      </c>
      <c r="I879" s="5" t="s">
        <v>5675</v>
      </c>
      <c r="J879" s="5" t="s">
        <v>5673</v>
      </c>
      <c r="K879" s="5" t="str">
        <f t="shared" si="30"/>
        <v>PKA</v>
      </c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</row>
    <row r="880" spans="1:23" x14ac:dyDescent="0.25">
      <c r="A880" s="58" t="str">
        <f t="shared" si="32"/>
        <v>XII KA 38</v>
      </c>
      <c r="B880" s="171">
        <f>COUNTIF(H$2:H880,H880)</f>
        <v>8</v>
      </c>
      <c r="C880" s="201">
        <v>102318818</v>
      </c>
      <c r="D880" s="168" t="s">
        <v>3229</v>
      </c>
      <c r="E880" s="168" t="str">
        <f t="shared" si="31"/>
        <v>102318818 / 0083015573</v>
      </c>
      <c r="F880" s="169" t="s">
        <v>3230</v>
      </c>
      <c r="G880" s="176" t="s">
        <v>379</v>
      </c>
      <c r="H880" s="202" t="s">
        <v>3859</v>
      </c>
      <c r="I880" s="5" t="s">
        <v>5675</v>
      </c>
      <c r="J880" s="5" t="s">
        <v>5673</v>
      </c>
      <c r="K880" s="5" t="str">
        <f t="shared" ref="K880:K943" si="33">G880&amp;J880</f>
        <v>LKA</v>
      </c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</row>
    <row r="881" spans="1:23" x14ac:dyDescent="0.25">
      <c r="A881" s="58" t="str">
        <f t="shared" si="32"/>
        <v>XII KA 39</v>
      </c>
      <c r="B881" s="171">
        <f>COUNTIF(H$2:H881,H881)</f>
        <v>9</v>
      </c>
      <c r="C881" s="201">
        <v>102318819</v>
      </c>
      <c r="D881" s="168" t="s">
        <v>3231</v>
      </c>
      <c r="E881" s="168" t="str">
        <f t="shared" si="31"/>
        <v>102318819 / 0079592277</v>
      </c>
      <c r="F881" s="169" t="s">
        <v>3232</v>
      </c>
      <c r="G881" s="176" t="s">
        <v>379</v>
      </c>
      <c r="H881" s="202" t="s">
        <v>3859</v>
      </c>
      <c r="I881" s="5" t="s">
        <v>5675</v>
      </c>
      <c r="J881" s="5" t="s">
        <v>5673</v>
      </c>
      <c r="K881" s="5" t="str">
        <f t="shared" si="33"/>
        <v>LKA</v>
      </c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</row>
    <row r="882" spans="1:23" x14ac:dyDescent="0.25">
      <c r="A882" s="58" t="str">
        <f t="shared" si="32"/>
        <v>XII KA 310</v>
      </c>
      <c r="B882" s="171">
        <f>COUNTIF(H$2:H882,H882)</f>
        <v>10</v>
      </c>
      <c r="C882" s="201">
        <v>102318820</v>
      </c>
      <c r="D882" s="168" t="s">
        <v>3233</v>
      </c>
      <c r="E882" s="168" t="str">
        <f t="shared" si="31"/>
        <v>102318820 / 0089303968</v>
      </c>
      <c r="F882" s="169" t="s">
        <v>3234</v>
      </c>
      <c r="G882" s="176" t="s">
        <v>381</v>
      </c>
      <c r="H882" s="202" t="s">
        <v>3859</v>
      </c>
      <c r="I882" s="5" t="s">
        <v>5675</v>
      </c>
      <c r="J882" s="5" t="s">
        <v>5673</v>
      </c>
      <c r="K882" s="5" t="str">
        <f t="shared" si="33"/>
        <v>PKA</v>
      </c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</row>
    <row r="883" spans="1:23" x14ac:dyDescent="0.25">
      <c r="A883" s="58" t="str">
        <f t="shared" si="32"/>
        <v>XII KA 311</v>
      </c>
      <c r="B883" s="171">
        <f>COUNTIF(H$2:H883,H883)</f>
        <v>11</v>
      </c>
      <c r="C883" s="201">
        <v>102318821</v>
      </c>
      <c r="D883" s="168" t="s">
        <v>3235</v>
      </c>
      <c r="E883" s="168" t="str">
        <f t="shared" si="31"/>
        <v>102318821 / 0085593058</v>
      </c>
      <c r="F883" s="169" t="s">
        <v>3236</v>
      </c>
      <c r="G883" s="176" t="s">
        <v>381</v>
      </c>
      <c r="H883" s="202" t="s">
        <v>3859</v>
      </c>
      <c r="I883" s="5" t="s">
        <v>5675</v>
      </c>
      <c r="J883" s="5" t="s">
        <v>5673</v>
      </c>
      <c r="K883" s="5" t="str">
        <f t="shared" si="33"/>
        <v>PKA</v>
      </c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</row>
    <row r="884" spans="1:23" x14ac:dyDescent="0.25">
      <c r="A884" s="58" t="str">
        <f t="shared" si="32"/>
        <v>XII KA 312</v>
      </c>
      <c r="B884" s="171">
        <f>COUNTIF(H$2:H884,H884)</f>
        <v>12</v>
      </c>
      <c r="C884" s="201">
        <v>102318822</v>
      </c>
      <c r="D884" s="168" t="s">
        <v>3237</v>
      </c>
      <c r="E884" s="168" t="str">
        <f t="shared" si="31"/>
        <v>102318822 / 0081858563</v>
      </c>
      <c r="F884" s="169" t="s">
        <v>3238</v>
      </c>
      <c r="G884" s="176" t="s">
        <v>381</v>
      </c>
      <c r="H884" s="202" t="s">
        <v>3859</v>
      </c>
      <c r="I884" s="5" t="s">
        <v>5675</v>
      </c>
      <c r="J884" s="5" t="s">
        <v>5673</v>
      </c>
      <c r="K884" s="5" t="str">
        <f t="shared" si="33"/>
        <v>PKA</v>
      </c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</row>
    <row r="885" spans="1:23" x14ac:dyDescent="0.25">
      <c r="A885" s="58" t="str">
        <f t="shared" si="32"/>
        <v>XII KA 313</v>
      </c>
      <c r="B885" s="171">
        <f>COUNTIF(H$2:H885,H885)</f>
        <v>13</v>
      </c>
      <c r="C885" s="201">
        <v>102318835</v>
      </c>
      <c r="D885" s="168" t="s">
        <v>3239</v>
      </c>
      <c r="E885" s="168" t="str">
        <f t="shared" si="31"/>
        <v>102318835 / 0087904714</v>
      </c>
      <c r="F885" s="169" t="s">
        <v>3240</v>
      </c>
      <c r="G885" s="176" t="s">
        <v>381</v>
      </c>
      <c r="H885" s="202" t="s">
        <v>3859</v>
      </c>
      <c r="I885" s="5" t="s">
        <v>5675</v>
      </c>
      <c r="J885" s="5" t="s">
        <v>5673</v>
      </c>
      <c r="K885" s="5" t="str">
        <f t="shared" si="33"/>
        <v>PKA</v>
      </c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</row>
    <row r="886" spans="1:23" x14ac:dyDescent="0.25">
      <c r="A886" s="58" t="str">
        <f t="shared" si="32"/>
        <v>XII KA 314</v>
      </c>
      <c r="B886" s="171">
        <f>COUNTIF(H$2:H886,H886)</f>
        <v>14</v>
      </c>
      <c r="C886" s="201">
        <v>102318823</v>
      </c>
      <c r="D886" s="168" t="s">
        <v>3241</v>
      </c>
      <c r="E886" s="168" t="str">
        <f t="shared" si="31"/>
        <v>102318823 / 0084947055</v>
      </c>
      <c r="F886" s="169" t="s">
        <v>3242</v>
      </c>
      <c r="G886" s="176" t="s">
        <v>381</v>
      </c>
      <c r="H886" s="202" t="s">
        <v>3859</v>
      </c>
      <c r="I886" s="5" t="s">
        <v>5675</v>
      </c>
      <c r="J886" s="5" t="s">
        <v>5673</v>
      </c>
      <c r="K886" s="5" t="str">
        <f t="shared" si="33"/>
        <v>PKA</v>
      </c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</row>
    <row r="887" spans="1:23" x14ac:dyDescent="0.25">
      <c r="A887" s="58" t="str">
        <f t="shared" si="32"/>
        <v>XII KA 315</v>
      </c>
      <c r="B887" s="171">
        <f>COUNTIF(H$2:H887,H887)</f>
        <v>15</v>
      </c>
      <c r="C887" s="201">
        <v>102318824</v>
      </c>
      <c r="D887" s="168" t="s">
        <v>3243</v>
      </c>
      <c r="E887" s="168" t="str">
        <f t="shared" si="31"/>
        <v>102318824 / 0072225646</v>
      </c>
      <c r="F887" s="169" t="s">
        <v>3244</v>
      </c>
      <c r="G887" s="176" t="s">
        <v>381</v>
      </c>
      <c r="H887" s="202" t="s">
        <v>3859</v>
      </c>
      <c r="I887" s="5" t="s">
        <v>5675</v>
      </c>
      <c r="J887" s="5" t="s">
        <v>5673</v>
      </c>
      <c r="K887" s="5" t="str">
        <f t="shared" si="33"/>
        <v>PKA</v>
      </c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</row>
    <row r="888" spans="1:23" x14ac:dyDescent="0.25">
      <c r="A888" s="58" t="str">
        <f t="shared" si="32"/>
        <v>XII KA 316</v>
      </c>
      <c r="B888" s="171">
        <f>COUNTIF(H$2:H888,H888)</f>
        <v>16</v>
      </c>
      <c r="C888" s="201">
        <v>102318825</v>
      </c>
      <c r="D888" s="168" t="s">
        <v>3245</v>
      </c>
      <c r="E888" s="168" t="str">
        <f t="shared" si="31"/>
        <v>102318825 / 0082349698</v>
      </c>
      <c r="F888" s="169" t="s">
        <v>3246</v>
      </c>
      <c r="G888" s="176" t="s">
        <v>381</v>
      </c>
      <c r="H888" s="202" t="s">
        <v>3859</v>
      </c>
      <c r="I888" s="5" t="s">
        <v>5675</v>
      </c>
      <c r="J888" s="5" t="s">
        <v>5673</v>
      </c>
      <c r="K888" s="5" t="str">
        <f t="shared" si="33"/>
        <v>PKA</v>
      </c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</row>
    <row r="889" spans="1:23" x14ac:dyDescent="0.25">
      <c r="A889" s="58" t="str">
        <f t="shared" si="32"/>
        <v>XII KA 317</v>
      </c>
      <c r="B889" s="171">
        <f>COUNTIF(H$2:H889,H889)</f>
        <v>17</v>
      </c>
      <c r="C889" s="201">
        <v>102318826</v>
      </c>
      <c r="D889" s="168" t="s">
        <v>3247</v>
      </c>
      <c r="E889" s="168" t="str">
        <f t="shared" si="31"/>
        <v>102318826 / 0075071757</v>
      </c>
      <c r="F889" s="169" t="s">
        <v>3248</v>
      </c>
      <c r="G889" s="176" t="s">
        <v>381</v>
      </c>
      <c r="H889" s="202" t="s">
        <v>3859</v>
      </c>
      <c r="I889" s="5" t="s">
        <v>5675</v>
      </c>
      <c r="J889" s="5" t="s">
        <v>5673</v>
      </c>
      <c r="K889" s="5" t="str">
        <f t="shared" si="33"/>
        <v>PKA</v>
      </c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</row>
    <row r="890" spans="1:23" x14ac:dyDescent="0.25">
      <c r="A890" s="58" t="str">
        <f t="shared" si="32"/>
        <v>XII KA 318</v>
      </c>
      <c r="B890" s="171">
        <f>COUNTIF(H$2:H890,H890)</f>
        <v>18</v>
      </c>
      <c r="C890" s="201">
        <v>102318827</v>
      </c>
      <c r="D890" s="168" t="s">
        <v>3249</v>
      </c>
      <c r="E890" s="168" t="str">
        <f t="shared" si="31"/>
        <v>102318827 / 0088205829</v>
      </c>
      <c r="F890" s="169" t="s">
        <v>3250</v>
      </c>
      <c r="G890" s="176" t="s">
        <v>381</v>
      </c>
      <c r="H890" s="202" t="s">
        <v>3859</v>
      </c>
      <c r="I890" s="5" t="s">
        <v>5675</v>
      </c>
      <c r="J890" s="5" t="s">
        <v>5673</v>
      </c>
      <c r="K890" s="5" t="str">
        <f t="shared" si="33"/>
        <v>PKA</v>
      </c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</row>
    <row r="891" spans="1:23" x14ac:dyDescent="0.25">
      <c r="A891" s="58" t="str">
        <f t="shared" si="32"/>
        <v>XII KA 319</v>
      </c>
      <c r="B891" s="171">
        <f>COUNTIF(H$2:H891,H891)</f>
        <v>19</v>
      </c>
      <c r="C891" s="201">
        <v>102318828</v>
      </c>
      <c r="D891" s="168" t="s">
        <v>3251</v>
      </c>
      <c r="E891" s="168" t="str">
        <f t="shared" si="31"/>
        <v>102318828 / 0077692756</v>
      </c>
      <c r="F891" s="169" t="s">
        <v>3252</v>
      </c>
      <c r="G891" s="176" t="s">
        <v>379</v>
      </c>
      <c r="H891" s="202" t="s">
        <v>3859</v>
      </c>
      <c r="I891" s="5" t="s">
        <v>5675</v>
      </c>
      <c r="J891" s="5" t="s">
        <v>5673</v>
      </c>
      <c r="K891" s="5" t="str">
        <f t="shared" si="33"/>
        <v>LKA</v>
      </c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</row>
    <row r="892" spans="1:23" x14ac:dyDescent="0.25">
      <c r="A892" s="58" t="str">
        <f t="shared" si="32"/>
        <v>XII KA 320</v>
      </c>
      <c r="B892" s="171">
        <f>COUNTIF(H$2:H892,H892)</f>
        <v>20</v>
      </c>
      <c r="C892" s="201">
        <v>102318829</v>
      </c>
      <c r="D892" s="168" t="s">
        <v>3253</v>
      </c>
      <c r="E892" s="168" t="str">
        <f t="shared" si="31"/>
        <v>102318829 / 0081322572</v>
      </c>
      <c r="F892" s="169" t="s">
        <v>3254</v>
      </c>
      <c r="G892" s="176" t="s">
        <v>379</v>
      </c>
      <c r="H892" s="202" t="s">
        <v>3859</v>
      </c>
      <c r="I892" s="5" t="s">
        <v>5675</v>
      </c>
      <c r="J892" s="5" t="s">
        <v>5673</v>
      </c>
      <c r="K892" s="5" t="str">
        <f t="shared" si="33"/>
        <v>LKA</v>
      </c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</row>
    <row r="893" spans="1:23" x14ac:dyDescent="0.25">
      <c r="A893" s="58" t="str">
        <f t="shared" si="32"/>
        <v>XII KA 321</v>
      </c>
      <c r="B893" s="171">
        <f>COUNTIF(H$2:H893,H893)</f>
        <v>21</v>
      </c>
      <c r="C893" s="201">
        <v>102318830</v>
      </c>
      <c r="D893" s="168" t="s">
        <v>3255</v>
      </c>
      <c r="E893" s="168" t="str">
        <f t="shared" si="31"/>
        <v>102318830 / 0087951998</v>
      </c>
      <c r="F893" s="169" t="s">
        <v>3256</v>
      </c>
      <c r="G893" s="176" t="s">
        <v>379</v>
      </c>
      <c r="H893" s="202" t="s">
        <v>3859</v>
      </c>
      <c r="I893" s="5" t="s">
        <v>5675</v>
      </c>
      <c r="J893" s="5" t="s">
        <v>5673</v>
      </c>
      <c r="K893" s="5" t="str">
        <f t="shared" si="33"/>
        <v>LKA</v>
      </c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</row>
    <row r="894" spans="1:23" x14ac:dyDescent="0.25">
      <c r="A894" s="58" t="str">
        <f t="shared" si="32"/>
        <v>XII KA 322</v>
      </c>
      <c r="B894" s="171">
        <f>COUNTIF(H$2:H894,H894)</f>
        <v>22</v>
      </c>
      <c r="C894" s="201">
        <v>102318831</v>
      </c>
      <c r="D894" s="168" t="s">
        <v>3257</v>
      </c>
      <c r="E894" s="168" t="str">
        <f t="shared" si="31"/>
        <v>102318831 / 0082601060</v>
      </c>
      <c r="F894" s="169" t="s">
        <v>3258</v>
      </c>
      <c r="G894" s="176" t="s">
        <v>379</v>
      </c>
      <c r="H894" s="202" t="s">
        <v>3859</v>
      </c>
      <c r="I894" s="5" t="s">
        <v>5675</v>
      </c>
      <c r="J894" s="5" t="s">
        <v>5673</v>
      </c>
      <c r="K894" s="5" t="str">
        <f t="shared" si="33"/>
        <v>LKA</v>
      </c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</row>
    <row r="895" spans="1:23" x14ac:dyDescent="0.25">
      <c r="A895" s="58" t="str">
        <f t="shared" si="32"/>
        <v>XII KA 323</v>
      </c>
      <c r="B895" s="171">
        <f>COUNTIF(H$2:H895,H895)</f>
        <v>23</v>
      </c>
      <c r="C895" s="201">
        <v>102318832</v>
      </c>
      <c r="D895" s="168" t="s">
        <v>3259</v>
      </c>
      <c r="E895" s="168" t="str">
        <f t="shared" si="31"/>
        <v>102318832 / 0086013230</v>
      </c>
      <c r="F895" s="169" t="s">
        <v>3260</v>
      </c>
      <c r="G895" s="176" t="s">
        <v>381</v>
      </c>
      <c r="H895" s="202" t="s">
        <v>3859</v>
      </c>
      <c r="I895" s="5" t="s">
        <v>5675</v>
      </c>
      <c r="J895" s="5" t="s">
        <v>5673</v>
      </c>
      <c r="K895" s="5" t="str">
        <f t="shared" si="33"/>
        <v>PKA</v>
      </c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</row>
    <row r="896" spans="1:23" x14ac:dyDescent="0.25">
      <c r="A896" s="58" t="str">
        <f t="shared" si="32"/>
        <v>XII KA 324</v>
      </c>
      <c r="B896" s="171">
        <f>COUNTIF(H$2:H896,H896)</f>
        <v>24</v>
      </c>
      <c r="C896" s="201">
        <v>102318833</v>
      </c>
      <c r="D896" s="168" t="s">
        <v>3261</v>
      </c>
      <c r="E896" s="168" t="str">
        <f t="shared" si="31"/>
        <v>102318833 / 0089963657</v>
      </c>
      <c r="F896" s="169" t="s">
        <v>3262</v>
      </c>
      <c r="G896" s="176" t="s">
        <v>381</v>
      </c>
      <c r="H896" s="202" t="s">
        <v>3859</v>
      </c>
      <c r="I896" s="5" t="s">
        <v>5675</v>
      </c>
      <c r="J896" s="5" t="s">
        <v>5673</v>
      </c>
      <c r="K896" s="5" t="str">
        <f t="shared" si="33"/>
        <v>PKA</v>
      </c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</row>
    <row r="897" spans="1:23" x14ac:dyDescent="0.25">
      <c r="A897" s="58" t="str">
        <f t="shared" si="32"/>
        <v>XII KA 325</v>
      </c>
      <c r="B897" s="171">
        <f>COUNTIF(H$2:H897,H897)</f>
        <v>25</v>
      </c>
      <c r="C897" s="201">
        <v>102318834</v>
      </c>
      <c r="D897" s="168" t="s">
        <v>3263</v>
      </c>
      <c r="E897" s="168" t="str">
        <f t="shared" si="31"/>
        <v>102318834 / 0081094469</v>
      </c>
      <c r="F897" s="169" t="s">
        <v>3856</v>
      </c>
      <c r="G897" s="176" t="s">
        <v>381</v>
      </c>
      <c r="H897" s="202" t="s">
        <v>3859</v>
      </c>
      <c r="I897" s="5" t="s">
        <v>5675</v>
      </c>
      <c r="J897" s="5" t="s">
        <v>5673</v>
      </c>
      <c r="K897" s="5" t="str">
        <f t="shared" si="33"/>
        <v>PKA</v>
      </c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</row>
    <row r="898" spans="1:23" x14ac:dyDescent="0.25">
      <c r="A898" s="58" t="str">
        <f t="shared" si="32"/>
        <v>XII KA 326</v>
      </c>
      <c r="B898" s="171">
        <f>COUNTIF(H$2:H898,H898)</f>
        <v>26</v>
      </c>
      <c r="C898" s="201">
        <v>102318836</v>
      </c>
      <c r="D898" s="168" t="s">
        <v>3264</v>
      </c>
      <c r="E898" s="168" t="str">
        <f t="shared" si="31"/>
        <v>102318836 / 0076646342</v>
      </c>
      <c r="F898" s="169" t="s">
        <v>3265</v>
      </c>
      <c r="G898" s="176" t="s">
        <v>381</v>
      </c>
      <c r="H898" s="202" t="s">
        <v>3859</v>
      </c>
      <c r="I898" s="5" t="s">
        <v>5675</v>
      </c>
      <c r="J898" s="5" t="s">
        <v>5673</v>
      </c>
      <c r="K898" s="5" t="str">
        <f t="shared" si="33"/>
        <v>PKA</v>
      </c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</row>
    <row r="899" spans="1:23" x14ac:dyDescent="0.25">
      <c r="A899" s="58" t="str">
        <f t="shared" si="32"/>
        <v>XII KA 327</v>
      </c>
      <c r="B899" s="171">
        <f>COUNTIF(H$2:H899,H899)</f>
        <v>27</v>
      </c>
      <c r="C899" s="201">
        <v>102318837</v>
      </c>
      <c r="D899" s="168" t="s">
        <v>3266</v>
      </c>
      <c r="E899" s="168" t="str">
        <f t="shared" si="31"/>
        <v>102318837 / 0075496974</v>
      </c>
      <c r="F899" s="169" t="s">
        <v>3267</v>
      </c>
      <c r="G899" s="176" t="s">
        <v>379</v>
      </c>
      <c r="H899" s="202" t="s">
        <v>3859</v>
      </c>
      <c r="I899" s="5" t="s">
        <v>5675</v>
      </c>
      <c r="J899" s="5" t="s">
        <v>5673</v>
      </c>
      <c r="K899" s="5" t="str">
        <f t="shared" si="33"/>
        <v>LKA</v>
      </c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</row>
    <row r="900" spans="1:23" x14ac:dyDescent="0.25">
      <c r="A900" s="58" t="str">
        <f t="shared" si="32"/>
        <v>XII KA 328</v>
      </c>
      <c r="B900" s="171">
        <f>COUNTIF(H$2:H900,H900)</f>
        <v>28</v>
      </c>
      <c r="C900" s="201">
        <v>102318839</v>
      </c>
      <c r="D900" s="168" t="s">
        <v>3268</v>
      </c>
      <c r="E900" s="168" t="str">
        <f t="shared" si="31"/>
        <v>102318839 / 0085341813</v>
      </c>
      <c r="F900" s="169" t="s">
        <v>3269</v>
      </c>
      <c r="G900" s="176" t="s">
        <v>381</v>
      </c>
      <c r="H900" s="202" t="s">
        <v>3859</v>
      </c>
      <c r="I900" s="5" t="s">
        <v>5675</v>
      </c>
      <c r="J900" s="5" t="s">
        <v>5673</v>
      </c>
      <c r="K900" s="5" t="str">
        <f t="shared" si="33"/>
        <v>PKA</v>
      </c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</row>
    <row r="901" spans="1:23" x14ac:dyDescent="0.25">
      <c r="A901" s="58" t="str">
        <f t="shared" si="32"/>
        <v>XII KA 329</v>
      </c>
      <c r="B901" s="171">
        <f>COUNTIF(H$2:H901,H901)</f>
        <v>29</v>
      </c>
      <c r="C901" s="201">
        <v>102318840</v>
      </c>
      <c r="D901" s="168" t="s">
        <v>3270</v>
      </c>
      <c r="E901" s="168" t="str">
        <f t="shared" si="31"/>
        <v>102318840 / 0077753281</v>
      </c>
      <c r="F901" s="169" t="s">
        <v>3271</v>
      </c>
      <c r="G901" s="176" t="s">
        <v>381</v>
      </c>
      <c r="H901" s="202" t="s">
        <v>3859</v>
      </c>
      <c r="I901" s="5" t="s">
        <v>5675</v>
      </c>
      <c r="J901" s="5" t="s">
        <v>5673</v>
      </c>
      <c r="K901" s="5" t="str">
        <f t="shared" si="33"/>
        <v>PKA</v>
      </c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</row>
    <row r="902" spans="1:23" x14ac:dyDescent="0.25">
      <c r="A902" s="58" t="str">
        <f t="shared" si="32"/>
        <v>XII KA 330</v>
      </c>
      <c r="B902" s="171">
        <f>COUNTIF(H$2:H902,H902)</f>
        <v>30</v>
      </c>
      <c r="C902" s="201">
        <v>102318841</v>
      </c>
      <c r="D902" s="168" t="s">
        <v>3272</v>
      </c>
      <c r="E902" s="168" t="str">
        <f t="shared" si="31"/>
        <v>102318841 / 0085839134</v>
      </c>
      <c r="F902" s="169" t="s">
        <v>3273</v>
      </c>
      <c r="G902" s="176" t="s">
        <v>381</v>
      </c>
      <c r="H902" s="202" t="s">
        <v>3859</v>
      </c>
      <c r="I902" s="5" t="s">
        <v>5675</v>
      </c>
      <c r="J902" s="5" t="s">
        <v>5673</v>
      </c>
      <c r="K902" s="5" t="str">
        <f t="shared" si="33"/>
        <v>PKA</v>
      </c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</row>
    <row r="903" spans="1:23" x14ac:dyDescent="0.25">
      <c r="A903" s="58" t="str">
        <f t="shared" si="32"/>
        <v>XII KA 331</v>
      </c>
      <c r="B903" s="171">
        <f>COUNTIF(H$2:H903,H903)</f>
        <v>31</v>
      </c>
      <c r="C903" s="201">
        <v>102318842</v>
      </c>
      <c r="D903" s="168" t="s">
        <v>3274</v>
      </c>
      <c r="E903" s="168" t="str">
        <f t="shared" si="31"/>
        <v>102318842 / 0086437547</v>
      </c>
      <c r="F903" s="169" t="s">
        <v>3275</v>
      </c>
      <c r="G903" s="176" t="s">
        <v>381</v>
      </c>
      <c r="H903" s="202" t="s">
        <v>3859</v>
      </c>
      <c r="I903" s="5" t="s">
        <v>5675</v>
      </c>
      <c r="J903" s="5" t="s">
        <v>5673</v>
      </c>
      <c r="K903" s="5" t="str">
        <f t="shared" si="33"/>
        <v>PKA</v>
      </c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</row>
    <row r="904" spans="1:23" x14ac:dyDescent="0.25">
      <c r="A904" s="58" t="str">
        <f t="shared" si="32"/>
        <v>XII KA 332</v>
      </c>
      <c r="B904" s="171">
        <f>COUNTIF(H$2:H904,H904)</f>
        <v>32</v>
      </c>
      <c r="C904" s="201">
        <v>102318843</v>
      </c>
      <c r="D904" s="168" t="s">
        <v>3276</v>
      </c>
      <c r="E904" s="168" t="str">
        <f t="shared" si="31"/>
        <v>102318843 / 0086624127</v>
      </c>
      <c r="F904" s="169" t="s">
        <v>3277</v>
      </c>
      <c r="G904" s="176" t="s">
        <v>381</v>
      </c>
      <c r="H904" s="202" t="s">
        <v>3859</v>
      </c>
      <c r="I904" s="5" t="s">
        <v>5675</v>
      </c>
      <c r="J904" s="5" t="s">
        <v>5673</v>
      </c>
      <c r="K904" s="5" t="str">
        <f t="shared" si="33"/>
        <v>PKA</v>
      </c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</row>
    <row r="905" spans="1:23" x14ac:dyDescent="0.25">
      <c r="A905" s="58" t="str">
        <f t="shared" si="32"/>
        <v>XII KA 333</v>
      </c>
      <c r="B905" s="171">
        <f>COUNTIF(H$2:H905,H905)</f>
        <v>33</v>
      </c>
      <c r="C905" s="201">
        <v>102318844</v>
      </c>
      <c r="D905" s="168" t="s">
        <v>3278</v>
      </c>
      <c r="E905" s="168" t="str">
        <f t="shared" si="31"/>
        <v>102318844 / 0083798069</v>
      </c>
      <c r="F905" s="169" t="s">
        <v>3279</v>
      </c>
      <c r="G905" s="176" t="s">
        <v>381</v>
      </c>
      <c r="H905" s="202" t="s">
        <v>3859</v>
      </c>
      <c r="I905" s="5" t="s">
        <v>5675</v>
      </c>
      <c r="J905" s="5" t="s">
        <v>5673</v>
      </c>
      <c r="K905" s="5" t="str">
        <f t="shared" si="33"/>
        <v>PKA</v>
      </c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</row>
    <row r="906" spans="1:23" x14ac:dyDescent="0.25">
      <c r="A906" s="58" t="str">
        <f t="shared" si="32"/>
        <v>XII KA 334</v>
      </c>
      <c r="B906" s="171">
        <f>COUNTIF(H$2:H906,H906)</f>
        <v>34</v>
      </c>
      <c r="C906" s="201">
        <v>102318845</v>
      </c>
      <c r="D906" s="168" t="s">
        <v>3280</v>
      </c>
      <c r="E906" s="168" t="str">
        <f t="shared" si="31"/>
        <v>102318845 / 0072929475</v>
      </c>
      <c r="F906" s="169" t="s">
        <v>3281</v>
      </c>
      <c r="G906" s="176" t="s">
        <v>381</v>
      </c>
      <c r="H906" s="202" t="s">
        <v>3859</v>
      </c>
      <c r="I906" s="5" t="s">
        <v>5675</v>
      </c>
      <c r="J906" s="5" t="s">
        <v>5673</v>
      </c>
      <c r="K906" s="5" t="str">
        <f t="shared" si="33"/>
        <v>PKA</v>
      </c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</row>
    <row r="907" spans="1:23" x14ac:dyDescent="0.25">
      <c r="A907" s="58" t="str">
        <f t="shared" si="32"/>
        <v>XII KA 335</v>
      </c>
      <c r="B907" s="171">
        <f>COUNTIF(H$2:H907,H907)</f>
        <v>35</v>
      </c>
      <c r="C907" s="201">
        <v>102318846</v>
      </c>
      <c r="D907" s="168" t="s">
        <v>3282</v>
      </c>
      <c r="E907" s="168" t="str">
        <f t="shared" si="31"/>
        <v>102318846 / 3095196125</v>
      </c>
      <c r="F907" s="169" t="s">
        <v>3283</v>
      </c>
      <c r="G907" s="176" t="s">
        <v>381</v>
      </c>
      <c r="H907" s="202" t="s">
        <v>3859</v>
      </c>
      <c r="I907" s="5" t="s">
        <v>5675</v>
      </c>
      <c r="J907" s="5" t="s">
        <v>5673</v>
      </c>
      <c r="K907" s="5" t="str">
        <f t="shared" si="33"/>
        <v>PKA</v>
      </c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</row>
    <row r="908" spans="1:23" x14ac:dyDescent="0.25">
      <c r="A908" s="58" t="str">
        <f t="shared" si="32"/>
        <v>XII KA 41</v>
      </c>
      <c r="B908" s="171">
        <f>COUNTIF(H$2:H908,H908)</f>
        <v>1</v>
      </c>
      <c r="C908" s="201">
        <v>102318847</v>
      </c>
      <c r="D908" s="168" t="s">
        <v>3284</v>
      </c>
      <c r="E908" s="168" t="str">
        <f t="shared" si="31"/>
        <v>102318847 / 0087367217</v>
      </c>
      <c r="F908" s="169" t="s">
        <v>3285</v>
      </c>
      <c r="G908" s="176" t="s">
        <v>381</v>
      </c>
      <c r="H908" s="202" t="s">
        <v>3860</v>
      </c>
      <c r="I908" s="5" t="s">
        <v>5675</v>
      </c>
      <c r="J908" s="5" t="s">
        <v>5673</v>
      </c>
      <c r="K908" s="5" t="str">
        <f t="shared" si="33"/>
        <v>PKA</v>
      </c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</row>
    <row r="909" spans="1:23" x14ac:dyDescent="0.25">
      <c r="A909" s="58" t="str">
        <f t="shared" si="32"/>
        <v>XII KA 42</v>
      </c>
      <c r="B909" s="171">
        <f>COUNTIF(H$2:H909,H909)</f>
        <v>2</v>
      </c>
      <c r="C909" s="201">
        <v>102318848</v>
      </c>
      <c r="D909" s="168" t="s">
        <v>3286</v>
      </c>
      <c r="E909" s="168" t="str">
        <f t="shared" si="31"/>
        <v>102318848 / 0088392243</v>
      </c>
      <c r="F909" s="169" t="s">
        <v>3287</v>
      </c>
      <c r="G909" s="176" t="s">
        <v>381</v>
      </c>
      <c r="H909" s="202" t="s">
        <v>3860</v>
      </c>
      <c r="I909" s="5" t="s">
        <v>5675</v>
      </c>
      <c r="J909" s="5" t="s">
        <v>5673</v>
      </c>
      <c r="K909" s="5" t="str">
        <f t="shared" si="33"/>
        <v>PKA</v>
      </c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</row>
    <row r="910" spans="1:23" x14ac:dyDescent="0.25">
      <c r="A910" s="58" t="str">
        <f t="shared" si="32"/>
        <v>XII KA 43</v>
      </c>
      <c r="B910" s="171">
        <f>COUNTIF(H$2:H910,H910)</f>
        <v>3</v>
      </c>
      <c r="C910" s="201">
        <v>102318849</v>
      </c>
      <c r="D910" s="168" t="s">
        <v>3288</v>
      </c>
      <c r="E910" s="168" t="str">
        <f t="shared" si="31"/>
        <v>102318849 / 0084176901</v>
      </c>
      <c r="F910" s="169" t="s">
        <v>3289</v>
      </c>
      <c r="G910" s="176" t="s">
        <v>381</v>
      </c>
      <c r="H910" s="202" t="s">
        <v>3860</v>
      </c>
      <c r="I910" s="5" t="s">
        <v>5675</v>
      </c>
      <c r="J910" s="5" t="s">
        <v>5673</v>
      </c>
      <c r="K910" s="5" t="str">
        <f t="shared" si="33"/>
        <v>PKA</v>
      </c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</row>
    <row r="911" spans="1:23" x14ac:dyDescent="0.25">
      <c r="A911" s="58" t="str">
        <f t="shared" si="32"/>
        <v>XII KA 44</v>
      </c>
      <c r="B911" s="171">
        <f>COUNTIF(H$2:H911,H911)</f>
        <v>4</v>
      </c>
      <c r="C911" s="201">
        <v>102318851</v>
      </c>
      <c r="D911" s="168" t="s">
        <v>3290</v>
      </c>
      <c r="E911" s="168" t="str">
        <f t="shared" si="31"/>
        <v>102318851 / 0083884481</v>
      </c>
      <c r="F911" s="169" t="s">
        <v>3291</v>
      </c>
      <c r="G911" s="176" t="s">
        <v>381</v>
      </c>
      <c r="H911" s="202" t="s">
        <v>3860</v>
      </c>
      <c r="I911" s="5" t="s">
        <v>5675</v>
      </c>
      <c r="J911" s="5" t="s">
        <v>5673</v>
      </c>
      <c r="K911" s="5" t="str">
        <f t="shared" si="33"/>
        <v>PKA</v>
      </c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</row>
    <row r="912" spans="1:23" x14ac:dyDescent="0.25">
      <c r="A912" s="58" t="str">
        <f t="shared" si="32"/>
        <v>XII KA 45</v>
      </c>
      <c r="B912" s="171">
        <f>COUNTIF(H$2:H912,H912)</f>
        <v>5</v>
      </c>
      <c r="C912" s="201">
        <v>102318852</v>
      </c>
      <c r="D912" s="168" t="s">
        <v>3292</v>
      </c>
      <c r="E912" s="168" t="str">
        <f t="shared" si="31"/>
        <v>102318852 / 0081886790</v>
      </c>
      <c r="F912" s="169" t="s">
        <v>3293</v>
      </c>
      <c r="G912" s="176" t="s">
        <v>379</v>
      </c>
      <c r="H912" s="202" t="s">
        <v>3860</v>
      </c>
      <c r="I912" s="5" t="s">
        <v>5675</v>
      </c>
      <c r="J912" s="5" t="s">
        <v>5673</v>
      </c>
      <c r="K912" s="5" t="str">
        <f t="shared" si="33"/>
        <v>LKA</v>
      </c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</row>
    <row r="913" spans="1:23" x14ac:dyDescent="0.25">
      <c r="A913" s="58" t="str">
        <f t="shared" si="32"/>
        <v>XII KA 46</v>
      </c>
      <c r="B913" s="171">
        <f>COUNTIF(H$2:H913,H913)</f>
        <v>6</v>
      </c>
      <c r="C913" s="201">
        <v>102318853</v>
      </c>
      <c r="D913" s="168" t="s">
        <v>3294</v>
      </c>
      <c r="E913" s="168" t="str">
        <f t="shared" si="31"/>
        <v>102318853 / 0074590001</v>
      </c>
      <c r="F913" s="169" t="s">
        <v>3295</v>
      </c>
      <c r="G913" s="176" t="s">
        <v>379</v>
      </c>
      <c r="H913" s="202" t="s">
        <v>3860</v>
      </c>
      <c r="I913" s="5" t="s">
        <v>5675</v>
      </c>
      <c r="J913" s="5" t="s">
        <v>5673</v>
      </c>
      <c r="K913" s="5" t="str">
        <f t="shared" si="33"/>
        <v>LKA</v>
      </c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</row>
    <row r="914" spans="1:23" x14ac:dyDescent="0.25">
      <c r="A914" s="58" t="str">
        <f t="shared" si="32"/>
        <v>XII KA 47</v>
      </c>
      <c r="B914" s="171">
        <f>COUNTIF(H$2:H914,H914)</f>
        <v>7</v>
      </c>
      <c r="C914" s="201">
        <v>102318854</v>
      </c>
      <c r="D914" s="168" t="s">
        <v>3296</v>
      </c>
      <c r="E914" s="168" t="str">
        <f t="shared" si="31"/>
        <v>102318854 / 0082766801</v>
      </c>
      <c r="F914" s="169" t="s">
        <v>3297</v>
      </c>
      <c r="G914" s="176" t="s">
        <v>381</v>
      </c>
      <c r="H914" s="202" t="s">
        <v>3860</v>
      </c>
      <c r="I914" s="5" t="s">
        <v>5675</v>
      </c>
      <c r="J914" s="5" t="s">
        <v>5673</v>
      </c>
      <c r="K914" s="5" t="str">
        <f t="shared" si="33"/>
        <v>PKA</v>
      </c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</row>
    <row r="915" spans="1:23" x14ac:dyDescent="0.25">
      <c r="A915" s="58" t="str">
        <f t="shared" si="32"/>
        <v>XII KA 48</v>
      </c>
      <c r="B915" s="171">
        <f>COUNTIF(H$2:H915,H915)</f>
        <v>8</v>
      </c>
      <c r="C915" s="201">
        <v>102318855</v>
      </c>
      <c r="D915" s="168" t="s">
        <v>3298</v>
      </c>
      <c r="E915" s="168" t="str">
        <f t="shared" si="31"/>
        <v>102318855 / 0074964649</v>
      </c>
      <c r="F915" s="169" t="s">
        <v>3299</v>
      </c>
      <c r="G915" s="176" t="s">
        <v>381</v>
      </c>
      <c r="H915" s="202" t="s">
        <v>3860</v>
      </c>
      <c r="I915" s="5" t="s">
        <v>5675</v>
      </c>
      <c r="J915" s="5" t="s">
        <v>5673</v>
      </c>
      <c r="K915" s="5" t="str">
        <f t="shared" si="33"/>
        <v>PKA</v>
      </c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</row>
    <row r="916" spans="1:23" x14ac:dyDescent="0.25">
      <c r="A916" s="58" t="str">
        <f t="shared" si="32"/>
        <v>XII KA 49</v>
      </c>
      <c r="B916" s="171">
        <f>COUNTIF(H$2:H916,H916)</f>
        <v>9</v>
      </c>
      <c r="C916" s="201">
        <v>102318856</v>
      </c>
      <c r="D916" s="168" t="s">
        <v>3300</v>
      </c>
      <c r="E916" s="168" t="str">
        <f t="shared" si="31"/>
        <v>102318856 / 3079548873</v>
      </c>
      <c r="F916" s="169" t="s">
        <v>3301</v>
      </c>
      <c r="G916" s="176" t="s">
        <v>381</v>
      </c>
      <c r="H916" s="202" t="s">
        <v>3860</v>
      </c>
      <c r="I916" s="5" t="s">
        <v>5675</v>
      </c>
      <c r="J916" s="5" t="s">
        <v>5673</v>
      </c>
      <c r="K916" s="5" t="str">
        <f t="shared" si="33"/>
        <v>PKA</v>
      </c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</row>
    <row r="917" spans="1:23" x14ac:dyDescent="0.25">
      <c r="A917" s="58" t="str">
        <f t="shared" si="32"/>
        <v>XII KA 410</v>
      </c>
      <c r="B917" s="171">
        <f>COUNTIF(H$2:H917,H917)</f>
        <v>10</v>
      </c>
      <c r="C917" s="201">
        <v>102318857</v>
      </c>
      <c r="D917" s="168" t="s">
        <v>3854</v>
      </c>
      <c r="E917" s="168" t="str">
        <f t="shared" si="31"/>
        <v>102318857 / 0089706496</v>
      </c>
      <c r="F917" s="169" t="s">
        <v>3855</v>
      </c>
      <c r="G917" s="176" t="s">
        <v>381</v>
      </c>
      <c r="H917" s="202" t="s">
        <v>3860</v>
      </c>
      <c r="I917" s="5" t="s">
        <v>5675</v>
      </c>
      <c r="J917" s="5" t="s">
        <v>5673</v>
      </c>
      <c r="K917" s="5" t="str">
        <f t="shared" si="33"/>
        <v>PKA</v>
      </c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</row>
    <row r="918" spans="1:23" x14ac:dyDescent="0.25">
      <c r="A918" s="58" t="str">
        <f t="shared" si="32"/>
        <v>XII KA 411</v>
      </c>
      <c r="B918" s="171">
        <f>COUNTIF(H$2:H918,H918)</f>
        <v>11</v>
      </c>
      <c r="C918" s="201">
        <v>102318857</v>
      </c>
      <c r="D918" s="168" t="s">
        <v>3302</v>
      </c>
      <c r="E918" s="168" t="str">
        <f t="shared" si="31"/>
        <v>102318857 / 0086577769</v>
      </c>
      <c r="F918" s="169" t="s">
        <v>3303</v>
      </c>
      <c r="G918" s="176" t="s">
        <v>381</v>
      </c>
      <c r="H918" s="202" t="s">
        <v>3860</v>
      </c>
      <c r="I918" s="5" t="s">
        <v>5675</v>
      </c>
      <c r="J918" s="5" t="s">
        <v>5673</v>
      </c>
      <c r="K918" s="5" t="str">
        <f t="shared" si="33"/>
        <v>PKA</v>
      </c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</row>
    <row r="919" spans="1:23" x14ac:dyDescent="0.25">
      <c r="A919" s="58" t="str">
        <f t="shared" si="32"/>
        <v>XII KA 412</v>
      </c>
      <c r="B919" s="171">
        <f>COUNTIF(H$2:H919,H919)</f>
        <v>12</v>
      </c>
      <c r="C919" s="201">
        <v>102318858</v>
      </c>
      <c r="D919" s="168" t="s">
        <v>3304</v>
      </c>
      <c r="E919" s="168" t="str">
        <f t="shared" si="31"/>
        <v>102318858 / 0082696637</v>
      </c>
      <c r="F919" s="169" t="s">
        <v>3305</v>
      </c>
      <c r="G919" s="176" t="s">
        <v>379</v>
      </c>
      <c r="H919" s="202" t="s">
        <v>3860</v>
      </c>
      <c r="I919" s="5" t="s">
        <v>5675</v>
      </c>
      <c r="J919" s="5" t="s">
        <v>5673</v>
      </c>
      <c r="K919" s="5" t="str">
        <f t="shared" si="33"/>
        <v>LKA</v>
      </c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</row>
    <row r="920" spans="1:23" x14ac:dyDescent="0.25">
      <c r="A920" s="58" t="str">
        <f t="shared" si="32"/>
        <v>XII KA 413</v>
      </c>
      <c r="B920" s="171">
        <f>COUNTIF(H$2:H920,H920)</f>
        <v>13</v>
      </c>
      <c r="C920" s="201">
        <v>102318859</v>
      </c>
      <c r="D920" s="168" t="s">
        <v>3306</v>
      </c>
      <c r="E920" s="168" t="str">
        <f t="shared" si="31"/>
        <v>102318859 / 0081410684</v>
      </c>
      <c r="F920" s="169" t="s">
        <v>3307</v>
      </c>
      <c r="G920" s="176" t="s">
        <v>379</v>
      </c>
      <c r="H920" s="202" t="s">
        <v>3860</v>
      </c>
      <c r="I920" s="5" t="s">
        <v>5675</v>
      </c>
      <c r="J920" s="5" t="s">
        <v>5673</v>
      </c>
      <c r="K920" s="5" t="str">
        <f t="shared" si="33"/>
        <v>LKA</v>
      </c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</row>
    <row r="921" spans="1:23" x14ac:dyDescent="0.25">
      <c r="A921" s="58" t="str">
        <f t="shared" si="32"/>
        <v>XII KA 414</v>
      </c>
      <c r="B921" s="171">
        <f>COUNTIF(H$2:H921,H921)</f>
        <v>14</v>
      </c>
      <c r="C921" s="201">
        <v>102318860</v>
      </c>
      <c r="D921" s="168" t="s">
        <v>3308</v>
      </c>
      <c r="E921" s="168" t="str">
        <f t="shared" si="31"/>
        <v>102318860 / 0076189032</v>
      </c>
      <c r="F921" s="169" t="s">
        <v>3309</v>
      </c>
      <c r="G921" s="176" t="s">
        <v>381</v>
      </c>
      <c r="H921" s="202" t="s">
        <v>3860</v>
      </c>
      <c r="I921" s="5" t="s">
        <v>5675</v>
      </c>
      <c r="J921" s="5" t="s">
        <v>5673</v>
      </c>
      <c r="K921" s="5" t="str">
        <f t="shared" si="33"/>
        <v>PKA</v>
      </c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</row>
    <row r="922" spans="1:23" x14ac:dyDescent="0.25">
      <c r="A922" s="58" t="str">
        <f t="shared" si="32"/>
        <v>XII KA 415</v>
      </c>
      <c r="B922" s="171">
        <f>COUNTIF(H$2:H922,H922)</f>
        <v>15</v>
      </c>
      <c r="C922" s="201">
        <v>102318861</v>
      </c>
      <c r="D922" s="168" t="s">
        <v>3310</v>
      </c>
      <c r="E922" s="168" t="str">
        <f t="shared" si="31"/>
        <v>102318861 / 0086999695</v>
      </c>
      <c r="F922" s="169" t="s">
        <v>3311</v>
      </c>
      <c r="G922" s="176" t="s">
        <v>381</v>
      </c>
      <c r="H922" s="202" t="s">
        <v>3860</v>
      </c>
      <c r="I922" s="5" t="s">
        <v>5675</v>
      </c>
      <c r="J922" s="5" t="s">
        <v>5673</v>
      </c>
      <c r="K922" s="5" t="str">
        <f t="shared" si="33"/>
        <v>PKA</v>
      </c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</row>
    <row r="923" spans="1:23" x14ac:dyDescent="0.25">
      <c r="A923" s="58" t="str">
        <f t="shared" si="32"/>
        <v>XII KA 416</v>
      </c>
      <c r="B923" s="171">
        <f>COUNTIF(H$2:H923,H923)</f>
        <v>16</v>
      </c>
      <c r="C923" s="201">
        <v>102318862</v>
      </c>
      <c r="D923" s="168" t="s">
        <v>3312</v>
      </c>
      <c r="E923" s="168" t="str">
        <f t="shared" si="31"/>
        <v>102318862 / 0072738420</v>
      </c>
      <c r="F923" s="169" t="s">
        <v>3313</v>
      </c>
      <c r="G923" s="176" t="s">
        <v>379</v>
      </c>
      <c r="H923" s="202" t="s">
        <v>3860</v>
      </c>
      <c r="I923" s="5" t="s">
        <v>5675</v>
      </c>
      <c r="J923" s="5" t="s">
        <v>5673</v>
      </c>
      <c r="K923" s="5" t="str">
        <f t="shared" si="33"/>
        <v>LKA</v>
      </c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</row>
    <row r="924" spans="1:23" x14ac:dyDescent="0.25">
      <c r="A924" s="58" t="str">
        <f t="shared" si="32"/>
        <v>XII KA 417</v>
      </c>
      <c r="B924" s="171">
        <f>COUNTIF(H$2:H924,H924)</f>
        <v>17</v>
      </c>
      <c r="C924" s="201">
        <v>102318863</v>
      </c>
      <c r="D924" s="168" t="s">
        <v>3314</v>
      </c>
      <c r="E924" s="168" t="str">
        <f t="shared" si="31"/>
        <v>102318863 / 0071414617</v>
      </c>
      <c r="F924" s="169" t="s">
        <v>3315</v>
      </c>
      <c r="G924" s="176" t="s">
        <v>381</v>
      </c>
      <c r="H924" s="202" t="s">
        <v>3860</v>
      </c>
      <c r="I924" s="5" t="s">
        <v>5675</v>
      </c>
      <c r="J924" s="5" t="s">
        <v>5673</v>
      </c>
      <c r="K924" s="5" t="str">
        <f t="shared" si="33"/>
        <v>PKA</v>
      </c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</row>
    <row r="925" spans="1:23" x14ac:dyDescent="0.25">
      <c r="A925" s="58" t="str">
        <f t="shared" si="32"/>
        <v>XII KA 418</v>
      </c>
      <c r="B925" s="171">
        <f>COUNTIF(H$2:H925,H925)</f>
        <v>18</v>
      </c>
      <c r="C925" s="201">
        <v>102318864</v>
      </c>
      <c r="D925" s="168" t="s">
        <v>3316</v>
      </c>
      <c r="E925" s="168" t="str">
        <f t="shared" si="31"/>
        <v>102318864 / 0081041092</v>
      </c>
      <c r="F925" s="169" t="s">
        <v>3317</v>
      </c>
      <c r="G925" s="176" t="s">
        <v>381</v>
      </c>
      <c r="H925" s="202" t="s">
        <v>3860</v>
      </c>
      <c r="I925" s="5" t="s">
        <v>5675</v>
      </c>
      <c r="J925" s="5" t="s">
        <v>5673</v>
      </c>
      <c r="K925" s="5" t="str">
        <f t="shared" si="33"/>
        <v>PKA</v>
      </c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</row>
    <row r="926" spans="1:23" x14ac:dyDescent="0.25">
      <c r="A926" s="58" t="str">
        <f t="shared" si="32"/>
        <v>XII KA 419</v>
      </c>
      <c r="B926" s="171">
        <f>COUNTIF(H$2:H926,H926)</f>
        <v>19</v>
      </c>
      <c r="C926" s="201">
        <v>102318865</v>
      </c>
      <c r="D926" s="168" t="s">
        <v>3318</v>
      </c>
      <c r="E926" s="168" t="str">
        <f t="shared" si="31"/>
        <v>102318865 / 0072947211</v>
      </c>
      <c r="F926" s="169" t="s">
        <v>3319</v>
      </c>
      <c r="G926" s="176" t="s">
        <v>381</v>
      </c>
      <c r="H926" s="202" t="s">
        <v>3860</v>
      </c>
      <c r="I926" s="5" t="s">
        <v>5675</v>
      </c>
      <c r="J926" s="5" t="s">
        <v>5673</v>
      </c>
      <c r="K926" s="5" t="str">
        <f t="shared" si="33"/>
        <v>PKA</v>
      </c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</row>
    <row r="927" spans="1:23" x14ac:dyDescent="0.25">
      <c r="A927" s="58" t="str">
        <f t="shared" si="32"/>
        <v>XII KA 420</v>
      </c>
      <c r="B927" s="171">
        <f>COUNTIF(H$2:H927,H927)</f>
        <v>20</v>
      </c>
      <c r="C927" s="201">
        <v>102318866</v>
      </c>
      <c r="D927" s="168" t="s">
        <v>3320</v>
      </c>
      <c r="E927" s="168" t="str">
        <f t="shared" si="31"/>
        <v>102318866 / 0088026581</v>
      </c>
      <c r="F927" s="169" t="s">
        <v>3321</v>
      </c>
      <c r="G927" s="176" t="s">
        <v>381</v>
      </c>
      <c r="H927" s="202" t="s">
        <v>3860</v>
      </c>
      <c r="I927" s="5" t="s">
        <v>5675</v>
      </c>
      <c r="J927" s="5" t="s">
        <v>5673</v>
      </c>
      <c r="K927" s="5" t="str">
        <f t="shared" si="33"/>
        <v>PKA</v>
      </c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</row>
    <row r="928" spans="1:23" x14ac:dyDescent="0.25">
      <c r="A928" s="58" t="str">
        <f t="shared" si="32"/>
        <v>XII KA 421</v>
      </c>
      <c r="B928" s="171">
        <f>COUNTIF(H$2:H928,H928)</f>
        <v>21</v>
      </c>
      <c r="C928" s="201">
        <v>102318867</v>
      </c>
      <c r="D928" s="168" t="s">
        <v>3322</v>
      </c>
      <c r="E928" s="168" t="str">
        <f t="shared" si="31"/>
        <v>102318867 / 0086374712</v>
      </c>
      <c r="F928" s="169" t="s">
        <v>3323</v>
      </c>
      <c r="G928" s="176" t="s">
        <v>381</v>
      </c>
      <c r="H928" s="202" t="s">
        <v>3860</v>
      </c>
      <c r="I928" s="5" t="s">
        <v>5675</v>
      </c>
      <c r="J928" s="5" t="s">
        <v>5673</v>
      </c>
      <c r="K928" s="5" t="str">
        <f t="shared" si="33"/>
        <v>PKA</v>
      </c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</row>
    <row r="929" spans="1:23" x14ac:dyDescent="0.25">
      <c r="A929" s="58" t="str">
        <f t="shared" si="32"/>
        <v>XII KA 422</v>
      </c>
      <c r="B929" s="171">
        <f>COUNTIF(H$2:H929,H929)</f>
        <v>22</v>
      </c>
      <c r="C929" s="201">
        <v>102318868</v>
      </c>
      <c r="D929" s="168" t="s">
        <v>3324</v>
      </c>
      <c r="E929" s="168" t="str">
        <f t="shared" si="31"/>
        <v>102318868 / 0083443043</v>
      </c>
      <c r="F929" s="169" t="s">
        <v>3325</v>
      </c>
      <c r="G929" s="176" t="s">
        <v>379</v>
      </c>
      <c r="H929" s="202" t="s">
        <v>3860</v>
      </c>
      <c r="I929" s="5" t="s">
        <v>5675</v>
      </c>
      <c r="J929" s="5" t="s">
        <v>5673</v>
      </c>
      <c r="K929" s="5" t="str">
        <f t="shared" si="33"/>
        <v>LKA</v>
      </c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</row>
    <row r="930" spans="1:23" x14ac:dyDescent="0.25">
      <c r="A930" s="58" t="str">
        <f t="shared" si="32"/>
        <v>XII KA 423</v>
      </c>
      <c r="B930" s="171">
        <f>COUNTIF(H$2:H930,H930)</f>
        <v>23</v>
      </c>
      <c r="C930" s="201">
        <v>102318869</v>
      </c>
      <c r="D930" s="168" t="s">
        <v>3326</v>
      </c>
      <c r="E930" s="168" t="str">
        <f t="shared" si="31"/>
        <v>102318869 / 0075022031</v>
      </c>
      <c r="F930" s="169" t="s">
        <v>3327</v>
      </c>
      <c r="G930" s="176" t="s">
        <v>379</v>
      </c>
      <c r="H930" s="202" t="s">
        <v>3860</v>
      </c>
      <c r="I930" s="5" t="s">
        <v>5675</v>
      </c>
      <c r="J930" s="5" t="s">
        <v>5673</v>
      </c>
      <c r="K930" s="5" t="str">
        <f t="shared" si="33"/>
        <v>LKA</v>
      </c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</row>
    <row r="931" spans="1:23" x14ac:dyDescent="0.25">
      <c r="A931" s="58" t="str">
        <f t="shared" si="32"/>
        <v>XII KA 424</v>
      </c>
      <c r="B931" s="171">
        <f>COUNTIF(H$2:H931,H931)</f>
        <v>24</v>
      </c>
      <c r="C931" s="201">
        <v>102318871</v>
      </c>
      <c r="D931" s="168" t="s">
        <v>3329</v>
      </c>
      <c r="E931" s="168" t="str">
        <f t="shared" si="31"/>
        <v>102318871 / 0086454884</v>
      </c>
      <c r="F931" s="169" t="s">
        <v>3330</v>
      </c>
      <c r="G931" s="176" t="s">
        <v>381</v>
      </c>
      <c r="H931" s="202" t="s">
        <v>3860</v>
      </c>
      <c r="I931" s="5" t="s">
        <v>5675</v>
      </c>
      <c r="J931" s="5" t="s">
        <v>5673</v>
      </c>
      <c r="K931" s="5" t="str">
        <f t="shared" si="33"/>
        <v>PKA</v>
      </c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</row>
    <row r="932" spans="1:23" x14ac:dyDescent="0.25">
      <c r="A932" s="58" t="str">
        <f t="shared" si="32"/>
        <v>XII KA 425</v>
      </c>
      <c r="B932" s="171">
        <f>COUNTIF(H$2:H932,H932)</f>
        <v>25</v>
      </c>
      <c r="C932" s="201">
        <v>102318872</v>
      </c>
      <c r="D932" s="168" t="s">
        <v>3331</v>
      </c>
      <c r="E932" s="168" t="str">
        <f t="shared" ref="E932:E995" si="34">C932&amp; " / "&amp; D932</f>
        <v>102318872 / 0088244692</v>
      </c>
      <c r="F932" s="169" t="s">
        <v>3332</v>
      </c>
      <c r="G932" s="176" t="s">
        <v>381</v>
      </c>
      <c r="H932" s="202" t="s">
        <v>3860</v>
      </c>
      <c r="I932" s="5" t="s">
        <v>5675</v>
      </c>
      <c r="J932" s="5" t="s">
        <v>5673</v>
      </c>
      <c r="K932" s="5" t="str">
        <f t="shared" si="33"/>
        <v>PKA</v>
      </c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</row>
    <row r="933" spans="1:23" x14ac:dyDescent="0.25">
      <c r="A933" s="58" t="str">
        <f t="shared" si="32"/>
        <v>XII KA 426</v>
      </c>
      <c r="B933" s="171">
        <f>COUNTIF(H$2:H933,H933)</f>
        <v>26</v>
      </c>
      <c r="C933" s="201">
        <v>102318873</v>
      </c>
      <c r="D933" s="168" t="s">
        <v>3333</v>
      </c>
      <c r="E933" s="168" t="str">
        <f t="shared" si="34"/>
        <v>102318873 / 0087348149</v>
      </c>
      <c r="F933" s="169" t="s">
        <v>3334</v>
      </c>
      <c r="G933" s="176" t="s">
        <v>381</v>
      </c>
      <c r="H933" s="202" t="s">
        <v>3860</v>
      </c>
      <c r="I933" s="5" t="s">
        <v>5675</v>
      </c>
      <c r="J933" s="5" t="s">
        <v>5673</v>
      </c>
      <c r="K933" s="5" t="str">
        <f t="shared" si="33"/>
        <v>PKA</v>
      </c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</row>
    <row r="934" spans="1:23" x14ac:dyDescent="0.25">
      <c r="A934" s="58" t="str">
        <f t="shared" si="32"/>
        <v>XII KA 427</v>
      </c>
      <c r="B934" s="171">
        <f>COUNTIF(H$2:H934,H934)</f>
        <v>27</v>
      </c>
      <c r="C934" s="201">
        <v>102318874</v>
      </c>
      <c r="D934" s="168" t="s">
        <v>3335</v>
      </c>
      <c r="E934" s="168" t="str">
        <f t="shared" si="34"/>
        <v>102318874 / 0082558202</v>
      </c>
      <c r="F934" s="169" t="s">
        <v>3336</v>
      </c>
      <c r="G934" s="176" t="s">
        <v>381</v>
      </c>
      <c r="H934" s="202" t="s">
        <v>3860</v>
      </c>
      <c r="I934" s="5" t="s">
        <v>5675</v>
      </c>
      <c r="J934" s="5" t="s">
        <v>5673</v>
      </c>
      <c r="K934" s="5" t="str">
        <f t="shared" si="33"/>
        <v>PKA</v>
      </c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</row>
    <row r="935" spans="1:23" x14ac:dyDescent="0.25">
      <c r="A935" s="58" t="str">
        <f t="shared" si="32"/>
        <v>XII KA 428</v>
      </c>
      <c r="B935" s="171">
        <f>COUNTIF(H$2:H935,H935)</f>
        <v>28</v>
      </c>
      <c r="C935" s="201">
        <v>102318875</v>
      </c>
      <c r="D935" s="168" t="s">
        <v>3337</v>
      </c>
      <c r="E935" s="168" t="str">
        <f t="shared" si="34"/>
        <v>102318875 / 0079163934</v>
      </c>
      <c r="F935" s="169" t="s">
        <v>3338</v>
      </c>
      <c r="G935" s="176" t="s">
        <v>379</v>
      </c>
      <c r="H935" s="202" t="s">
        <v>3860</v>
      </c>
      <c r="I935" s="5" t="s">
        <v>5675</v>
      </c>
      <c r="J935" s="5" t="s">
        <v>5673</v>
      </c>
      <c r="K935" s="5" t="str">
        <f t="shared" si="33"/>
        <v>LKA</v>
      </c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</row>
    <row r="936" spans="1:23" x14ac:dyDescent="0.25">
      <c r="A936" s="58" t="str">
        <f t="shared" si="32"/>
        <v>XII KA 429</v>
      </c>
      <c r="B936" s="171">
        <f>COUNTIF(H$2:H936,H936)</f>
        <v>29</v>
      </c>
      <c r="C936" s="201">
        <v>102318876</v>
      </c>
      <c r="D936" s="168" t="s">
        <v>3847</v>
      </c>
      <c r="E936" s="168" t="str">
        <f t="shared" si="34"/>
        <v>102318876 / 0078924257</v>
      </c>
      <c r="F936" s="169" t="s">
        <v>3848</v>
      </c>
      <c r="G936" s="176" t="s">
        <v>379</v>
      </c>
      <c r="H936" s="202" t="s">
        <v>3860</v>
      </c>
      <c r="I936" s="5" t="s">
        <v>5675</v>
      </c>
      <c r="J936" s="5" t="s">
        <v>5673</v>
      </c>
      <c r="K936" s="5" t="str">
        <f t="shared" si="33"/>
        <v>LKA</v>
      </c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</row>
    <row r="937" spans="1:23" x14ac:dyDescent="0.25">
      <c r="A937" s="58" t="str">
        <f t="shared" si="32"/>
        <v>XII KA 430</v>
      </c>
      <c r="B937" s="171">
        <f>COUNTIF(H$2:H937,H937)</f>
        <v>30</v>
      </c>
      <c r="C937" s="201">
        <v>102318877</v>
      </c>
      <c r="D937" s="168" t="s">
        <v>3339</v>
      </c>
      <c r="E937" s="168" t="str">
        <f t="shared" si="34"/>
        <v>102318877 / 0062181246</v>
      </c>
      <c r="F937" s="169" t="s">
        <v>3340</v>
      </c>
      <c r="G937" s="176" t="s">
        <v>379</v>
      </c>
      <c r="H937" s="202" t="s">
        <v>3860</v>
      </c>
      <c r="I937" s="5" t="s">
        <v>5675</v>
      </c>
      <c r="J937" s="5" t="s">
        <v>5673</v>
      </c>
      <c r="K937" s="5" t="str">
        <f t="shared" si="33"/>
        <v>LKA</v>
      </c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</row>
    <row r="938" spans="1:23" x14ac:dyDescent="0.25">
      <c r="A938" s="58" t="str">
        <f t="shared" si="32"/>
        <v>XII KA 431</v>
      </c>
      <c r="B938" s="171">
        <f>COUNTIF(H$2:H938,H938)</f>
        <v>31</v>
      </c>
      <c r="C938" s="201">
        <v>102318879</v>
      </c>
      <c r="D938" s="168" t="s">
        <v>3341</v>
      </c>
      <c r="E938" s="168" t="str">
        <f t="shared" si="34"/>
        <v>102318879 / 0081466861</v>
      </c>
      <c r="F938" s="169" t="s">
        <v>3342</v>
      </c>
      <c r="G938" s="176" t="s">
        <v>381</v>
      </c>
      <c r="H938" s="202" t="s">
        <v>3860</v>
      </c>
      <c r="I938" s="5" t="s">
        <v>5675</v>
      </c>
      <c r="J938" s="5" t="s">
        <v>5673</v>
      </c>
      <c r="K938" s="5" t="str">
        <f t="shared" si="33"/>
        <v>PKA</v>
      </c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</row>
    <row r="939" spans="1:23" x14ac:dyDescent="0.25">
      <c r="A939" s="58" t="str">
        <f t="shared" ref="A939:A1002" si="35">H939&amp;B939</f>
        <v>XII KA 432</v>
      </c>
      <c r="B939" s="171">
        <f>COUNTIF(H$2:H939,H939)</f>
        <v>32</v>
      </c>
      <c r="C939" s="201">
        <v>102318880</v>
      </c>
      <c r="D939" s="168" t="s">
        <v>3343</v>
      </c>
      <c r="E939" s="168" t="str">
        <f t="shared" si="34"/>
        <v>102318880 / 0087534748</v>
      </c>
      <c r="F939" s="169" t="s">
        <v>3344</v>
      </c>
      <c r="G939" s="176" t="s">
        <v>381</v>
      </c>
      <c r="H939" s="202" t="s">
        <v>3860</v>
      </c>
      <c r="I939" s="5" t="s">
        <v>5675</v>
      </c>
      <c r="J939" s="5" t="s">
        <v>5673</v>
      </c>
      <c r="K939" s="5" t="str">
        <f t="shared" si="33"/>
        <v>PKA</v>
      </c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</row>
    <row r="940" spans="1:23" x14ac:dyDescent="0.25">
      <c r="A940" s="58" t="str">
        <f t="shared" si="35"/>
        <v>XII KA 433</v>
      </c>
      <c r="B940" s="171">
        <f>COUNTIF(H$2:H940,H940)</f>
        <v>33</v>
      </c>
      <c r="C940" s="201">
        <v>102318881</v>
      </c>
      <c r="D940" s="168" t="s">
        <v>3345</v>
      </c>
      <c r="E940" s="168" t="str">
        <f t="shared" si="34"/>
        <v>102318881 / 0089570855</v>
      </c>
      <c r="F940" s="169" t="s">
        <v>3346</v>
      </c>
      <c r="G940" s="176" t="s">
        <v>381</v>
      </c>
      <c r="H940" s="202" t="s">
        <v>3860</v>
      </c>
      <c r="I940" s="5" t="s">
        <v>5675</v>
      </c>
      <c r="J940" s="5" t="s">
        <v>5673</v>
      </c>
      <c r="K940" s="5" t="str">
        <f t="shared" si="33"/>
        <v>PKA</v>
      </c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</row>
    <row r="941" spans="1:23" x14ac:dyDescent="0.25">
      <c r="A941" s="58" t="str">
        <f t="shared" si="35"/>
        <v>XII KA 434</v>
      </c>
      <c r="B941" s="171">
        <f>COUNTIF(H$2:H941,H941)</f>
        <v>34</v>
      </c>
      <c r="C941" s="201">
        <v>102318882</v>
      </c>
      <c r="D941" s="168" t="s">
        <v>3347</v>
      </c>
      <c r="E941" s="168" t="str">
        <f t="shared" si="34"/>
        <v>102318882 / 0074275181</v>
      </c>
      <c r="F941" s="169" t="s">
        <v>3348</v>
      </c>
      <c r="G941" s="176" t="s">
        <v>381</v>
      </c>
      <c r="H941" s="202" t="s">
        <v>3860</v>
      </c>
      <c r="I941" s="5" t="s">
        <v>5675</v>
      </c>
      <c r="J941" s="5" t="s">
        <v>5673</v>
      </c>
      <c r="K941" s="5" t="str">
        <f t="shared" si="33"/>
        <v>PKA</v>
      </c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</row>
    <row r="942" spans="1:23" x14ac:dyDescent="0.25">
      <c r="A942" s="58" t="str">
        <f t="shared" si="35"/>
        <v>XII KA 51</v>
      </c>
      <c r="B942" s="171">
        <f>COUNTIF(H$2:H942,H942)</f>
        <v>1</v>
      </c>
      <c r="C942" s="201">
        <v>102318883</v>
      </c>
      <c r="D942" s="168" t="s">
        <v>3349</v>
      </c>
      <c r="E942" s="168" t="str">
        <f t="shared" si="34"/>
        <v>102318883 / 0081063039</v>
      </c>
      <c r="F942" s="169" t="s">
        <v>3350</v>
      </c>
      <c r="G942" s="176" t="s">
        <v>379</v>
      </c>
      <c r="H942" s="202" t="s">
        <v>3861</v>
      </c>
      <c r="I942" s="5" t="s">
        <v>5675</v>
      </c>
      <c r="J942" s="5" t="s">
        <v>5673</v>
      </c>
      <c r="K942" s="5" t="str">
        <f t="shared" si="33"/>
        <v>LKA</v>
      </c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</row>
    <row r="943" spans="1:23" x14ac:dyDescent="0.25">
      <c r="A943" s="58" t="str">
        <f t="shared" si="35"/>
        <v>XII KA 52</v>
      </c>
      <c r="B943" s="171">
        <f>COUNTIF(H$2:H943,H943)</f>
        <v>2</v>
      </c>
      <c r="C943" s="201">
        <v>102318884</v>
      </c>
      <c r="D943" s="168" t="s">
        <v>3351</v>
      </c>
      <c r="E943" s="168" t="str">
        <f t="shared" si="34"/>
        <v>102318884 / 0083701684</v>
      </c>
      <c r="F943" s="169" t="s">
        <v>3352</v>
      </c>
      <c r="G943" s="176" t="s">
        <v>381</v>
      </c>
      <c r="H943" s="202" t="s">
        <v>3861</v>
      </c>
      <c r="I943" s="5" t="s">
        <v>5675</v>
      </c>
      <c r="J943" s="5" t="s">
        <v>5673</v>
      </c>
      <c r="K943" s="5" t="str">
        <f t="shared" si="33"/>
        <v>PKA</v>
      </c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</row>
    <row r="944" spans="1:23" x14ac:dyDescent="0.25">
      <c r="A944" s="58" t="str">
        <f t="shared" si="35"/>
        <v>XII KA 53</v>
      </c>
      <c r="B944" s="171">
        <f>COUNTIF(H$2:H944,H944)</f>
        <v>3</v>
      </c>
      <c r="C944" s="201">
        <v>102318885</v>
      </c>
      <c r="D944" s="168" t="s">
        <v>3353</v>
      </c>
      <c r="E944" s="168" t="str">
        <f t="shared" si="34"/>
        <v>102318885 / 0082864145</v>
      </c>
      <c r="F944" s="169" t="s">
        <v>3354</v>
      </c>
      <c r="G944" s="176" t="s">
        <v>379</v>
      </c>
      <c r="H944" s="202" t="s">
        <v>3861</v>
      </c>
      <c r="I944" s="5" t="s">
        <v>5675</v>
      </c>
      <c r="J944" s="5" t="s">
        <v>5673</v>
      </c>
      <c r="K944" s="5" t="str">
        <f t="shared" ref="K944:K1007" si="36">G944&amp;J944</f>
        <v>LKA</v>
      </c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</row>
    <row r="945" spans="1:23" x14ac:dyDescent="0.25">
      <c r="A945" s="58" t="str">
        <f t="shared" si="35"/>
        <v>XII KA 54</v>
      </c>
      <c r="B945" s="171">
        <f>COUNTIF(H$2:H945,H945)</f>
        <v>4</v>
      </c>
      <c r="C945" s="201">
        <v>102318886</v>
      </c>
      <c r="D945" s="168" t="s">
        <v>3355</v>
      </c>
      <c r="E945" s="168" t="str">
        <f t="shared" si="34"/>
        <v>102318886 / 0074312391</v>
      </c>
      <c r="F945" s="169" t="s">
        <v>3356</v>
      </c>
      <c r="G945" s="176" t="s">
        <v>379</v>
      </c>
      <c r="H945" s="202" t="s">
        <v>3861</v>
      </c>
      <c r="I945" s="5" t="s">
        <v>5675</v>
      </c>
      <c r="J945" s="5" t="s">
        <v>5673</v>
      </c>
      <c r="K945" s="5" t="str">
        <f t="shared" si="36"/>
        <v>LKA</v>
      </c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</row>
    <row r="946" spans="1:23" x14ac:dyDescent="0.25">
      <c r="A946" s="58" t="str">
        <f t="shared" si="35"/>
        <v>XII KA 55</v>
      </c>
      <c r="B946" s="171">
        <f>COUNTIF(H$2:H946,H946)</f>
        <v>5</v>
      </c>
      <c r="C946" s="201">
        <v>102318887</v>
      </c>
      <c r="D946" s="168" t="s">
        <v>3357</v>
      </c>
      <c r="E946" s="168" t="str">
        <f t="shared" si="34"/>
        <v>102318887 / 0079546404</v>
      </c>
      <c r="F946" s="169" t="s">
        <v>3358</v>
      </c>
      <c r="G946" s="176" t="s">
        <v>381</v>
      </c>
      <c r="H946" s="202" t="s">
        <v>3861</v>
      </c>
      <c r="I946" s="5" t="s">
        <v>5675</v>
      </c>
      <c r="J946" s="5" t="s">
        <v>5673</v>
      </c>
      <c r="K946" s="5" t="str">
        <f t="shared" si="36"/>
        <v>PKA</v>
      </c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</row>
    <row r="947" spans="1:23" x14ac:dyDescent="0.25">
      <c r="A947" s="58" t="str">
        <f t="shared" si="35"/>
        <v>XII KA 56</v>
      </c>
      <c r="B947" s="171">
        <f>COUNTIF(H$2:H947,H947)</f>
        <v>6</v>
      </c>
      <c r="C947" s="201">
        <v>102318888</v>
      </c>
      <c r="D947" s="168" t="s">
        <v>3359</v>
      </c>
      <c r="E947" s="168" t="str">
        <f t="shared" si="34"/>
        <v>102318888 / 0085367383</v>
      </c>
      <c r="F947" s="169" t="s">
        <v>3360</v>
      </c>
      <c r="G947" s="176" t="s">
        <v>381</v>
      </c>
      <c r="H947" s="202" t="s">
        <v>3861</v>
      </c>
      <c r="I947" s="5" t="s">
        <v>5675</v>
      </c>
      <c r="J947" s="5" t="s">
        <v>5673</v>
      </c>
      <c r="K947" s="5" t="str">
        <f t="shared" si="36"/>
        <v>PKA</v>
      </c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</row>
    <row r="948" spans="1:23" x14ac:dyDescent="0.25">
      <c r="A948" s="58" t="str">
        <f t="shared" si="35"/>
        <v>XII KA 57</v>
      </c>
      <c r="B948" s="171">
        <f>COUNTIF(H$2:H948,H948)</f>
        <v>7</v>
      </c>
      <c r="C948" s="201">
        <v>102318889</v>
      </c>
      <c r="D948" s="168" t="s">
        <v>3361</v>
      </c>
      <c r="E948" s="168" t="str">
        <f t="shared" si="34"/>
        <v>102318889 / 0075599276</v>
      </c>
      <c r="F948" s="169" t="s">
        <v>3362</v>
      </c>
      <c r="G948" s="176" t="s">
        <v>381</v>
      </c>
      <c r="H948" s="202" t="s">
        <v>3861</v>
      </c>
      <c r="I948" s="5" t="s">
        <v>5675</v>
      </c>
      <c r="J948" s="5" t="s">
        <v>5673</v>
      </c>
      <c r="K948" s="5" t="str">
        <f t="shared" si="36"/>
        <v>PKA</v>
      </c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</row>
    <row r="949" spans="1:23" x14ac:dyDescent="0.25">
      <c r="A949" s="58" t="str">
        <f t="shared" si="35"/>
        <v>XII KA 58</v>
      </c>
      <c r="B949" s="171">
        <f>COUNTIF(H$2:H949,H949)</f>
        <v>8</v>
      </c>
      <c r="C949" s="201">
        <v>102318890</v>
      </c>
      <c r="D949" s="168" t="s">
        <v>3363</v>
      </c>
      <c r="E949" s="168" t="str">
        <f t="shared" si="34"/>
        <v>102318890 / 0083763873</v>
      </c>
      <c r="F949" s="169" t="s">
        <v>3364</v>
      </c>
      <c r="G949" s="176" t="s">
        <v>381</v>
      </c>
      <c r="H949" s="202" t="s">
        <v>3861</v>
      </c>
      <c r="I949" s="5" t="s">
        <v>5675</v>
      </c>
      <c r="J949" s="5" t="s">
        <v>5673</v>
      </c>
      <c r="K949" s="5" t="str">
        <f t="shared" si="36"/>
        <v>PKA</v>
      </c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</row>
    <row r="950" spans="1:23" x14ac:dyDescent="0.25">
      <c r="A950" s="58" t="str">
        <f t="shared" si="35"/>
        <v>XII KA 59</v>
      </c>
      <c r="B950" s="171">
        <f>COUNTIF(H$2:H950,H950)</f>
        <v>9</v>
      </c>
      <c r="C950" s="201">
        <v>102318891</v>
      </c>
      <c r="D950" s="168" t="s">
        <v>3365</v>
      </c>
      <c r="E950" s="168" t="str">
        <f t="shared" si="34"/>
        <v>102318891 / 0088270112</v>
      </c>
      <c r="F950" s="169" t="s">
        <v>3366</v>
      </c>
      <c r="G950" s="176" t="s">
        <v>381</v>
      </c>
      <c r="H950" s="202" t="s">
        <v>3861</v>
      </c>
      <c r="I950" s="5" t="s">
        <v>5675</v>
      </c>
      <c r="J950" s="5" t="s">
        <v>5673</v>
      </c>
      <c r="K950" s="5" t="str">
        <f t="shared" si="36"/>
        <v>PKA</v>
      </c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</row>
    <row r="951" spans="1:23" x14ac:dyDescent="0.25">
      <c r="A951" s="58" t="str">
        <f t="shared" si="35"/>
        <v>XII KA 510</v>
      </c>
      <c r="B951" s="171">
        <f>COUNTIF(H$2:H951,H951)</f>
        <v>10</v>
      </c>
      <c r="C951" s="201">
        <v>102318892</v>
      </c>
      <c r="D951" s="168" t="s">
        <v>3367</v>
      </c>
      <c r="E951" s="168" t="str">
        <f t="shared" si="34"/>
        <v>102318892 / 0089183841</v>
      </c>
      <c r="F951" s="169" t="s">
        <v>3368</v>
      </c>
      <c r="G951" s="176" t="s">
        <v>381</v>
      </c>
      <c r="H951" s="202" t="s">
        <v>3861</v>
      </c>
      <c r="I951" s="5" t="s">
        <v>5675</v>
      </c>
      <c r="J951" s="5" t="s">
        <v>5673</v>
      </c>
      <c r="K951" s="5" t="str">
        <f t="shared" si="36"/>
        <v>PKA</v>
      </c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</row>
    <row r="952" spans="1:23" x14ac:dyDescent="0.25">
      <c r="A952" s="58" t="str">
        <f t="shared" si="35"/>
        <v>XII KA 511</v>
      </c>
      <c r="B952" s="171">
        <f>COUNTIF(H$2:H952,H952)</f>
        <v>11</v>
      </c>
      <c r="C952" s="201">
        <v>102318893</v>
      </c>
      <c r="D952" s="168" t="s">
        <v>3369</v>
      </c>
      <c r="E952" s="168" t="str">
        <f t="shared" si="34"/>
        <v>102318893 / 0076658479</v>
      </c>
      <c r="F952" s="169" t="s">
        <v>3370</v>
      </c>
      <c r="G952" s="176" t="s">
        <v>381</v>
      </c>
      <c r="H952" s="202" t="s">
        <v>3861</v>
      </c>
      <c r="I952" s="5" t="s">
        <v>5675</v>
      </c>
      <c r="J952" s="5" t="s">
        <v>5673</v>
      </c>
      <c r="K952" s="5" t="str">
        <f t="shared" si="36"/>
        <v>PKA</v>
      </c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</row>
    <row r="953" spans="1:23" x14ac:dyDescent="0.25">
      <c r="A953" s="58" t="str">
        <f t="shared" si="35"/>
        <v>XII KA 512</v>
      </c>
      <c r="B953" s="171">
        <f>COUNTIF(H$2:H953,H953)</f>
        <v>12</v>
      </c>
      <c r="C953" s="201">
        <v>102318894</v>
      </c>
      <c r="D953" s="168" t="s">
        <v>3371</v>
      </c>
      <c r="E953" s="168" t="str">
        <f t="shared" si="34"/>
        <v>102318894 / 0068269702</v>
      </c>
      <c r="F953" s="169" t="s">
        <v>3372</v>
      </c>
      <c r="G953" s="176" t="s">
        <v>381</v>
      </c>
      <c r="H953" s="202" t="s">
        <v>3861</v>
      </c>
      <c r="I953" s="5" t="s">
        <v>5675</v>
      </c>
      <c r="J953" s="5" t="s">
        <v>5673</v>
      </c>
      <c r="K953" s="5" t="str">
        <f t="shared" si="36"/>
        <v>PKA</v>
      </c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</row>
    <row r="954" spans="1:23" x14ac:dyDescent="0.25">
      <c r="A954" s="58" t="str">
        <f t="shared" si="35"/>
        <v>XII KA 513</v>
      </c>
      <c r="B954" s="171">
        <f>COUNTIF(H$2:H954,H954)</f>
        <v>13</v>
      </c>
      <c r="C954" s="201">
        <v>102318895</v>
      </c>
      <c r="D954" s="168" t="s">
        <v>3373</v>
      </c>
      <c r="E954" s="168" t="str">
        <f t="shared" si="34"/>
        <v>102318895 / 0071027097</v>
      </c>
      <c r="F954" s="169" t="s">
        <v>3374</v>
      </c>
      <c r="G954" s="176" t="s">
        <v>381</v>
      </c>
      <c r="H954" s="202" t="s">
        <v>3861</v>
      </c>
      <c r="I954" s="5" t="s">
        <v>5675</v>
      </c>
      <c r="J954" s="5" t="s">
        <v>5673</v>
      </c>
      <c r="K954" s="5" t="str">
        <f t="shared" si="36"/>
        <v>PKA</v>
      </c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</row>
    <row r="955" spans="1:23" x14ac:dyDescent="0.25">
      <c r="A955" s="58" t="str">
        <f t="shared" si="35"/>
        <v>XII KA 514</v>
      </c>
      <c r="B955" s="171">
        <f>COUNTIF(H$2:H955,H955)</f>
        <v>14</v>
      </c>
      <c r="C955" s="201">
        <v>102318897</v>
      </c>
      <c r="D955" s="168" t="s">
        <v>3375</v>
      </c>
      <c r="E955" s="168" t="str">
        <f t="shared" si="34"/>
        <v>102318897 / 0084707089</v>
      </c>
      <c r="F955" s="169" t="s">
        <v>3376</v>
      </c>
      <c r="G955" s="176" t="s">
        <v>379</v>
      </c>
      <c r="H955" s="202" t="s">
        <v>3861</v>
      </c>
      <c r="I955" s="5" t="s">
        <v>5675</v>
      </c>
      <c r="J955" s="5" t="s">
        <v>5673</v>
      </c>
      <c r="K955" s="5" t="str">
        <f t="shared" si="36"/>
        <v>LKA</v>
      </c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</row>
    <row r="956" spans="1:23" x14ac:dyDescent="0.25">
      <c r="A956" s="58" t="str">
        <f t="shared" si="35"/>
        <v>XII KA 515</v>
      </c>
      <c r="B956" s="171">
        <f>COUNTIF(H$2:H956,H956)</f>
        <v>15</v>
      </c>
      <c r="C956" s="201">
        <v>102318898</v>
      </c>
      <c r="D956" s="168" t="s">
        <v>3377</v>
      </c>
      <c r="E956" s="168" t="str">
        <f t="shared" si="34"/>
        <v>102318898 / 0072740728</v>
      </c>
      <c r="F956" s="169" t="s">
        <v>3378</v>
      </c>
      <c r="G956" s="176" t="s">
        <v>379</v>
      </c>
      <c r="H956" s="202" t="s">
        <v>3861</v>
      </c>
      <c r="I956" s="5" t="s">
        <v>5675</v>
      </c>
      <c r="J956" s="5" t="s">
        <v>5673</v>
      </c>
      <c r="K956" s="5" t="str">
        <f t="shared" si="36"/>
        <v>LKA</v>
      </c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</row>
    <row r="957" spans="1:23" x14ac:dyDescent="0.25">
      <c r="A957" s="58" t="str">
        <f t="shared" si="35"/>
        <v>XII KA 516</v>
      </c>
      <c r="B957" s="171">
        <f>COUNTIF(H$2:H957,H957)</f>
        <v>16</v>
      </c>
      <c r="C957" s="201">
        <v>102318899</v>
      </c>
      <c r="D957" s="168" t="s">
        <v>3379</v>
      </c>
      <c r="E957" s="168" t="str">
        <f t="shared" si="34"/>
        <v>102318899 / 0086523589</v>
      </c>
      <c r="F957" s="169" t="s">
        <v>3380</v>
      </c>
      <c r="G957" s="176" t="s">
        <v>381</v>
      </c>
      <c r="H957" s="202" t="s">
        <v>3861</v>
      </c>
      <c r="I957" s="5" t="s">
        <v>5675</v>
      </c>
      <c r="J957" s="5" t="s">
        <v>5673</v>
      </c>
      <c r="K957" s="5" t="str">
        <f t="shared" si="36"/>
        <v>PKA</v>
      </c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</row>
    <row r="958" spans="1:23" x14ac:dyDescent="0.25">
      <c r="A958" s="58" t="str">
        <f t="shared" si="35"/>
        <v>XII KA 517</v>
      </c>
      <c r="B958" s="171">
        <f>COUNTIF(H$2:H958,H958)</f>
        <v>17</v>
      </c>
      <c r="C958" s="201">
        <v>102318900</v>
      </c>
      <c r="D958" s="168" t="s">
        <v>3381</v>
      </c>
      <c r="E958" s="168" t="str">
        <f t="shared" si="34"/>
        <v>102318900 / 0071278183</v>
      </c>
      <c r="F958" s="169" t="s">
        <v>3382</v>
      </c>
      <c r="G958" s="176" t="s">
        <v>379</v>
      </c>
      <c r="H958" s="202" t="s">
        <v>3861</v>
      </c>
      <c r="I958" s="5" t="s">
        <v>5675</v>
      </c>
      <c r="J958" s="5" t="s">
        <v>5673</v>
      </c>
      <c r="K958" s="5" t="str">
        <f t="shared" si="36"/>
        <v>LKA</v>
      </c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</row>
    <row r="959" spans="1:23" x14ac:dyDescent="0.25">
      <c r="A959" s="58" t="str">
        <f t="shared" si="35"/>
        <v>XII KA 518</v>
      </c>
      <c r="B959" s="171">
        <f>COUNTIF(H$2:H959,H959)</f>
        <v>18</v>
      </c>
      <c r="C959" s="195">
        <v>102318901</v>
      </c>
      <c r="D959" s="5" t="s">
        <v>3383</v>
      </c>
      <c r="E959" s="5" t="str">
        <f t="shared" si="34"/>
        <v>102318901 / 0077060411</v>
      </c>
      <c r="F959" s="59" t="s">
        <v>3384</v>
      </c>
      <c r="G959" s="57" t="s">
        <v>379</v>
      </c>
      <c r="H959" s="148" t="s">
        <v>3861</v>
      </c>
      <c r="I959" s="5" t="s">
        <v>5675</v>
      </c>
      <c r="J959" s="5" t="s">
        <v>5673</v>
      </c>
      <c r="K959" s="5" t="str">
        <f t="shared" si="36"/>
        <v>LKA</v>
      </c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</row>
    <row r="960" spans="1:23" x14ac:dyDescent="0.25">
      <c r="A960" s="58" t="str">
        <f t="shared" si="35"/>
        <v>XII KA 519</v>
      </c>
      <c r="B960" s="171">
        <f>COUNTIF(H$2:H960,H960)</f>
        <v>19</v>
      </c>
      <c r="C960" s="195">
        <v>102318902</v>
      </c>
      <c r="D960" s="5" t="s">
        <v>3843</v>
      </c>
      <c r="E960" s="5" t="str">
        <f t="shared" si="34"/>
        <v>102318902 / 0088638903</v>
      </c>
      <c r="F960" s="59" t="s">
        <v>3844</v>
      </c>
      <c r="G960" s="57" t="s">
        <v>379</v>
      </c>
      <c r="H960" s="148" t="s">
        <v>3861</v>
      </c>
      <c r="I960" s="5" t="s">
        <v>5675</v>
      </c>
      <c r="J960" s="5" t="s">
        <v>5673</v>
      </c>
      <c r="K960" s="5" t="str">
        <f t="shared" si="36"/>
        <v>LKA</v>
      </c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</row>
    <row r="961" spans="1:23" x14ac:dyDescent="0.25">
      <c r="A961" s="58" t="str">
        <f t="shared" si="35"/>
        <v>XII KA 520</v>
      </c>
      <c r="B961" s="171">
        <f>COUNTIF(H$2:H961,H961)</f>
        <v>20</v>
      </c>
      <c r="C961" s="195">
        <v>102318903</v>
      </c>
      <c r="D961" s="5" t="s">
        <v>3385</v>
      </c>
      <c r="E961" s="5" t="str">
        <f t="shared" si="34"/>
        <v>102318903 / 0076048777</v>
      </c>
      <c r="F961" s="59" t="s">
        <v>3386</v>
      </c>
      <c r="G961" s="57" t="s">
        <v>381</v>
      </c>
      <c r="H961" s="148" t="s">
        <v>3861</v>
      </c>
      <c r="I961" s="5" t="s">
        <v>5675</v>
      </c>
      <c r="J961" s="5" t="s">
        <v>5673</v>
      </c>
      <c r="K961" s="5" t="str">
        <f t="shared" si="36"/>
        <v>PKA</v>
      </c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</row>
    <row r="962" spans="1:23" x14ac:dyDescent="0.25">
      <c r="A962" s="58" t="str">
        <f t="shared" si="35"/>
        <v>XII KA 521</v>
      </c>
      <c r="B962" s="171">
        <f>COUNTIF(H$2:H962,H962)</f>
        <v>21</v>
      </c>
      <c r="C962" s="195">
        <v>102318904</v>
      </c>
      <c r="D962" s="5" t="s">
        <v>3387</v>
      </c>
      <c r="E962" s="5" t="str">
        <f t="shared" si="34"/>
        <v>102318904 / 0074803913</v>
      </c>
      <c r="F962" s="59" t="s">
        <v>3388</v>
      </c>
      <c r="G962" s="57" t="s">
        <v>379</v>
      </c>
      <c r="H962" s="148" t="s">
        <v>3861</v>
      </c>
      <c r="I962" s="5" t="s">
        <v>5675</v>
      </c>
      <c r="J962" s="5" t="s">
        <v>5673</v>
      </c>
      <c r="K962" s="5" t="str">
        <f t="shared" si="36"/>
        <v>LKA</v>
      </c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</row>
    <row r="963" spans="1:23" x14ac:dyDescent="0.25">
      <c r="A963" s="58" t="str">
        <f t="shared" si="35"/>
        <v>XII KA 522</v>
      </c>
      <c r="B963" s="171">
        <f>COUNTIF(H$2:H963,H963)</f>
        <v>22</v>
      </c>
      <c r="C963" s="195">
        <v>102318905</v>
      </c>
      <c r="D963" s="5" t="s">
        <v>3389</v>
      </c>
      <c r="E963" s="5" t="str">
        <f t="shared" si="34"/>
        <v>102318905 / 0075952951</v>
      </c>
      <c r="F963" s="59" t="s">
        <v>3390</v>
      </c>
      <c r="G963" s="57" t="s">
        <v>381</v>
      </c>
      <c r="H963" s="148" t="s">
        <v>3861</v>
      </c>
      <c r="I963" s="5" t="s">
        <v>5675</v>
      </c>
      <c r="J963" s="5" t="s">
        <v>5673</v>
      </c>
      <c r="K963" s="5" t="str">
        <f t="shared" si="36"/>
        <v>PKA</v>
      </c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</row>
    <row r="964" spans="1:23" x14ac:dyDescent="0.25">
      <c r="A964" s="58" t="str">
        <f t="shared" si="35"/>
        <v>XII KA 523</v>
      </c>
      <c r="B964" s="171">
        <f>COUNTIF(H$2:H964,H964)</f>
        <v>23</v>
      </c>
      <c r="C964" s="195">
        <v>102318906</v>
      </c>
      <c r="D964" s="5" t="s">
        <v>3391</v>
      </c>
      <c r="E964" s="5" t="str">
        <f t="shared" si="34"/>
        <v>102318906 / 0074550036</v>
      </c>
      <c r="F964" s="59" t="s">
        <v>3392</v>
      </c>
      <c r="G964" s="57" t="s">
        <v>381</v>
      </c>
      <c r="H964" s="148" t="s">
        <v>3861</v>
      </c>
      <c r="I964" s="5" t="s">
        <v>5675</v>
      </c>
      <c r="J964" s="5" t="s">
        <v>5673</v>
      </c>
      <c r="K964" s="5" t="str">
        <f t="shared" si="36"/>
        <v>PKA</v>
      </c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</row>
    <row r="965" spans="1:23" x14ac:dyDescent="0.25">
      <c r="A965" s="58" t="str">
        <f t="shared" si="35"/>
        <v>XII KA 524</v>
      </c>
      <c r="B965" s="171">
        <f>COUNTIF(H$2:H965,H965)</f>
        <v>24</v>
      </c>
      <c r="C965" s="195">
        <v>102318907</v>
      </c>
      <c r="D965" s="5" t="s">
        <v>3393</v>
      </c>
      <c r="E965" s="5" t="str">
        <f t="shared" si="34"/>
        <v>102318907 / 0083037301</v>
      </c>
      <c r="F965" s="59" t="s">
        <v>3394</v>
      </c>
      <c r="G965" s="57" t="s">
        <v>381</v>
      </c>
      <c r="H965" s="148" t="s">
        <v>3861</v>
      </c>
      <c r="I965" s="5" t="s">
        <v>5675</v>
      </c>
      <c r="J965" s="5" t="s">
        <v>5673</v>
      </c>
      <c r="K965" s="5" t="str">
        <f t="shared" si="36"/>
        <v>PKA</v>
      </c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</row>
    <row r="966" spans="1:23" x14ac:dyDescent="0.25">
      <c r="A966" s="58" t="str">
        <f t="shared" si="35"/>
        <v>XII KA 525</v>
      </c>
      <c r="B966" s="171">
        <f>COUNTIF(H$2:H966,H966)</f>
        <v>25</v>
      </c>
      <c r="C966" s="195">
        <v>102318908</v>
      </c>
      <c r="D966" s="5" t="s">
        <v>3395</v>
      </c>
      <c r="E966" s="5" t="str">
        <f t="shared" si="34"/>
        <v>102318908 / 0082148661</v>
      </c>
      <c r="F966" s="59" t="s">
        <v>3396</v>
      </c>
      <c r="G966" s="57" t="s">
        <v>381</v>
      </c>
      <c r="H966" s="148" t="s">
        <v>3861</v>
      </c>
      <c r="I966" s="5" t="s">
        <v>5675</v>
      </c>
      <c r="J966" s="5" t="s">
        <v>5673</v>
      </c>
      <c r="K966" s="5" t="str">
        <f t="shared" si="36"/>
        <v>PKA</v>
      </c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</row>
    <row r="967" spans="1:23" x14ac:dyDescent="0.25">
      <c r="A967" s="58" t="str">
        <f t="shared" si="35"/>
        <v>XII KA 526</v>
      </c>
      <c r="B967" s="171">
        <f>COUNTIF(H$2:H967,H967)</f>
        <v>26</v>
      </c>
      <c r="C967" s="195">
        <v>102318909</v>
      </c>
      <c r="D967" s="5" t="s">
        <v>3397</v>
      </c>
      <c r="E967" s="5" t="str">
        <f t="shared" si="34"/>
        <v>102318909 / 0087761530</v>
      </c>
      <c r="F967" s="59" t="s">
        <v>3398</v>
      </c>
      <c r="G967" s="57" t="s">
        <v>379</v>
      </c>
      <c r="H967" s="148" t="s">
        <v>3861</v>
      </c>
      <c r="I967" s="5" t="s">
        <v>5675</v>
      </c>
      <c r="J967" s="5" t="s">
        <v>5673</v>
      </c>
      <c r="K967" s="5" t="str">
        <f t="shared" si="36"/>
        <v>LKA</v>
      </c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</row>
    <row r="968" spans="1:23" x14ac:dyDescent="0.25">
      <c r="A968" s="58" t="str">
        <f t="shared" si="35"/>
        <v>XII KA 527</v>
      </c>
      <c r="B968" s="171">
        <f>COUNTIF(H$2:H968,H968)</f>
        <v>27</v>
      </c>
      <c r="C968" s="195">
        <v>102318910</v>
      </c>
      <c r="D968" s="5" t="s">
        <v>3399</v>
      </c>
      <c r="E968" s="5" t="str">
        <f t="shared" si="34"/>
        <v>102318910 / 0079455637</v>
      </c>
      <c r="F968" s="59" t="s">
        <v>3400</v>
      </c>
      <c r="G968" s="57" t="s">
        <v>381</v>
      </c>
      <c r="H968" s="148" t="s">
        <v>3861</v>
      </c>
      <c r="I968" s="5" t="s">
        <v>5675</v>
      </c>
      <c r="J968" s="5" t="s">
        <v>5673</v>
      </c>
      <c r="K968" s="5" t="str">
        <f t="shared" si="36"/>
        <v>PKA</v>
      </c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</row>
    <row r="969" spans="1:23" x14ac:dyDescent="0.25">
      <c r="A969" s="58" t="str">
        <f t="shared" si="35"/>
        <v>XII KA 528</v>
      </c>
      <c r="B969" s="171">
        <f>COUNTIF(H$2:H969,H969)</f>
        <v>28</v>
      </c>
      <c r="C969" s="195">
        <v>102318911</v>
      </c>
      <c r="D969" s="5" t="s">
        <v>3401</v>
      </c>
      <c r="E969" s="5" t="str">
        <f t="shared" si="34"/>
        <v>102318911 / 0076152564</v>
      </c>
      <c r="F969" s="59" t="s">
        <v>3402</v>
      </c>
      <c r="G969" s="57" t="s">
        <v>381</v>
      </c>
      <c r="H969" s="148" t="s">
        <v>3861</v>
      </c>
      <c r="I969" s="5" t="s">
        <v>5675</v>
      </c>
      <c r="J969" s="5" t="s">
        <v>5673</v>
      </c>
      <c r="K969" s="5" t="str">
        <f t="shared" si="36"/>
        <v>PKA</v>
      </c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</row>
    <row r="970" spans="1:23" x14ac:dyDescent="0.25">
      <c r="A970" s="58" t="str">
        <f t="shared" si="35"/>
        <v>XII KA 529</v>
      </c>
      <c r="B970" s="171">
        <f>COUNTIF(H$2:H970,H970)</f>
        <v>29</v>
      </c>
      <c r="C970" s="195">
        <v>102318912</v>
      </c>
      <c r="D970" s="5" t="s">
        <v>3403</v>
      </c>
      <c r="E970" s="5" t="str">
        <f t="shared" si="34"/>
        <v>102318912 / 0087429415</v>
      </c>
      <c r="F970" s="59" t="s">
        <v>3404</v>
      </c>
      <c r="G970" s="57" t="s">
        <v>379</v>
      </c>
      <c r="H970" s="148" t="s">
        <v>3861</v>
      </c>
      <c r="I970" s="5" t="s">
        <v>5675</v>
      </c>
      <c r="J970" s="5" t="s">
        <v>5673</v>
      </c>
      <c r="K970" s="5" t="str">
        <f t="shared" si="36"/>
        <v>LKA</v>
      </c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</row>
    <row r="971" spans="1:23" x14ac:dyDescent="0.25">
      <c r="A971" s="58" t="str">
        <f t="shared" si="35"/>
        <v>XII KA 530</v>
      </c>
      <c r="B971" s="171">
        <f>COUNTIF(H$2:H971,H971)</f>
        <v>30</v>
      </c>
      <c r="C971" s="195">
        <v>102318913</v>
      </c>
      <c r="D971" s="5" t="s">
        <v>3405</v>
      </c>
      <c r="E971" s="5" t="str">
        <f t="shared" si="34"/>
        <v>102318913 / 0088361461</v>
      </c>
      <c r="F971" s="59" t="s">
        <v>3406</v>
      </c>
      <c r="G971" s="57" t="s">
        <v>381</v>
      </c>
      <c r="H971" s="148" t="s">
        <v>3861</v>
      </c>
      <c r="I971" s="5" t="s">
        <v>5675</v>
      </c>
      <c r="J971" s="5" t="s">
        <v>5673</v>
      </c>
      <c r="K971" s="5" t="str">
        <f t="shared" si="36"/>
        <v>PKA</v>
      </c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</row>
    <row r="972" spans="1:23" x14ac:dyDescent="0.25">
      <c r="A972" s="58" t="str">
        <f t="shared" si="35"/>
        <v>XII KA 531</v>
      </c>
      <c r="B972" s="171">
        <f>COUNTIF(H$2:H972,H972)</f>
        <v>31</v>
      </c>
      <c r="C972" s="195">
        <v>102318914</v>
      </c>
      <c r="D972" s="5" t="s">
        <v>3407</v>
      </c>
      <c r="E972" s="5" t="str">
        <f t="shared" si="34"/>
        <v>102318914 / 0076259081</v>
      </c>
      <c r="F972" s="59" t="s">
        <v>3408</v>
      </c>
      <c r="G972" s="57" t="s">
        <v>381</v>
      </c>
      <c r="H972" s="148" t="s">
        <v>3861</v>
      </c>
      <c r="I972" s="5" t="s">
        <v>5675</v>
      </c>
      <c r="J972" s="5" t="s">
        <v>5673</v>
      </c>
      <c r="K972" s="5" t="str">
        <f t="shared" si="36"/>
        <v>PKA</v>
      </c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</row>
    <row r="973" spans="1:23" x14ac:dyDescent="0.25">
      <c r="A973" s="58" t="str">
        <f t="shared" si="35"/>
        <v>XII KA 532</v>
      </c>
      <c r="B973" s="171">
        <f>COUNTIF(H$2:H973,H973)</f>
        <v>32</v>
      </c>
      <c r="C973" s="195">
        <v>102318915</v>
      </c>
      <c r="D973" s="5" t="s">
        <v>3409</v>
      </c>
      <c r="E973" s="5" t="str">
        <f t="shared" si="34"/>
        <v>102318915 / 0086617146</v>
      </c>
      <c r="F973" s="59" t="s">
        <v>3410</v>
      </c>
      <c r="G973" s="57" t="s">
        <v>381</v>
      </c>
      <c r="H973" s="148" t="s">
        <v>3861</v>
      </c>
      <c r="I973" s="5" t="s">
        <v>5675</v>
      </c>
      <c r="J973" s="5" t="s">
        <v>5673</v>
      </c>
      <c r="K973" s="5" t="str">
        <f t="shared" si="36"/>
        <v>PKA</v>
      </c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</row>
    <row r="974" spans="1:23" x14ac:dyDescent="0.25">
      <c r="A974" s="58" t="str">
        <f t="shared" si="35"/>
        <v>XII KA 533</v>
      </c>
      <c r="B974" s="171">
        <f>COUNTIF(H$2:H974,H974)</f>
        <v>33</v>
      </c>
      <c r="C974" s="195">
        <v>102318916</v>
      </c>
      <c r="D974" s="5" t="s">
        <v>3411</v>
      </c>
      <c r="E974" s="5" t="str">
        <f t="shared" si="34"/>
        <v>102318916 / 0081165467</v>
      </c>
      <c r="F974" s="59" t="s">
        <v>3412</v>
      </c>
      <c r="G974" s="57" t="s">
        <v>381</v>
      </c>
      <c r="H974" s="148" t="s">
        <v>3861</v>
      </c>
      <c r="I974" s="5" t="s">
        <v>5675</v>
      </c>
      <c r="J974" s="5" t="s">
        <v>5673</v>
      </c>
      <c r="K974" s="5" t="str">
        <f t="shared" si="36"/>
        <v>PKA</v>
      </c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</row>
    <row r="975" spans="1:23" x14ac:dyDescent="0.25">
      <c r="A975" s="58" t="str">
        <f t="shared" si="35"/>
        <v>XII KA 534</v>
      </c>
      <c r="B975" s="171">
        <f>COUNTIF(H$2:H975,H975)</f>
        <v>34</v>
      </c>
      <c r="C975" s="195">
        <v>102318917</v>
      </c>
      <c r="D975" s="5" t="s">
        <v>3413</v>
      </c>
      <c r="E975" s="5" t="str">
        <f t="shared" si="34"/>
        <v>102318917 / 0073556428</v>
      </c>
      <c r="F975" s="59" t="s">
        <v>3414</v>
      </c>
      <c r="G975" s="57" t="s">
        <v>381</v>
      </c>
      <c r="H975" s="148" t="s">
        <v>3861</v>
      </c>
      <c r="I975" s="5" t="s">
        <v>5675</v>
      </c>
      <c r="J975" s="5" t="s">
        <v>5673</v>
      </c>
      <c r="K975" s="5" t="str">
        <f t="shared" si="36"/>
        <v>PKA</v>
      </c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</row>
    <row r="976" spans="1:23" x14ac:dyDescent="0.25">
      <c r="A976" s="58" t="str">
        <f t="shared" si="35"/>
        <v>XII KA 535</v>
      </c>
      <c r="B976" s="171">
        <f>COUNTIF(H$2:H976,H976)</f>
        <v>35</v>
      </c>
      <c r="C976" s="195">
        <v>102318918</v>
      </c>
      <c r="D976" s="5" t="s">
        <v>3415</v>
      </c>
      <c r="E976" s="5" t="str">
        <f t="shared" si="34"/>
        <v>102318918 / 0083231183</v>
      </c>
      <c r="F976" s="59" t="s">
        <v>3416</v>
      </c>
      <c r="G976" s="57" t="s">
        <v>381</v>
      </c>
      <c r="H976" s="148" t="s">
        <v>3861</v>
      </c>
      <c r="I976" s="5" t="s">
        <v>5675</v>
      </c>
      <c r="J976" s="5" t="s">
        <v>5673</v>
      </c>
      <c r="K976" s="5" t="str">
        <f t="shared" si="36"/>
        <v>PKA</v>
      </c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</row>
    <row r="977" spans="1:23" x14ac:dyDescent="0.25">
      <c r="A977" s="58" t="str">
        <f t="shared" si="35"/>
        <v>XII KA 61</v>
      </c>
      <c r="B977" s="171">
        <f>COUNTIF(H$2:H977,H977)</f>
        <v>1</v>
      </c>
      <c r="C977" s="195">
        <v>102318920</v>
      </c>
      <c r="D977" s="5" t="s">
        <v>3417</v>
      </c>
      <c r="E977" s="5" t="str">
        <f t="shared" si="34"/>
        <v>102318920 / 0075247381</v>
      </c>
      <c r="F977" s="59" t="s">
        <v>3418</v>
      </c>
      <c r="G977" s="57" t="s">
        <v>381</v>
      </c>
      <c r="H977" s="148" t="s">
        <v>3862</v>
      </c>
      <c r="I977" s="5" t="s">
        <v>5675</v>
      </c>
      <c r="J977" s="5" t="s">
        <v>5673</v>
      </c>
      <c r="K977" s="5" t="str">
        <f t="shared" si="36"/>
        <v>PKA</v>
      </c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</row>
    <row r="978" spans="1:23" x14ac:dyDescent="0.25">
      <c r="A978" s="58" t="str">
        <f t="shared" si="35"/>
        <v>XII KA 62</v>
      </c>
      <c r="B978" s="171">
        <f>COUNTIF(H$2:H978,H978)</f>
        <v>2</v>
      </c>
      <c r="C978" s="195">
        <v>102318921</v>
      </c>
      <c r="D978" s="5" t="s">
        <v>3419</v>
      </c>
      <c r="E978" s="5" t="str">
        <f t="shared" si="34"/>
        <v>102318921 / 0081652544</v>
      </c>
      <c r="F978" s="59" t="s">
        <v>3420</v>
      </c>
      <c r="G978" s="57" t="s">
        <v>381</v>
      </c>
      <c r="H978" s="148" t="s">
        <v>3862</v>
      </c>
      <c r="I978" s="5" t="s">
        <v>5675</v>
      </c>
      <c r="J978" s="5" t="s">
        <v>5673</v>
      </c>
      <c r="K978" s="5" t="str">
        <f t="shared" si="36"/>
        <v>PKA</v>
      </c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</row>
    <row r="979" spans="1:23" x14ac:dyDescent="0.25">
      <c r="A979" s="58" t="str">
        <f t="shared" si="35"/>
        <v>XII KA 63</v>
      </c>
      <c r="B979" s="171">
        <f>COUNTIF(H$2:H979,H979)</f>
        <v>3</v>
      </c>
      <c r="C979" s="195">
        <v>102318922</v>
      </c>
      <c r="D979" s="5" t="s">
        <v>3421</v>
      </c>
      <c r="E979" s="5" t="str">
        <f t="shared" si="34"/>
        <v>102318922 / 0076934440</v>
      </c>
      <c r="F979" s="59" t="s">
        <v>3422</v>
      </c>
      <c r="G979" s="57" t="s">
        <v>381</v>
      </c>
      <c r="H979" s="148" t="s">
        <v>3862</v>
      </c>
      <c r="I979" s="5" t="s">
        <v>5675</v>
      </c>
      <c r="J979" s="5" t="s">
        <v>5673</v>
      </c>
      <c r="K979" s="5" t="str">
        <f t="shared" si="36"/>
        <v>PKA</v>
      </c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</row>
    <row r="980" spans="1:23" x14ac:dyDescent="0.25">
      <c r="A980" s="58" t="str">
        <f t="shared" si="35"/>
        <v>XII KA 64</v>
      </c>
      <c r="B980" s="171">
        <f>COUNTIF(H$2:H980,H980)</f>
        <v>4</v>
      </c>
      <c r="C980" s="195">
        <v>102318923</v>
      </c>
      <c r="D980" s="5" t="s">
        <v>3423</v>
      </c>
      <c r="E980" s="5" t="str">
        <f t="shared" si="34"/>
        <v>102318923 / 0072400972</v>
      </c>
      <c r="F980" s="59" t="s">
        <v>3424</v>
      </c>
      <c r="G980" s="57" t="s">
        <v>381</v>
      </c>
      <c r="H980" s="148" t="s">
        <v>3862</v>
      </c>
      <c r="I980" s="5" t="s">
        <v>5675</v>
      </c>
      <c r="J980" s="5" t="s">
        <v>5673</v>
      </c>
      <c r="K980" s="5" t="str">
        <f t="shared" si="36"/>
        <v>PKA</v>
      </c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</row>
    <row r="981" spans="1:23" x14ac:dyDescent="0.25">
      <c r="A981" s="58" t="str">
        <f t="shared" si="35"/>
        <v>XII KA 65</v>
      </c>
      <c r="B981" s="171">
        <f>COUNTIF(H$2:H981,H981)</f>
        <v>5</v>
      </c>
      <c r="C981" s="195">
        <v>102318924</v>
      </c>
      <c r="D981" s="5" t="s">
        <v>3425</v>
      </c>
      <c r="E981" s="5" t="str">
        <f t="shared" si="34"/>
        <v>102318924 / 0075917366</v>
      </c>
      <c r="F981" s="59" t="s">
        <v>3426</v>
      </c>
      <c r="G981" s="57" t="s">
        <v>381</v>
      </c>
      <c r="H981" s="148" t="s">
        <v>3862</v>
      </c>
      <c r="I981" s="5" t="s">
        <v>5675</v>
      </c>
      <c r="J981" s="5" t="s">
        <v>5673</v>
      </c>
      <c r="K981" s="5" t="str">
        <f t="shared" si="36"/>
        <v>PKA</v>
      </c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</row>
    <row r="982" spans="1:23" x14ac:dyDescent="0.25">
      <c r="A982" s="58" t="str">
        <f t="shared" si="35"/>
        <v>XII KA 66</v>
      </c>
      <c r="B982" s="171">
        <f>COUNTIF(H$2:H982,H982)</f>
        <v>6</v>
      </c>
      <c r="C982" s="195">
        <v>102318925</v>
      </c>
      <c r="D982" s="5" t="s">
        <v>3427</v>
      </c>
      <c r="E982" s="5" t="str">
        <f t="shared" si="34"/>
        <v>102318925 / 0088272844</v>
      </c>
      <c r="F982" s="59" t="s">
        <v>3428</v>
      </c>
      <c r="G982" s="57" t="s">
        <v>381</v>
      </c>
      <c r="H982" s="148" t="s">
        <v>3862</v>
      </c>
      <c r="I982" s="5" t="s">
        <v>5675</v>
      </c>
      <c r="J982" s="5" t="s">
        <v>5673</v>
      </c>
      <c r="K982" s="5" t="str">
        <f t="shared" si="36"/>
        <v>PKA</v>
      </c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</row>
    <row r="983" spans="1:23" x14ac:dyDescent="0.25">
      <c r="A983" s="58" t="str">
        <f t="shared" si="35"/>
        <v>XII KA 67</v>
      </c>
      <c r="B983" s="171">
        <f>COUNTIF(H$2:H983,H983)</f>
        <v>7</v>
      </c>
      <c r="C983" s="195">
        <v>102318926</v>
      </c>
      <c r="D983" s="5" t="s">
        <v>3429</v>
      </c>
      <c r="E983" s="5" t="str">
        <f t="shared" si="34"/>
        <v>102318926 / 0071500862</v>
      </c>
      <c r="F983" s="59" t="s">
        <v>3430</v>
      </c>
      <c r="G983" s="57" t="s">
        <v>381</v>
      </c>
      <c r="H983" s="148" t="s">
        <v>3862</v>
      </c>
      <c r="I983" s="5" t="s">
        <v>5675</v>
      </c>
      <c r="J983" s="5" t="s">
        <v>5673</v>
      </c>
      <c r="K983" s="5" t="str">
        <f t="shared" si="36"/>
        <v>PKA</v>
      </c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</row>
    <row r="984" spans="1:23" x14ac:dyDescent="0.25">
      <c r="A984" s="58" t="str">
        <f t="shared" si="35"/>
        <v>XII KA 68</v>
      </c>
      <c r="B984" s="171">
        <f>COUNTIF(H$2:H984,H984)</f>
        <v>8</v>
      </c>
      <c r="C984" s="195">
        <v>102318927</v>
      </c>
      <c r="D984" s="5" t="s">
        <v>3431</v>
      </c>
      <c r="E984" s="5" t="str">
        <f t="shared" si="34"/>
        <v>102318927 / 0075505029</v>
      </c>
      <c r="F984" s="59" t="s">
        <v>3432</v>
      </c>
      <c r="G984" s="57" t="s">
        <v>381</v>
      </c>
      <c r="H984" s="148" t="s">
        <v>3862</v>
      </c>
      <c r="I984" s="5" t="s">
        <v>5675</v>
      </c>
      <c r="J984" s="5" t="s">
        <v>5673</v>
      </c>
      <c r="K984" s="5" t="str">
        <f t="shared" si="36"/>
        <v>PKA</v>
      </c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</row>
    <row r="985" spans="1:23" x14ac:dyDescent="0.25">
      <c r="A985" s="58" t="str">
        <f t="shared" si="35"/>
        <v>XII KA 69</v>
      </c>
      <c r="B985" s="171">
        <f>COUNTIF(H$2:H985,H985)</f>
        <v>9</v>
      </c>
      <c r="C985" s="195">
        <v>102318928</v>
      </c>
      <c r="D985" s="5" t="s">
        <v>3433</v>
      </c>
      <c r="E985" s="5" t="str">
        <f t="shared" si="34"/>
        <v>102318928 / 0076801224</v>
      </c>
      <c r="F985" s="59" t="s">
        <v>3434</v>
      </c>
      <c r="G985" s="57" t="s">
        <v>381</v>
      </c>
      <c r="H985" s="148" t="s">
        <v>3862</v>
      </c>
      <c r="I985" s="5" t="s">
        <v>5675</v>
      </c>
      <c r="J985" s="5" t="s">
        <v>5673</v>
      </c>
      <c r="K985" s="5" t="str">
        <f t="shared" si="36"/>
        <v>PKA</v>
      </c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</row>
    <row r="986" spans="1:23" x14ac:dyDescent="0.25">
      <c r="A986" s="58" t="str">
        <f t="shared" si="35"/>
        <v>XII KA 610</v>
      </c>
      <c r="B986" s="171">
        <f>COUNTIF(H$2:H986,H986)</f>
        <v>10</v>
      </c>
      <c r="C986" s="195">
        <v>102318930</v>
      </c>
      <c r="D986" s="5" t="s">
        <v>3435</v>
      </c>
      <c r="E986" s="5" t="str">
        <f t="shared" si="34"/>
        <v>102318930 / 0075107827</v>
      </c>
      <c r="F986" s="59" t="s">
        <v>3436</v>
      </c>
      <c r="G986" s="57" t="s">
        <v>381</v>
      </c>
      <c r="H986" s="148" t="s">
        <v>3862</v>
      </c>
      <c r="I986" s="5" t="s">
        <v>5675</v>
      </c>
      <c r="J986" s="5" t="s">
        <v>5673</v>
      </c>
      <c r="K986" s="5" t="str">
        <f t="shared" si="36"/>
        <v>PKA</v>
      </c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</row>
    <row r="987" spans="1:23" x14ac:dyDescent="0.25">
      <c r="A987" s="58" t="str">
        <f t="shared" si="35"/>
        <v>XII KA 611</v>
      </c>
      <c r="B987" s="171">
        <f>COUNTIF(H$2:H987,H987)</f>
        <v>11</v>
      </c>
      <c r="C987" s="195">
        <v>102318931</v>
      </c>
      <c r="D987" s="5" t="s">
        <v>3437</v>
      </c>
      <c r="E987" s="5" t="str">
        <f t="shared" si="34"/>
        <v>102318931 / 0078821648</v>
      </c>
      <c r="F987" s="59" t="s">
        <v>3438</v>
      </c>
      <c r="G987" s="57" t="s">
        <v>381</v>
      </c>
      <c r="H987" s="148" t="s">
        <v>3862</v>
      </c>
      <c r="I987" s="5" t="s">
        <v>5675</v>
      </c>
      <c r="J987" s="5" t="s">
        <v>5673</v>
      </c>
      <c r="K987" s="5" t="str">
        <f t="shared" si="36"/>
        <v>PKA</v>
      </c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</row>
    <row r="988" spans="1:23" x14ac:dyDescent="0.25">
      <c r="A988" s="58" t="str">
        <f t="shared" si="35"/>
        <v>XII KA 612</v>
      </c>
      <c r="B988" s="171">
        <f>COUNTIF(H$2:H988,H988)</f>
        <v>12</v>
      </c>
      <c r="C988" s="195">
        <v>102318932</v>
      </c>
      <c r="D988" s="5" t="s">
        <v>3439</v>
      </c>
      <c r="E988" s="5" t="str">
        <f t="shared" si="34"/>
        <v>102318932 / 0082066322</v>
      </c>
      <c r="F988" s="59" t="s">
        <v>3440</v>
      </c>
      <c r="G988" s="57" t="s">
        <v>381</v>
      </c>
      <c r="H988" s="148" t="s">
        <v>3862</v>
      </c>
      <c r="I988" s="5" t="s">
        <v>5675</v>
      </c>
      <c r="J988" s="5" t="s">
        <v>5673</v>
      </c>
      <c r="K988" s="5" t="str">
        <f t="shared" si="36"/>
        <v>PKA</v>
      </c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</row>
    <row r="989" spans="1:23" x14ac:dyDescent="0.25">
      <c r="A989" s="58" t="str">
        <f t="shared" si="35"/>
        <v>XII KA 613</v>
      </c>
      <c r="B989" s="171">
        <f>COUNTIF(H$2:H989,H989)</f>
        <v>13</v>
      </c>
      <c r="C989" s="195">
        <v>102318933</v>
      </c>
      <c r="D989" s="5" t="s">
        <v>3441</v>
      </c>
      <c r="E989" s="5" t="str">
        <f t="shared" si="34"/>
        <v>102318933 / 0084863083</v>
      </c>
      <c r="F989" s="59" t="s">
        <v>3442</v>
      </c>
      <c r="G989" s="57" t="s">
        <v>381</v>
      </c>
      <c r="H989" s="148" t="s">
        <v>3862</v>
      </c>
      <c r="I989" s="5" t="s">
        <v>5675</v>
      </c>
      <c r="J989" s="5" t="s">
        <v>5673</v>
      </c>
      <c r="K989" s="5" t="str">
        <f t="shared" si="36"/>
        <v>PKA</v>
      </c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</row>
    <row r="990" spans="1:23" x14ac:dyDescent="0.25">
      <c r="A990" s="58" t="str">
        <f t="shared" si="35"/>
        <v>XII KA 614</v>
      </c>
      <c r="B990" s="171">
        <f>COUNTIF(H$2:H990,H990)</f>
        <v>14</v>
      </c>
      <c r="C990" s="195">
        <v>102318934</v>
      </c>
      <c r="D990" s="5" t="s">
        <v>3443</v>
      </c>
      <c r="E990" s="5" t="str">
        <f t="shared" si="34"/>
        <v>102318934 / 0082151321</v>
      </c>
      <c r="F990" s="59" t="s">
        <v>3444</v>
      </c>
      <c r="G990" s="57" t="s">
        <v>379</v>
      </c>
      <c r="H990" s="148" t="s">
        <v>3862</v>
      </c>
      <c r="I990" s="5" t="s">
        <v>5675</v>
      </c>
      <c r="J990" s="5" t="s">
        <v>5673</v>
      </c>
      <c r="K990" s="5" t="str">
        <f t="shared" si="36"/>
        <v>LKA</v>
      </c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</row>
    <row r="991" spans="1:23" x14ac:dyDescent="0.25">
      <c r="A991" s="58" t="str">
        <f t="shared" si="35"/>
        <v>XII KA 615</v>
      </c>
      <c r="B991" s="171">
        <f>COUNTIF(H$2:H991,H991)</f>
        <v>15</v>
      </c>
      <c r="C991" s="195">
        <v>102318935</v>
      </c>
      <c r="D991" s="5" t="s">
        <v>3445</v>
      </c>
      <c r="E991" s="5" t="str">
        <f t="shared" si="34"/>
        <v>102318935 / 0074698309</v>
      </c>
      <c r="F991" s="59" t="s">
        <v>3446</v>
      </c>
      <c r="G991" s="57" t="s">
        <v>379</v>
      </c>
      <c r="H991" s="148" t="s">
        <v>3862</v>
      </c>
      <c r="I991" s="5" t="s">
        <v>5675</v>
      </c>
      <c r="J991" s="5" t="s">
        <v>5673</v>
      </c>
      <c r="K991" s="5" t="str">
        <f t="shared" si="36"/>
        <v>LKA</v>
      </c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</row>
    <row r="992" spans="1:23" x14ac:dyDescent="0.25">
      <c r="A992" s="58" t="str">
        <f t="shared" si="35"/>
        <v>XII KA 616</v>
      </c>
      <c r="B992" s="171">
        <f>COUNTIF(H$2:H992,H992)</f>
        <v>16</v>
      </c>
      <c r="C992" s="195">
        <v>102318937</v>
      </c>
      <c r="D992" s="5" t="s">
        <v>3447</v>
      </c>
      <c r="E992" s="5" t="str">
        <f t="shared" si="34"/>
        <v>102318937 / 0086955126</v>
      </c>
      <c r="F992" s="59" t="s">
        <v>3448</v>
      </c>
      <c r="G992" s="57" t="s">
        <v>379</v>
      </c>
      <c r="H992" s="148" t="s">
        <v>3862</v>
      </c>
      <c r="I992" s="5" t="s">
        <v>5675</v>
      </c>
      <c r="J992" s="5" t="s">
        <v>5673</v>
      </c>
      <c r="K992" s="5" t="str">
        <f t="shared" si="36"/>
        <v>LKA</v>
      </c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</row>
    <row r="993" spans="1:23" x14ac:dyDescent="0.25">
      <c r="A993" s="58" t="str">
        <f t="shared" si="35"/>
        <v>XII KA 617</v>
      </c>
      <c r="B993" s="171">
        <f>COUNTIF(H$2:H993,H993)</f>
        <v>17</v>
      </c>
      <c r="C993" s="195">
        <v>102318938</v>
      </c>
      <c r="D993" s="5" t="s">
        <v>3449</v>
      </c>
      <c r="E993" s="5" t="str">
        <f t="shared" si="34"/>
        <v>102318938 / 0078843246</v>
      </c>
      <c r="F993" s="59" t="s">
        <v>3450</v>
      </c>
      <c r="G993" s="57" t="s">
        <v>379</v>
      </c>
      <c r="H993" s="148" t="s">
        <v>3862</v>
      </c>
      <c r="I993" s="5" t="s">
        <v>5675</v>
      </c>
      <c r="J993" s="5" t="s">
        <v>5673</v>
      </c>
      <c r="K993" s="5" t="str">
        <f t="shared" si="36"/>
        <v>LKA</v>
      </c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</row>
    <row r="994" spans="1:23" x14ac:dyDescent="0.25">
      <c r="A994" s="58" t="str">
        <f t="shared" si="35"/>
        <v>XII KA 618</v>
      </c>
      <c r="B994" s="171">
        <f>COUNTIF(H$2:H994,H994)</f>
        <v>18</v>
      </c>
      <c r="C994" s="195">
        <v>102318939</v>
      </c>
      <c r="D994" s="5" t="s">
        <v>3451</v>
      </c>
      <c r="E994" s="5" t="str">
        <f t="shared" si="34"/>
        <v>102318939 / 0075338762</v>
      </c>
      <c r="F994" s="59" t="s">
        <v>3452</v>
      </c>
      <c r="G994" s="57" t="s">
        <v>379</v>
      </c>
      <c r="H994" s="148" t="s">
        <v>3862</v>
      </c>
      <c r="I994" s="5" t="s">
        <v>5675</v>
      </c>
      <c r="J994" s="5" t="s">
        <v>5673</v>
      </c>
      <c r="K994" s="5" t="str">
        <f t="shared" si="36"/>
        <v>LKA</v>
      </c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</row>
    <row r="995" spans="1:23" x14ac:dyDescent="0.25">
      <c r="A995" s="58" t="str">
        <f t="shared" si="35"/>
        <v>XII KA 619</v>
      </c>
      <c r="B995" s="171">
        <f>COUNTIF(H$2:H995,H995)</f>
        <v>19</v>
      </c>
      <c r="C995" s="195">
        <v>102318940</v>
      </c>
      <c r="D995" s="5" t="s">
        <v>3453</v>
      </c>
      <c r="E995" s="5" t="str">
        <f t="shared" si="34"/>
        <v>102318940 / 0076345533</v>
      </c>
      <c r="F995" s="59" t="s">
        <v>3454</v>
      </c>
      <c r="G995" s="57" t="s">
        <v>379</v>
      </c>
      <c r="H995" s="148" t="s">
        <v>3862</v>
      </c>
      <c r="I995" s="5" t="s">
        <v>5675</v>
      </c>
      <c r="J995" s="5" t="s">
        <v>5673</v>
      </c>
      <c r="K995" s="5" t="str">
        <f t="shared" si="36"/>
        <v>LKA</v>
      </c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</row>
    <row r="996" spans="1:23" x14ac:dyDescent="0.25">
      <c r="A996" s="58" t="str">
        <f t="shared" si="35"/>
        <v>XII KA 620</v>
      </c>
      <c r="B996" s="171">
        <f>COUNTIF(H$2:H996,H996)</f>
        <v>20</v>
      </c>
      <c r="C996" s="195">
        <v>102318941</v>
      </c>
      <c r="D996" s="5" t="s">
        <v>3455</v>
      </c>
      <c r="E996" s="5" t="str">
        <f t="shared" ref="E996:E1057" si="37">C996&amp; " / "&amp; D996</f>
        <v>102318941 / 0081211243</v>
      </c>
      <c r="F996" s="59" t="s">
        <v>3456</v>
      </c>
      <c r="G996" s="57" t="s">
        <v>381</v>
      </c>
      <c r="H996" s="148" t="s">
        <v>3862</v>
      </c>
      <c r="I996" s="5" t="s">
        <v>5675</v>
      </c>
      <c r="J996" s="5" t="s">
        <v>5673</v>
      </c>
      <c r="K996" s="5" t="str">
        <f t="shared" si="36"/>
        <v>PKA</v>
      </c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</row>
    <row r="997" spans="1:23" x14ac:dyDescent="0.25">
      <c r="A997" s="58" t="str">
        <f t="shared" si="35"/>
        <v>XII KA 621</v>
      </c>
      <c r="B997" s="171">
        <f>COUNTIF(H$2:H997,H997)</f>
        <v>21</v>
      </c>
      <c r="C997" s="195">
        <v>102318942</v>
      </c>
      <c r="D997" s="5" t="s">
        <v>3457</v>
      </c>
      <c r="E997" s="5" t="str">
        <f t="shared" si="37"/>
        <v>102318942 / 0071097017</v>
      </c>
      <c r="F997" s="59" t="s">
        <v>3458</v>
      </c>
      <c r="G997" s="57" t="s">
        <v>381</v>
      </c>
      <c r="H997" s="148" t="s">
        <v>3862</v>
      </c>
      <c r="I997" s="5" t="s">
        <v>5675</v>
      </c>
      <c r="J997" s="5" t="s">
        <v>5673</v>
      </c>
      <c r="K997" s="5" t="str">
        <f t="shared" si="36"/>
        <v>PKA</v>
      </c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</row>
    <row r="998" spans="1:23" x14ac:dyDescent="0.25">
      <c r="A998" s="58" t="str">
        <f t="shared" si="35"/>
        <v>XII KA 622</v>
      </c>
      <c r="B998" s="171">
        <f>COUNTIF(H$2:H998,H998)</f>
        <v>22</v>
      </c>
      <c r="C998" s="195">
        <v>102318943</v>
      </c>
      <c r="D998" s="5" t="s">
        <v>3459</v>
      </c>
      <c r="E998" s="5" t="str">
        <f t="shared" si="37"/>
        <v>102318943 / 0085090302</v>
      </c>
      <c r="F998" s="59" t="s">
        <v>3460</v>
      </c>
      <c r="G998" s="57" t="s">
        <v>381</v>
      </c>
      <c r="H998" s="148" t="s">
        <v>3862</v>
      </c>
      <c r="I998" s="5" t="s">
        <v>5675</v>
      </c>
      <c r="J998" s="5" t="s">
        <v>5673</v>
      </c>
      <c r="K998" s="5" t="str">
        <f t="shared" si="36"/>
        <v>PKA</v>
      </c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</row>
    <row r="999" spans="1:23" x14ac:dyDescent="0.25">
      <c r="A999" s="58" t="str">
        <f t="shared" si="35"/>
        <v>XII KA 623</v>
      </c>
      <c r="B999" s="171">
        <f>COUNTIF(H$2:H999,H999)</f>
        <v>23</v>
      </c>
      <c r="C999" s="195">
        <v>102318944</v>
      </c>
      <c r="D999" s="5" t="s">
        <v>3461</v>
      </c>
      <c r="E999" s="5" t="str">
        <f t="shared" si="37"/>
        <v>102318944 / 0073595772</v>
      </c>
      <c r="F999" s="59" t="s">
        <v>3462</v>
      </c>
      <c r="G999" s="57" t="s">
        <v>381</v>
      </c>
      <c r="H999" s="148" t="s">
        <v>3862</v>
      </c>
      <c r="I999" s="5" t="s">
        <v>5675</v>
      </c>
      <c r="J999" s="5" t="s">
        <v>5673</v>
      </c>
      <c r="K999" s="5" t="str">
        <f t="shared" si="36"/>
        <v>PKA</v>
      </c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</row>
    <row r="1000" spans="1:23" x14ac:dyDescent="0.25">
      <c r="A1000" s="58" t="str">
        <f t="shared" si="35"/>
        <v>XII KA 624</v>
      </c>
      <c r="B1000" s="171">
        <f>COUNTIF(H$2:H1000,H1000)</f>
        <v>24</v>
      </c>
      <c r="C1000" s="195">
        <v>102318945</v>
      </c>
      <c r="D1000" s="5" t="s">
        <v>3463</v>
      </c>
      <c r="E1000" s="5" t="str">
        <f t="shared" si="37"/>
        <v>102318945 / 0079998162</v>
      </c>
      <c r="F1000" s="59" t="s">
        <v>3464</v>
      </c>
      <c r="G1000" s="57" t="s">
        <v>381</v>
      </c>
      <c r="H1000" s="148" t="s">
        <v>3862</v>
      </c>
      <c r="I1000" s="5" t="s">
        <v>5675</v>
      </c>
      <c r="J1000" s="5" t="s">
        <v>5673</v>
      </c>
      <c r="K1000" s="5" t="str">
        <f t="shared" si="36"/>
        <v>PKA</v>
      </c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</row>
    <row r="1001" spans="1:23" x14ac:dyDescent="0.25">
      <c r="A1001" s="58" t="str">
        <f t="shared" si="35"/>
        <v>XII KA 625</v>
      </c>
      <c r="B1001" s="171">
        <f>COUNTIF(H$2:H1001,H1001)</f>
        <v>25</v>
      </c>
      <c r="C1001" s="195">
        <v>102318946</v>
      </c>
      <c r="D1001" s="5" t="s">
        <v>3465</v>
      </c>
      <c r="E1001" s="5" t="str">
        <f t="shared" si="37"/>
        <v>102318946 / 0089016673</v>
      </c>
      <c r="F1001" s="59" t="s">
        <v>3466</v>
      </c>
      <c r="G1001" s="57" t="s">
        <v>379</v>
      </c>
      <c r="H1001" s="148" t="s">
        <v>3862</v>
      </c>
      <c r="I1001" s="5" t="s">
        <v>5675</v>
      </c>
      <c r="J1001" s="5" t="s">
        <v>5673</v>
      </c>
      <c r="K1001" s="5" t="str">
        <f t="shared" si="36"/>
        <v>LKA</v>
      </c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</row>
    <row r="1002" spans="1:23" x14ac:dyDescent="0.25">
      <c r="A1002" s="58" t="str">
        <f t="shared" si="35"/>
        <v>XII KA 626</v>
      </c>
      <c r="B1002" s="171">
        <f>COUNTIF(H$2:H1002,H1002)</f>
        <v>26</v>
      </c>
      <c r="C1002" s="195">
        <v>102318947</v>
      </c>
      <c r="D1002" s="5" t="s">
        <v>3467</v>
      </c>
      <c r="E1002" s="5" t="str">
        <f t="shared" si="37"/>
        <v>102318947 / 0084881148</v>
      </c>
      <c r="F1002" s="59" t="s">
        <v>3468</v>
      </c>
      <c r="G1002" s="57" t="s">
        <v>381</v>
      </c>
      <c r="H1002" s="148" t="s">
        <v>3862</v>
      </c>
      <c r="I1002" s="5" t="s">
        <v>5675</v>
      </c>
      <c r="J1002" s="5" t="s">
        <v>5673</v>
      </c>
      <c r="K1002" s="5" t="str">
        <f t="shared" si="36"/>
        <v>PKA</v>
      </c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</row>
    <row r="1003" spans="1:23" x14ac:dyDescent="0.25">
      <c r="A1003" s="58" t="str">
        <f t="shared" ref="A1003:A1066" si="38">H1003&amp;B1003</f>
        <v>XII KA 627</v>
      </c>
      <c r="B1003" s="171">
        <f>COUNTIF(H$2:H1003,H1003)</f>
        <v>27</v>
      </c>
      <c r="C1003" s="195">
        <v>102318948</v>
      </c>
      <c r="D1003" s="5" t="s">
        <v>3469</v>
      </c>
      <c r="E1003" s="5" t="str">
        <f t="shared" si="37"/>
        <v>102318948 / 0088024882</v>
      </c>
      <c r="F1003" s="59" t="s">
        <v>3470</v>
      </c>
      <c r="G1003" s="57" t="s">
        <v>381</v>
      </c>
      <c r="H1003" s="148" t="s">
        <v>3862</v>
      </c>
      <c r="I1003" s="5" t="s">
        <v>5675</v>
      </c>
      <c r="J1003" s="5" t="s">
        <v>5673</v>
      </c>
      <c r="K1003" s="5" t="str">
        <f t="shared" si="36"/>
        <v>PKA</v>
      </c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</row>
    <row r="1004" spans="1:23" x14ac:dyDescent="0.25">
      <c r="A1004" s="58" t="str">
        <f t="shared" si="38"/>
        <v>XII KA 628</v>
      </c>
      <c r="B1004" s="171">
        <f>COUNTIF(H$2:H1004,H1004)</f>
        <v>28</v>
      </c>
      <c r="C1004" s="195">
        <v>102318949</v>
      </c>
      <c r="D1004" s="5" t="s">
        <v>3471</v>
      </c>
      <c r="E1004" s="5" t="str">
        <f t="shared" si="37"/>
        <v>102318949 / 0084794823</v>
      </c>
      <c r="F1004" s="59" t="s">
        <v>3472</v>
      </c>
      <c r="G1004" s="57" t="s">
        <v>381</v>
      </c>
      <c r="H1004" s="148" t="s">
        <v>3862</v>
      </c>
      <c r="I1004" s="5" t="s">
        <v>5675</v>
      </c>
      <c r="J1004" s="5" t="s">
        <v>5673</v>
      </c>
      <c r="K1004" s="5" t="str">
        <f t="shared" si="36"/>
        <v>PKA</v>
      </c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</row>
    <row r="1005" spans="1:23" x14ac:dyDescent="0.25">
      <c r="A1005" s="58" t="str">
        <f t="shared" si="38"/>
        <v>XII KA 629</v>
      </c>
      <c r="B1005" s="171">
        <f>COUNTIF(H$2:H1005,H1005)</f>
        <v>29</v>
      </c>
      <c r="C1005" s="195">
        <v>102318950</v>
      </c>
      <c r="D1005" s="5" t="s">
        <v>3473</v>
      </c>
      <c r="E1005" s="5" t="str">
        <f t="shared" si="37"/>
        <v>102318950 / 0074575647</v>
      </c>
      <c r="F1005" s="59" t="s">
        <v>3474</v>
      </c>
      <c r="G1005" s="57" t="s">
        <v>381</v>
      </c>
      <c r="H1005" s="148" t="s">
        <v>3862</v>
      </c>
      <c r="I1005" s="5" t="s">
        <v>5675</v>
      </c>
      <c r="J1005" s="5" t="s">
        <v>5673</v>
      </c>
      <c r="K1005" s="5" t="str">
        <f t="shared" si="36"/>
        <v>PKA</v>
      </c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</row>
    <row r="1006" spans="1:23" x14ac:dyDescent="0.25">
      <c r="A1006" s="58" t="str">
        <f t="shared" si="38"/>
        <v>XII KA 630</v>
      </c>
      <c r="B1006" s="171">
        <f>COUNTIF(H$2:H1006,H1006)</f>
        <v>30</v>
      </c>
      <c r="C1006" s="195">
        <v>102318951</v>
      </c>
      <c r="D1006" s="5" t="s">
        <v>3475</v>
      </c>
      <c r="E1006" s="5" t="str">
        <f t="shared" si="37"/>
        <v>102318951 / 0084810048</v>
      </c>
      <c r="F1006" s="59" t="s">
        <v>3476</v>
      </c>
      <c r="G1006" s="57" t="s">
        <v>381</v>
      </c>
      <c r="H1006" s="148" t="s">
        <v>3862</v>
      </c>
      <c r="I1006" s="5" t="s">
        <v>5675</v>
      </c>
      <c r="J1006" s="5" t="s">
        <v>5673</v>
      </c>
      <c r="K1006" s="5" t="str">
        <f t="shared" si="36"/>
        <v>PKA</v>
      </c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</row>
    <row r="1007" spans="1:23" x14ac:dyDescent="0.25">
      <c r="A1007" s="58" t="str">
        <f t="shared" si="38"/>
        <v>XII KA 631</v>
      </c>
      <c r="B1007" s="171">
        <f>COUNTIF(H$2:H1007,H1007)</f>
        <v>31</v>
      </c>
      <c r="C1007" s="195">
        <v>102318952</v>
      </c>
      <c r="D1007" s="5" t="s">
        <v>3477</v>
      </c>
      <c r="E1007" s="5" t="str">
        <f t="shared" si="37"/>
        <v>102318952 / 0078012684</v>
      </c>
      <c r="F1007" s="59" t="s">
        <v>3478</v>
      </c>
      <c r="G1007" s="57" t="s">
        <v>379</v>
      </c>
      <c r="H1007" s="148" t="s">
        <v>3862</v>
      </c>
      <c r="I1007" s="5" t="s">
        <v>5675</v>
      </c>
      <c r="J1007" s="5" t="s">
        <v>5673</v>
      </c>
      <c r="K1007" s="5" t="str">
        <f t="shared" si="36"/>
        <v>LKA</v>
      </c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</row>
    <row r="1008" spans="1:23" x14ac:dyDescent="0.25">
      <c r="A1008" s="58" t="str">
        <f t="shared" si="38"/>
        <v>XII KA 632</v>
      </c>
      <c r="B1008" s="171">
        <f>COUNTIF(H$2:H1008,H1008)</f>
        <v>32</v>
      </c>
      <c r="C1008" s="195">
        <v>102318953</v>
      </c>
      <c r="D1008" s="5" t="s">
        <v>3479</v>
      </c>
      <c r="E1008" s="5" t="str">
        <f t="shared" si="37"/>
        <v>102318953 / 0088120650</v>
      </c>
      <c r="F1008" s="59" t="s">
        <v>3480</v>
      </c>
      <c r="G1008" s="57" t="s">
        <v>381</v>
      </c>
      <c r="H1008" s="148" t="s">
        <v>3862</v>
      </c>
      <c r="I1008" s="5" t="s">
        <v>5675</v>
      </c>
      <c r="J1008" s="5" t="s">
        <v>5673</v>
      </c>
      <c r="K1008" s="5" t="str">
        <f t="shared" ref="K1008:K1071" si="39">G1008&amp;J1008</f>
        <v>PKA</v>
      </c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</row>
    <row r="1009" spans="1:23" x14ac:dyDescent="0.25">
      <c r="A1009" s="58" t="str">
        <f t="shared" si="38"/>
        <v>XII KA 633</v>
      </c>
      <c r="B1009" s="171">
        <f>COUNTIF(H$2:H1009,H1009)</f>
        <v>33</v>
      </c>
      <c r="C1009" s="195">
        <v>102318954</v>
      </c>
      <c r="D1009" s="5" t="s">
        <v>3481</v>
      </c>
      <c r="E1009" s="5" t="str">
        <f t="shared" si="37"/>
        <v>102318954 / 0084906908</v>
      </c>
      <c r="F1009" s="59" t="s">
        <v>3482</v>
      </c>
      <c r="G1009" s="57" t="s">
        <v>381</v>
      </c>
      <c r="H1009" s="148" t="s">
        <v>3862</v>
      </c>
      <c r="I1009" s="5" t="s">
        <v>5675</v>
      </c>
      <c r="J1009" s="5" t="s">
        <v>5673</v>
      </c>
      <c r="K1009" s="5" t="str">
        <f t="shared" si="39"/>
        <v>PKA</v>
      </c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</row>
    <row r="1010" spans="1:23" x14ac:dyDescent="0.25">
      <c r="A1010" s="58" t="str">
        <f t="shared" si="38"/>
        <v>XII RPL 11</v>
      </c>
      <c r="B1010" s="171">
        <f>COUNTIF(H$2:H1010,H1010)</f>
        <v>1</v>
      </c>
      <c r="C1010" s="195">
        <v>102318955</v>
      </c>
      <c r="D1010" s="5" t="s">
        <v>3483</v>
      </c>
      <c r="E1010" s="5" t="str">
        <f t="shared" si="37"/>
        <v>102318955 / 0077980820</v>
      </c>
      <c r="F1010" s="88" t="s">
        <v>3484</v>
      </c>
      <c r="G1010" s="57" t="s">
        <v>379</v>
      </c>
      <c r="H1010" s="150" t="s">
        <v>878</v>
      </c>
      <c r="I1010" s="5" t="s">
        <v>5517</v>
      </c>
      <c r="J1010" s="5" t="s">
        <v>5514</v>
      </c>
      <c r="K1010" s="5" t="str">
        <f t="shared" si="39"/>
        <v>LRPL</v>
      </c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</row>
    <row r="1011" spans="1:23" x14ac:dyDescent="0.25">
      <c r="A1011" s="58" t="str">
        <f t="shared" si="38"/>
        <v>XII RPL 12</v>
      </c>
      <c r="B1011" s="171">
        <f>COUNTIF(H$2:H1011,H1011)</f>
        <v>2</v>
      </c>
      <c r="C1011" s="195">
        <v>102318956</v>
      </c>
      <c r="D1011" s="5" t="s">
        <v>3485</v>
      </c>
      <c r="E1011" s="5" t="str">
        <f t="shared" si="37"/>
        <v>102318956 / 0079960589</v>
      </c>
      <c r="F1011" s="88" t="s">
        <v>3486</v>
      </c>
      <c r="G1011" s="57" t="s">
        <v>379</v>
      </c>
      <c r="H1011" s="150" t="s">
        <v>878</v>
      </c>
      <c r="I1011" s="5" t="s">
        <v>5517</v>
      </c>
      <c r="J1011" s="5" t="s">
        <v>5514</v>
      </c>
      <c r="K1011" s="5" t="str">
        <f t="shared" si="39"/>
        <v>LRPL</v>
      </c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  <c r="W1011" s="53"/>
    </row>
    <row r="1012" spans="1:23" x14ac:dyDescent="0.25">
      <c r="A1012" s="58" t="str">
        <f t="shared" si="38"/>
        <v>XII RPL 13</v>
      </c>
      <c r="B1012" s="171">
        <f>COUNTIF(H$2:H1012,H1012)</f>
        <v>3</v>
      </c>
      <c r="C1012" s="195">
        <v>102318958</v>
      </c>
      <c r="D1012" s="5" t="s">
        <v>3488</v>
      </c>
      <c r="E1012" s="5" t="str">
        <f t="shared" si="37"/>
        <v>102318958 / 0089962293</v>
      </c>
      <c r="F1012" s="88" t="s">
        <v>3489</v>
      </c>
      <c r="G1012" s="57" t="s">
        <v>381</v>
      </c>
      <c r="H1012" s="150" t="s">
        <v>878</v>
      </c>
      <c r="I1012" s="5" t="s">
        <v>5517</v>
      </c>
      <c r="J1012" s="5" t="s">
        <v>5514</v>
      </c>
      <c r="K1012" s="5" t="str">
        <f t="shared" si="39"/>
        <v>PRPL</v>
      </c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</row>
    <row r="1013" spans="1:23" x14ac:dyDescent="0.25">
      <c r="A1013" s="58" t="str">
        <f t="shared" si="38"/>
        <v>XII RPL 14</v>
      </c>
      <c r="B1013" s="171">
        <f>COUNTIF(H$2:H1013,H1013)</f>
        <v>4</v>
      </c>
      <c r="C1013" s="195">
        <v>102318959</v>
      </c>
      <c r="D1013" s="5" t="s">
        <v>3490</v>
      </c>
      <c r="E1013" s="5" t="str">
        <f t="shared" si="37"/>
        <v>102318959 / 0084508035</v>
      </c>
      <c r="F1013" s="88" t="s">
        <v>3491</v>
      </c>
      <c r="G1013" s="57" t="s">
        <v>381</v>
      </c>
      <c r="H1013" s="150" t="s">
        <v>878</v>
      </c>
      <c r="I1013" s="5" t="s">
        <v>5517</v>
      </c>
      <c r="J1013" s="5" t="s">
        <v>5514</v>
      </c>
      <c r="K1013" s="5" t="str">
        <f t="shared" si="39"/>
        <v>PRPL</v>
      </c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3"/>
    </row>
    <row r="1014" spans="1:23" x14ac:dyDescent="0.25">
      <c r="A1014" s="58" t="str">
        <f t="shared" si="38"/>
        <v>XII RPL 15</v>
      </c>
      <c r="B1014" s="171">
        <f>COUNTIF(H$2:H1014,H1014)</f>
        <v>5</v>
      </c>
      <c r="C1014" s="195">
        <v>102318960</v>
      </c>
      <c r="D1014" s="5" t="s">
        <v>3492</v>
      </c>
      <c r="E1014" s="5" t="str">
        <f t="shared" si="37"/>
        <v>102318960 / 0076539726</v>
      </c>
      <c r="F1014" s="88" t="s">
        <v>3493</v>
      </c>
      <c r="G1014" s="57" t="s">
        <v>379</v>
      </c>
      <c r="H1014" s="150" t="s">
        <v>878</v>
      </c>
      <c r="I1014" s="5" t="s">
        <v>5517</v>
      </c>
      <c r="J1014" s="5" t="s">
        <v>5514</v>
      </c>
      <c r="K1014" s="5" t="str">
        <f t="shared" si="39"/>
        <v>LRPL</v>
      </c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3"/>
    </row>
    <row r="1015" spans="1:23" x14ac:dyDescent="0.25">
      <c r="A1015" s="58" t="str">
        <f t="shared" si="38"/>
        <v>XII RPL 16</v>
      </c>
      <c r="B1015" s="171">
        <f>COUNTIF(H$2:H1015,H1015)</f>
        <v>6</v>
      </c>
      <c r="C1015" s="195">
        <v>102318961</v>
      </c>
      <c r="D1015" s="5" t="s">
        <v>3494</v>
      </c>
      <c r="E1015" s="5" t="str">
        <f t="shared" si="37"/>
        <v>102318961 / 0088542837</v>
      </c>
      <c r="F1015" s="88" t="s">
        <v>3495</v>
      </c>
      <c r="G1015" s="57" t="s">
        <v>379</v>
      </c>
      <c r="H1015" s="150" t="s">
        <v>878</v>
      </c>
      <c r="I1015" s="5" t="s">
        <v>5517</v>
      </c>
      <c r="J1015" s="5" t="s">
        <v>5514</v>
      </c>
      <c r="K1015" s="5" t="str">
        <f t="shared" si="39"/>
        <v>LRPL</v>
      </c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  <c r="W1015" s="53"/>
    </row>
    <row r="1016" spans="1:23" x14ac:dyDescent="0.25">
      <c r="A1016" s="58" t="str">
        <f t="shared" si="38"/>
        <v>XII RPL 17</v>
      </c>
      <c r="B1016" s="171">
        <f>COUNTIF(H$2:H1016,H1016)</f>
        <v>7</v>
      </c>
      <c r="C1016" s="195">
        <v>102318962</v>
      </c>
      <c r="D1016" s="5" t="s">
        <v>3496</v>
      </c>
      <c r="E1016" s="5" t="str">
        <f t="shared" si="37"/>
        <v>102318962 / 0075496839</v>
      </c>
      <c r="F1016" s="88" t="s">
        <v>3497</v>
      </c>
      <c r="G1016" s="57" t="s">
        <v>379</v>
      </c>
      <c r="H1016" s="150" t="s">
        <v>878</v>
      </c>
      <c r="I1016" s="5" t="s">
        <v>5517</v>
      </c>
      <c r="J1016" s="5" t="s">
        <v>5514</v>
      </c>
      <c r="K1016" s="5" t="str">
        <f t="shared" si="39"/>
        <v>LRPL</v>
      </c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</row>
    <row r="1017" spans="1:23" x14ac:dyDescent="0.25">
      <c r="A1017" s="58" t="str">
        <f t="shared" si="38"/>
        <v>XII RPL 18</v>
      </c>
      <c r="B1017" s="171">
        <f>COUNTIF(H$2:H1017,H1017)</f>
        <v>8</v>
      </c>
      <c r="C1017" s="195">
        <v>102318963</v>
      </c>
      <c r="D1017" s="5" t="s">
        <v>3498</v>
      </c>
      <c r="E1017" s="5" t="str">
        <f t="shared" si="37"/>
        <v>102318963 / 0083512450</v>
      </c>
      <c r="F1017" s="88" t="s">
        <v>3499</v>
      </c>
      <c r="G1017" s="57" t="s">
        <v>379</v>
      </c>
      <c r="H1017" s="150" t="s">
        <v>878</v>
      </c>
      <c r="I1017" s="5" t="s">
        <v>5517</v>
      </c>
      <c r="J1017" s="5" t="s">
        <v>5514</v>
      </c>
      <c r="K1017" s="5" t="str">
        <f t="shared" si="39"/>
        <v>LRPL</v>
      </c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  <c r="W1017" s="53"/>
    </row>
    <row r="1018" spans="1:23" x14ac:dyDescent="0.25">
      <c r="A1018" s="58" t="str">
        <f t="shared" si="38"/>
        <v>XII RPL 19</v>
      </c>
      <c r="B1018" s="171">
        <f>COUNTIF(H$2:H1018,H1018)</f>
        <v>9</v>
      </c>
      <c r="C1018" s="195">
        <v>102318964</v>
      </c>
      <c r="D1018" s="5" t="s">
        <v>3500</v>
      </c>
      <c r="E1018" s="5" t="str">
        <f t="shared" si="37"/>
        <v>102318964 / 0076859975</v>
      </c>
      <c r="F1018" s="88" t="s">
        <v>3501</v>
      </c>
      <c r="G1018" s="57" t="s">
        <v>379</v>
      </c>
      <c r="H1018" s="150" t="s">
        <v>878</v>
      </c>
      <c r="I1018" s="5" t="s">
        <v>5517</v>
      </c>
      <c r="J1018" s="5" t="s">
        <v>5514</v>
      </c>
      <c r="K1018" s="5" t="str">
        <f t="shared" si="39"/>
        <v>LRPL</v>
      </c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  <c r="W1018" s="53"/>
    </row>
    <row r="1019" spans="1:23" x14ac:dyDescent="0.25">
      <c r="A1019" s="58" t="str">
        <f t="shared" si="38"/>
        <v>XII RPL 110</v>
      </c>
      <c r="B1019" s="171">
        <f>COUNTIF(H$2:H1019,H1019)</f>
        <v>10</v>
      </c>
      <c r="C1019" s="195">
        <v>102318965</v>
      </c>
      <c r="D1019" s="5" t="s">
        <v>3502</v>
      </c>
      <c r="E1019" s="5" t="str">
        <f t="shared" si="37"/>
        <v>102318965 / 0072435891</v>
      </c>
      <c r="F1019" s="88" t="s">
        <v>3503</v>
      </c>
      <c r="G1019" s="57" t="s">
        <v>381</v>
      </c>
      <c r="H1019" s="150" t="s">
        <v>878</v>
      </c>
      <c r="I1019" s="5" t="s">
        <v>5517</v>
      </c>
      <c r="J1019" s="5" t="s">
        <v>5514</v>
      </c>
      <c r="K1019" s="5" t="str">
        <f t="shared" si="39"/>
        <v>PRPL</v>
      </c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  <c r="W1019" s="53"/>
    </row>
    <row r="1020" spans="1:23" x14ac:dyDescent="0.25">
      <c r="A1020" s="58" t="str">
        <f t="shared" si="38"/>
        <v>XII RPL 111</v>
      </c>
      <c r="B1020" s="171">
        <f>COUNTIF(H$2:H1020,H1020)</f>
        <v>11</v>
      </c>
      <c r="C1020" s="195">
        <v>102318966</v>
      </c>
      <c r="D1020" s="5" t="s">
        <v>3504</v>
      </c>
      <c r="E1020" s="5" t="str">
        <f t="shared" si="37"/>
        <v>102318966 / 0074265098</v>
      </c>
      <c r="F1020" s="88" t="s">
        <v>3505</v>
      </c>
      <c r="G1020" s="57" t="s">
        <v>379</v>
      </c>
      <c r="H1020" s="150" t="s">
        <v>878</v>
      </c>
      <c r="I1020" s="5" t="s">
        <v>5517</v>
      </c>
      <c r="J1020" s="5" t="s">
        <v>5514</v>
      </c>
      <c r="K1020" s="5" t="str">
        <f t="shared" si="39"/>
        <v>LRPL</v>
      </c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  <c r="W1020" s="53"/>
    </row>
    <row r="1021" spans="1:23" x14ac:dyDescent="0.25">
      <c r="A1021" s="58" t="str">
        <f t="shared" si="38"/>
        <v>XII RPL 112</v>
      </c>
      <c r="B1021" s="171">
        <f>COUNTIF(H$2:H1021,H1021)</f>
        <v>12</v>
      </c>
      <c r="C1021" s="195">
        <v>102318967</v>
      </c>
      <c r="D1021" s="5" t="s">
        <v>3506</v>
      </c>
      <c r="E1021" s="5" t="str">
        <f t="shared" si="37"/>
        <v>102318967 / 0074595453</v>
      </c>
      <c r="F1021" s="88" t="s">
        <v>3507</v>
      </c>
      <c r="G1021" s="57" t="s">
        <v>381</v>
      </c>
      <c r="H1021" s="150" t="s">
        <v>878</v>
      </c>
      <c r="I1021" s="5" t="s">
        <v>5517</v>
      </c>
      <c r="J1021" s="5" t="s">
        <v>5514</v>
      </c>
      <c r="K1021" s="5" t="str">
        <f t="shared" si="39"/>
        <v>PRPL</v>
      </c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  <c r="W1021" s="53"/>
    </row>
    <row r="1022" spans="1:23" x14ac:dyDescent="0.25">
      <c r="A1022" s="58" t="str">
        <f t="shared" si="38"/>
        <v>XII RPL 113</v>
      </c>
      <c r="B1022" s="171">
        <f>COUNTIF(H$2:H1022,H1022)</f>
        <v>13</v>
      </c>
      <c r="C1022" s="195">
        <v>102318968</v>
      </c>
      <c r="D1022" s="5" t="s">
        <v>3508</v>
      </c>
      <c r="E1022" s="5" t="str">
        <f t="shared" si="37"/>
        <v>102318968 / 0085990745</v>
      </c>
      <c r="F1022" s="88" t="s">
        <v>3509</v>
      </c>
      <c r="G1022" s="57" t="s">
        <v>379</v>
      </c>
      <c r="H1022" s="150" t="s">
        <v>878</v>
      </c>
      <c r="I1022" s="5" t="s">
        <v>5517</v>
      </c>
      <c r="J1022" s="5" t="s">
        <v>5514</v>
      </c>
      <c r="K1022" s="5" t="str">
        <f t="shared" si="39"/>
        <v>LRPL</v>
      </c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  <c r="W1022" s="53"/>
    </row>
    <row r="1023" spans="1:23" x14ac:dyDescent="0.25">
      <c r="A1023" s="58" t="str">
        <f t="shared" si="38"/>
        <v>XII RPL 114</v>
      </c>
      <c r="B1023" s="171">
        <f>COUNTIF(H$2:H1023,H1023)</f>
        <v>14</v>
      </c>
      <c r="C1023" s="195">
        <v>102318969</v>
      </c>
      <c r="D1023" s="5" t="s">
        <v>3510</v>
      </c>
      <c r="E1023" s="5" t="str">
        <f t="shared" si="37"/>
        <v>102318969 / 0079975268</v>
      </c>
      <c r="F1023" s="88" t="s">
        <v>3511</v>
      </c>
      <c r="G1023" s="57" t="s">
        <v>379</v>
      </c>
      <c r="H1023" s="150" t="s">
        <v>878</v>
      </c>
      <c r="I1023" s="5" t="s">
        <v>5517</v>
      </c>
      <c r="J1023" s="5" t="s">
        <v>5514</v>
      </c>
      <c r="K1023" s="5" t="str">
        <f t="shared" si="39"/>
        <v>LRPL</v>
      </c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  <c r="W1023" s="53"/>
    </row>
    <row r="1024" spans="1:23" x14ac:dyDescent="0.25">
      <c r="A1024" s="58" t="str">
        <f t="shared" si="38"/>
        <v>XII RPL 115</v>
      </c>
      <c r="B1024" s="171">
        <f>COUNTIF(H$2:H1024,H1024)</f>
        <v>15</v>
      </c>
      <c r="C1024" s="195">
        <v>102318970</v>
      </c>
      <c r="D1024" s="5" t="s">
        <v>3512</v>
      </c>
      <c r="E1024" s="5" t="str">
        <f t="shared" si="37"/>
        <v>102318970 / 0072889132</v>
      </c>
      <c r="F1024" s="88" t="s">
        <v>3513</v>
      </c>
      <c r="G1024" s="57" t="s">
        <v>379</v>
      </c>
      <c r="H1024" s="150" t="s">
        <v>878</v>
      </c>
      <c r="I1024" s="5" t="s">
        <v>5517</v>
      </c>
      <c r="J1024" s="5" t="s">
        <v>5514</v>
      </c>
      <c r="K1024" s="5" t="str">
        <f t="shared" si="39"/>
        <v>LRPL</v>
      </c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  <c r="W1024" s="53"/>
    </row>
    <row r="1025" spans="1:23" x14ac:dyDescent="0.25">
      <c r="A1025" s="58" t="str">
        <f t="shared" si="38"/>
        <v>XII RPL 116</v>
      </c>
      <c r="B1025" s="171">
        <f>COUNTIF(H$2:H1025,H1025)</f>
        <v>16</v>
      </c>
      <c r="C1025" s="195">
        <v>102318971</v>
      </c>
      <c r="D1025" s="5" t="s">
        <v>3514</v>
      </c>
      <c r="E1025" s="5" t="str">
        <f t="shared" si="37"/>
        <v>102318971 / 0079226269</v>
      </c>
      <c r="F1025" s="88" t="s">
        <v>3515</v>
      </c>
      <c r="G1025" s="57" t="s">
        <v>381</v>
      </c>
      <c r="H1025" s="150" t="s">
        <v>878</v>
      </c>
      <c r="I1025" s="5" t="s">
        <v>5517</v>
      </c>
      <c r="J1025" s="5" t="s">
        <v>5514</v>
      </c>
      <c r="K1025" s="5" t="str">
        <f t="shared" si="39"/>
        <v>PRPL</v>
      </c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  <c r="W1025" s="53"/>
    </row>
    <row r="1026" spans="1:23" x14ac:dyDescent="0.25">
      <c r="A1026" s="58" t="str">
        <f t="shared" si="38"/>
        <v>XII RPL 117</v>
      </c>
      <c r="B1026" s="171">
        <f>COUNTIF(H$2:H1026,H1026)</f>
        <v>17</v>
      </c>
      <c r="C1026" s="195">
        <v>102318972</v>
      </c>
      <c r="D1026" s="5" t="s">
        <v>3516</v>
      </c>
      <c r="E1026" s="5" t="str">
        <f t="shared" si="37"/>
        <v>102318972 / 0072223405</v>
      </c>
      <c r="F1026" s="88" t="s">
        <v>3517</v>
      </c>
      <c r="G1026" s="57" t="s">
        <v>381</v>
      </c>
      <c r="H1026" s="150" t="s">
        <v>878</v>
      </c>
      <c r="I1026" s="5" t="s">
        <v>5517</v>
      </c>
      <c r="J1026" s="5" t="s">
        <v>5514</v>
      </c>
      <c r="K1026" s="5" t="str">
        <f t="shared" si="39"/>
        <v>PRPL</v>
      </c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  <c r="W1026" s="53"/>
    </row>
    <row r="1027" spans="1:23" x14ac:dyDescent="0.25">
      <c r="A1027" s="58" t="str">
        <f t="shared" si="38"/>
        <v>XII RPL 118</v>
      </c>
      <c r="B1027" s="171">
        <f>COUNTIF(H$2:H1027,H1027)</f>
        <v>18</v>
      </c>
      <c r="C1027" s="195">
        <v>102318973</v>
      </c>
      <c r="D1027" s="5" t="s">
        <v>3518</v>
      </c>
      <c r="E1027" s="5" t="str">
        <f t="shared" si="37"/>
        <v>102318973 / 0084544230</v>
      </c>
      <c r="F1027" s="88" t="s">
        <v>3519</v>
      </c>
      <c r="G1027" s="57" t="s">
        <v>381</v>
      </c>
      <c r="H1027" s="150" t="s">
        <v>878</v>
      </c>
      <c r="I1027" s="5" t="s">
        <v>5517</v>
      </c>
      <c r="J1027" s="5" t="s">
        <v>5514</v>
      </c>
      <c r="K1027" s="5" t="str">
        <f t="shared" si="39"/>
        <v>PRPL</v>
      </c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  <c r="W1027" s="53"/>
    </row>
    <row r="1028" spans="1:23" x14ac:dyDescent="0.25">
      <c r="A1028" s="58" t="str">
        <f t="shared" si="38"/>
        <v>XII RPL 119</v>
      </c>
      <c r="B1028" s="171">
        <f>COUNTIF(H$2:H1028,H1028)</f>
        <v>19</v>
      </c>
      <c r="C1028" s="195">
        <v>102318974</v>
      </c>
      <c r="D1028" s="5" t="s">
        <v>3520</v>
      </c>
      <c r="E1028" s="5" t="str">
        <f t="shared" si="37"/>
        <v>102318974 / 0089804315</v>
      </c>
      <c r="F1028" s="88" t="s">
        <v>3521</v>
      </c>
      <c r="G1028" s="57" t="s">
        <v>379</v>
      </c>
      <c r="H1028" s="150" t="s">
        <v>878</v>
      </c>
      <c r="I1028" s="5" t="s">
        <v>5517</v>
      </c>
      <c r="J1028" s="5" t="s">
        <v>5514</v>
      </c>
      <c r="K1028" s="5" t="str">
        <f t="shared" si="39"/>
        <v>LRPL</v>
      </c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  <c r="W1028" s="53"/>
    </row>
    <row r="1029" spans="1:23" x14ac:dyDescent="0.25">
      <c r="A1029" s="58" t="str">
        <f t="shared" si="38"/>
        <v>XII RPL 120</v>
      </c>
      <c r="B1029" s="171">
        <f>COUNTIF(H$2:H1029,H1029)</f>
        <v>20</v>
      </c>
      <c r="C1029" s="195">
        <v>102318975</v>
      </c>
      <c r="D1029" s="5" t="s">
        <v>3522</v>
      </c>
      <c r="E1029" s="5" t="str">
        <f t="shared" si="37"/>
        <v>102318975 / 0087406078</v>
      </c>
      <c r="F1029" s="88" t="s">
        <v>3523</v>
      </c>
      <c r="G1029" s="57" t="s">
        <v>379</v>
      </c>
      <c r="H1029" s="150" t="s">
        <v>878</v>
      </c>
      <c r="I1029" s="5" t="s">
        <v>5517</v>
      </c>
      <c r="J1029" s="5" t="s">
        <v>5514</v>
      </c>
      <c r="K1029" s="5" t="str">
        <f t="shared" si="39"/>
        <v>LRPL</v>
      </c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  <c r="W1029" s="53"/>
    </row>
    <row r="1030" spans="1:23" x14ac:dyDescent="0.25">
      <c r="A1030" s="58" t="str">
        <f t="shared" si="38"/>
        <v>XII RPL 121</v>
      </c>
      <c r="B1030" s="171">
        <f>COUNTIF(H$2:H1030,H1030)</f>
        <v>21</v>
      </c>
      <c r="C1030" s="195">
        <v>102318977</v>
      </c>
      <c r="D1030" s="5" t="s">
        <v>3524</v>
      </c>
      <c r="E1030" s="5" t="str">
        <f t="shared" si="37"/>
        <v>102318977 / 0075644524</v>
      </c>
      <c r="F1030" s="88" t="s">
        <v>3525</v>
      </c>
      <c r="G1030" s="57" t="s">
        <v>379</v>
      </c>
      <c r="H1030" s="150" t="s">
        <v>878</v>
      </c>
      <c r="I1030" s="5" t="s">
        <v>5517</v>
      </c>
      <c r="J1030" s="5" t="s">
        <v>5514</v>
      </c>
      <c r="K1030" s="5" t="str">
        <f t="shared" si="39"/>
        <v>LRPL</v>
      </c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  <c r="W1030" s="53"/>
    </row>
    <row r="1031" spans="1:23" x14ac:dyDescent="0.25">
      <c r="A1031" s="58" t="str">
        <f t="shared" si="38"/>
        <v>XII RPL 122</v>
      </c>
      <c r="B1031" s="171">
        <f>COUNTIF(H$2:H1031,H1031)</f>
        <v>22</v>
      </c>
      <c r="C1031" s="195">
        <v>102318977</v>
      </c>
      <c r="D1031" s="5" t="s">
        <v>3526</v>
      </c>
      <c r="E1031" s="5" t="str">
        <f t="shared" si="37"/>
        <v>102318977 / 0079455301</v>
      </c>
      <c r="F1031" s="88" t="s">
        <v>3527</v>
      </c>
      <c r="G1031" s="57" t="s">
        <v>379</v>
      </c>
      <c r="H1031" s="150" t="s">
        <v>878</v>
      </c>
      <c r="I1031" s="5" t="s">
        <v>5517</v>
      </c>
      <c r="J1031" s="5" t="s">
        <v>5514</v>
      </c>
      <c r="K1031" s="5" t="str">
        <f t="shared" si="39"/>
        <v>LRPL</v>
      </c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  <c r="W1031" s="53"/>
    </row>
    <row r="1032" spans="1:23" x14ac:dyDescent="0.25">
      <c r="A1032" s="58" t="str">
        <f t="shared" si="38"/>
        <v>XII RPL 123</v>
      </c>
      <c r="B1032" s="171">
        <f>COUNTIF(H$2:H1032,H1032)</f>
        <v>23</v>
      </c>
      <c r="C1032" s="195">
        <v>102318978</v>
      </c>
      <c r="D1032" s="5" t="s">
        <v>3528</v>
      </c>
      <c r="E1032" s="5" t="str">
        <f t="shared" si="37"/>
        <v>102318978 / 0086781654</v>
      </c>
      <c r="F1032" s="88" t="s">
        <v>3529</v>
      </c>
      <c r="G1032" s="57" t="s">
        <v>379</v>
      </c>
      <c r="H1032" s="150" t="s">
        <v>878</v>
      </c>
      <c r="I1032" s="5" t="s">
        <v>5517</v>
      </c>
      <c r="J1032" s="5" t="s">
        <v>5514</v>
      </c>
      <c r="K1032" s="5" t="str">
        <f t="shared" si="39"/>
        <v>LRPL</v>
      </c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  <c r="W1032" s="53"/>
    </row>
    <row r="1033" spans="1:23" x14ac:dyDescent="0.25">
      <c r="A1033" s="58" t="str">
        <f t="shared" si="38"/>
        <v>XII RPL 124</v>
      </c>
      <c r="B1033" s="171">
        <f>COUNTIF(H$2:H1033,H1033)</f>
        <v>24</v>
      </c>
      <c r="C1033" s="195">
        <v>102318979</v>
      </c>
      <c r="D1033" s="5" t="s">
        <v>3530</v>
      </c>
      <c r="E1033" s="5" t="str">
        <f t="shared" si="37"/>
        <v>102318979 / 0077366569</v>
      </c>
      <c r="F1033" s="88" t="s">
        <v>3531</v>
      </c>
      <c r="G1033" s="57" t="s">
        <v>379</v>
      </c>
      <c r="H1033" s="150" t="s">
        <v>878</v>
      </c>
      <c r="I1033" s="5" t="s">
        <v>5517</v>
      </c>
      <c r="J1033" s="5" t="s">
        <v>5514</v>
      </c>
      <c r="K1033" s="5" t="str">
        <f t="shared" si="39"/>
        <v>LRPL</v>
      </c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  <c r="W1033" s="53"/>
    </row>
    <row r="1034" spans="1:23" x14ac:dyDescent="0.25">
      <c r="A1034" s="58" t="str">
        <f t="shared" si="38"/>
        <v>XII RPL 125</v>
      </c>
      <c r="B1034" s="171">
        <f>COUNTIF(H$2:H1034,H1034)</f>
        <v>25</v>
      </c>
      <c r="C1034" s="195">
        <v>102318980</v>
      </c>
      <c r="D1034" s="5" t="s">
        <v>3735</v>
      </c>
      <c r="E1034" s="5" t="str">
        <f t="shared" si="37"/>
        <v>102318980 / 0078311767</v>
      </c>
      <c r="F1034" s="88" t="s">
        <v>3736</v>
      </c>
      <c r="G1034" s="57" t="s">
        <v>379</v>
      </c>
      <c r="H1034" s="150" t="s">
        <v>878</v>
      </c>
      <c r="I1034" s="5" t="s">
        <v>5517</v>
      </c>
      <c r="J1034" s="5" t="s">
        <v>5514</v>
      </c>
      <c r="K1034" s="5" t="str">
        <f t="shared" si="39"/>
        <v>LRPL</v>
      </c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  <c r="W1034" s="53"/>
    </row>
    <row r="1035" spans="1:23" x14ac:dyDescent="0.25">
      <c r="A1035" s="58" t="str">
        <f t="shared" si="38"/>
        <v>XII RPL 126</v>
      </c>
      <c r="B1035" s="171">
        <f>COUNTIF(H$2:H1035,H1035)</f>
        <v>26</v>
      </c>
      <c r="C1035" s="195">
        <v>102318981</v>
      </c>
      <c r="D1035" s="5" t="s">
        <v>3532</v>
      </c>
      <c r="E1035" s="5" t="str">
        <f t="shared" si="37"/>
        <v>102318981 / 0074272821</v>
      </c>
      <c r="F1035" s="88" t="s">
        <v>3533</v>
      </c>
      <c r="G1035" s="57" t="s">
        <v>379</v>
      </c>
      <c r="H1035" s="150" t="s">
        <v>878</v>
      </c>
      <c r="I1035" s="5" t="s">
        <v>5517</v>
      </c>
      <c r="J1035" s="5" t="s">
        <v>5514</v>
      </c>
      <c r="K1035" s="5" t="str">
        <f t="shared" si="39"/>
        <v>LRPL</v>
      </c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  <c r="W1035" s="53"/>
    </row>
    <row r="1036" spans="1:23" x14ac:dyDescent="0.25">
      <c r="A1036" s="58" t="str">
        <f t="shared" si="38"/>
        <v>XII RPL 127</v>
      </c>
      <c r="B1036" s="171">
        <f>COUNTIF(H$2:H1036,H1036)</f>
        <v>27</v>
      </c>
      <c r="C1036" s="195">
        <v>102318982</v>
      </c>
      <c r="D1036" s="5" t="s">
        <v>3534</v>
      </c>
      <c r="E1036" s="5" t="str">
        <f t="shared" si="37"/>
        <v>102318982 / 3082611104</v>
      </c>
      <c r="F1036" s="88" t="s">
        <v>3535</v>
      </c>
      <c r="G1036" s="57" t="s">
        <v>379</v>
      </c>
      <c r="H1036" s="150" t="s">
        <v>878</v>
      </c>
      <c r="I1036" s="5" t="s">
        <v>5517</v>
      </c>
      <c r="J1036" s="5" t="s">
        <v>5514</v>
      </c>
      <c r="K1036" s="5" t="str">
        <f t="shared" si="39"/>
        <v>LRPL</v>
      </c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  <c r="W1036" s="53"/>
    </row>
    <row r="1037" spans="1:23" x14ac:dyDescent="0.25">
      <c r="A1037" s="58" t="str">
        <f t="shared" si="38"/>
        <v>XII RPL 128</v>
      </c>
      <c r="B1037" s="171">
        <f>COUNTIF(H$2:H1037,H1037)</f>
        <v>28</v>
      </c>
      <c r="C1037" s="195">
        <v>102318983</v>
      </c>
      <c r="D1037" s="5" t="s">
        <v>3536</v>
      </c>
      <c r="E1037" s="5" t="str">
        <f t="shared" si="37"/>
        <v>102318983 / 0073516828</v>
      </c>
      <c r="F1037" s="88" t="s">
        <v>3537</v>
      </c>
      <c r="G1037" s="57" t="s">
        <v>381</v>
      </c>
      <c r="H1037" s="150" t="s">
        <v>878</v>
      </c>
      <c r="I1037" s="5" t="s">
        <v>5517</v>
      </c>
      <c r="J1037" s="5" t="s">
        <v>5514</v>
      </c>
      <c r="K1037" s="5" t="str">
        <f t="shared" si="39"/>
        <v>PRPL</v>
      </c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  <c r="W1037" s="53"/>
    </row>
    <row r="1038" spans="1:23" x14ac:dyDescent="0.25">
      <c r="A1038" s="58" t="str">
        <f t="shared" si="38"/>
        <v>XII RPL 129</v>
      </c>
      <c r="B1038" s="171">
        <f>COUNTIF(H$2:H1038,H1038)</f>
        <v>29</v>
      </c>
      <c r="C1038" s="195">
        <v>102318984</v>
      </c>
      <c r="D1038" s="5" t="s">
        <v>3538</v>
      </c>
      <c r="E1038" s="5" t="str">
        <f t="shared" si="37"/>
        <v>102318984 / 0077659637</v>
      </c>
      <c r="F1038" s="88" t="s">
        <v>3539</v>
      </c>
      <c r="G1038" s="57" t="s">
        <v>379</v>
      </c>
      <c r="H1038" s="150" t="s">
        <v>878</v>
      </c>
      <c r="I1038" s="5" t="s">
        <v>5517</v>
      </c>
      <c r="J1038" s="5" t="s">
        <v>5514</v>
      </c>
      <c r="K1038" s="5" t="str">
        <f t="shared" si="39"/>
        <v>LRPL</v>
      </c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  <c r="W1038" s="53"/>
    </row>
    <row r="1039" spans="1:23" x14ac:dyDescent="0.25">
      <c r="A1039" s="58" t="str">
        <f t="shared" si="38"/>
        <v>XII RPL 130</v>
      </c>
      <c r="B1039" s="171">
        <f>COUNTIF(H$2:H1039,H1039)</f>
        <v>30</v>
      </c>
      <c r="C1039" s="195">
        <v>102318985</v>
      </c>
      <c r="D1039" s="5" t="s">
        <v>3540</v>
      </c>
      <c r="E1039" s="5" t="str">
        <f t="shared" si="37"/>
        <v>102318985 / 0087964467</v>
      </c>
      <c r="F1039" s="88" t="s">
        <v>3541</v>
      </c>
      <c r="G1039" s="57" t="s">
        <v>379</v>
      </c>
      <c r="H1039" s="150" t="s">
        <v>878</v>
      </c>
      <c r="I1039" s="5" t="s">
        <v>5517</v>
      </c>
      <c r="J1039" s="5" t="s">
        <v>5514</v>
      </c>
      <c r="K1039" s="5" t="str">
        <f t="shared" si="39"/>
        <v>LRPL</v>
      </c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  <c r="W1039" s="53"/>
    </row>
    <row r="1040" spans="1:23" x14ac:dyDescent="0.25">
      <c r="A1040" s="58" t="str">
        <f t="shared" si="38"/>
        <v>XII RPL 131</v>
      </c>
      <c r="B1040" s="171">
        <f>COUNTIF(H$2:H1040,H1040)</f>
        <v>31</v>
      </c>
      <c r="C1040" s="195">
        <v>102318986</v>
      </c>
      <c r="D1040" s="5" t="s">
        <v>3542</v>
      </c>
      <c r="E1040" s="5" t="str">
        <f t="shared" si="37"/>
        <v>102318986 / 0076267127</v>
      </c>
      <c r="F1040" s="88" t="s">
        <v>3543</v>
      </c>
      <c r="G1040" s="57" t="s">
        <v>381</v>
      </c>
      <c r="H1040" s="150" t="s">
        <v>878</v>
      </c>
      <c r="I1040" s="5" t="s">
        <v>5517</v>
      </c>
      <c r="J1040" s="5" t="s">
        <v>5514</v>
      </c>
      <c r="K1040" s="5" t="str">
        <f t="shared" si="39"/>
        <v>PRPL</v>
      </c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  <c r="W1040" s="53"/>
    </row>
    <row r="1041" spans="1:23" x14ac:dyDescent="0.25">
      <c r="A1041" s="58" t="str">
        <f t="shared" si="38"/>
        <v>XII RPL 132</v>
      </c>
      <c r="B1041" s="171">
        <f>COUNTIF(H$2:H1041,H1041)</f>
        <v>32</v>
      </c>
      <c r="C1041" s="195">
        <v>102318987</v>
      </c>
      <c r="D1041" s="5" t="s">
        <v>3544</v>
      </c>
      <c r="E1041" s="5" t="str">
        <f t="shared" si="37"/>
        <v>102318987 / 0088736872</v>
      </c>
      <c r="F1041" s="88" t="s">
        <v>3545</v>
      </c>
      <c r="G1041" s="57" t="s">
        <v>381</v>
      </c>
      <c r="H1041" s="150" t="s">
        <v>878</v>
      </c>
      <c r="I1041" s="5" t="s">
        <v>5517</v>
      </c>
      <c r="J1041" s="5" t="s">
        <v>5514</v>
      </c>
      <c r="K1041" s="5" t="str">
        <f t="shared" si="39"/>
        <v>PRPL</v>
      </c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  <c r="W1041" s="53"/>
    </row>
    <row r="1042" spans="1:23" x14ac:dyDescent="0.25">
      <c r="A1042" s="58" t="str">
        <f t="shared" si="38"/>
        <v>XII RPL 133</v>
      </c>
      <c r="B1042" s="171">
        <f>COUNTIF(H$2:H1042,H1042)</f>
        <v>33</v>
      </c>
      <c r="C1042" s="195">
        <v>102318988</v>
      </c>
      <c r="D1042" s="5" t="s">
        <v>3546</v>
      </c>
      <c r="E1042" s="5" t="str">
        <f t="shared" si="37"/>
        <v>102318988 / 0077061719</v>
      </c>
      <c r="F1042" s="88" t="s">
        <v>3547</v>
      </c>
      <c r="G1042" s="57" t="s">
        <v>379</v>
      </c>
      <c r="H1042" s="150" t="s">
        <v>878</v>
      </c>
      <c r="I1042" s="5" t="s">
        <v>5517</v>
      </c>
      <c r="J1042" s="5" t="s">
        <v>5514</v>
      </c>
      <c r="K1042" s="5" t="str">
        <f t="shared" si="39"/>
        <v>LRPL</v>
      </c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  <c r="W1042" s="53"/>
    </row>
    <row r="1043" spans="1:23" x14ac:dyDescent="0.25">
      <c r="A1043" s="58" t="str">
        <f t="shared" si="38"/>
        <v>XII RPL 134</v>
      </c>
      <c r="B1043" s="171">
        <f>COUNTIF(H$2:H1043,H1043)</f>
        <v>34</v>
      </c>
      <c r="C1043" s="195">
        <v>102318989</v>
      </c>
      <c r="D1043" s="5" t="s">
        <v>3548</v>
      </c>
      <c r="E1043" s="5" t="str">
        <f t="shared" si="37"/>
        <v>102318989 / 0075816553</v>
      </c>
      <c r="F1043" s="88" t="s">
        <v>3549</v>
      </c>
      <c r="G1043" s="57" t="s">
        <v>379</v>
      </c>
      <c r="H1043" s="150" t="s">
        <v>878</v>
      </c>
      <c r="I1043" s="5" t="s">
        <v>5517</v>
      </c>
      <c r="J1043" s="5" t="s">
        <v>5514</v>
      </c>
      <c r="K1043" s="5" t="str">
        <f t="shared" si="39"/>
        <v>LRPL</v>
      </c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</row>
    <row r="1044" spans="1:23" x14ac:dyDescent="0.25">
      <c r="A1044" s="58" t="str">
        <f t="shared" si="38"/>
        <v>XII RPL 135</v>
      </c>
      <c r="B1044" s="171">
        <f>COUNTIF(H$2:H1044,H1044)</f>
        <v>35</v>
      </c>
      <c r="C1044" s="195">
        <v>102318990</v>
      </c>
      <c r="D1044" s="5" t="s">
        <v>3550</v>
      </c>
      <c r="E1044" s="5" t="str">
        <f t="shared" si="37"/>
        <v>102318990 / 0075022738</v>
      </c>
      <c r="F1044" s="88" t="s">
        <v>3551</v>
      </c>
      <c r="G1044" s="57" t="s">
        <v>379</v>
      </c>
      <c r="H1044" s="150" t="s">
        <v>878</v>
      </c>
      <c r="I1044" s="5" t="s">
        <v>5517</v>
      </c>
      <c r="J1044" s="5" t="s">
        <v>5514</v>
      </c>
      <c r="K1044" s="5" t="str">
        <f t="shared" si="39"/>
        <v>LRPL</v>
      </c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  <c r="W1044" s="53"/>
    </row>
    <row r="1045" spans="1:23" x14ac:dyDescent="0.25">
      <c r="A1045" s="58" t="str">
        <f t="shared" si="38"/>
        <v>XII RPL 21</v>
      </c>
      <c r="B1045" s="171">
        <f>COUNTIF(H$2:H1045,H1045)</f>
        <v>1</v>
      </c>
      <c r="C1045" s="195">
        <v>102318991</v>
      </c>
      <c r="D1045" s="5" t="s">
        <v>3552</v>
      </c>
      <c r="E1045" s="5" t="str">
        <f t="shared" si="37"/>
        <v>102318991 / 0085340711</v>
      </c>
      <c r="F1045" s="88" t="s">
        <v>3553</v>
      </c>
      <c r="G1045" s="57" t="s">
        <v>379</v>
      </c>
      <c r="H1045" s="150" t="s">
        <v>854</v>
      </c>
      <c r="I1045" s="5" t="s">
        <v>5517</v>
      </c>
      <c r="J1045" s="5" t="s">
        <v>5514</v>
      </c>
      <c r="K1045" s="5" t="str">
        <f t="shared" si="39"/>
        <v>LRPL</v>
      </c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  <c r="W1045" s="53"/>
    </row>
    <row r="1046" spans="1:23" x14ac:dyDescent="0.25">
      <c r="A1046" s="58" t="str">
        <f t="shared" si="38"/>
        <v>XII RPL 22</v>
      </c>
      <c r="B1046" s="171">
        <f>COUNTIF(H$2:H1046,H1046)</f>
        <v>2</v>
      </c>
      <c r="C1046" s="195">
        <v>102318992</v>
      </c>
      <c r="D1046" s="5" t="s">
        <v>3554</v>
      </c>
      <c r="E1046" s="5" t="str">
        <f t="shared" si="37"/>
        <v>102318992 / 0088510176</v>
      </c>
      <c r="F1046" s="59" t="s">
        <v>3555</v>
      </c>
      <c r="G1046" s="57" t="s">
        <v>379</v>
      </c>
      <c r="H1046" s="150" t="s">
        <v>854</v>
      </c>
      <c r="I1046" s="5" t="s">
        <v>5517</v>
      </c>
      <c r="J1046" s="5" t="s">
        <v>5514</v>
      </c>
      <c r="K1046" s="5" t="str">
        <f t="shared" si="39"/>
        <v>LRPL</v>
      </c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  <c r="W1046" s="53"/>
    </row>
    <row r="1047" spans="1:23" x14ac:dyDescent="0.25">
      <c r="A1047" s="58" t="str">
        <f t="shared" si="38"/>
        <v>XII RPL 23</v>
      </c>
      <c r="B1047" s="171">
        <f>COUNTIF(H$2:H1047,H1047)</f>
        <v>3</v>
      </c>
      <c r="C1047" s="195">
        <v>102318993</v>
      </c>
      <c r="D1047" s="5" t="s">
        <v>3556</v>
      </c>
      <c r="E1047" s="5" t="str">
        <f t="shared" si="37"/>
        <v>102318993 / 0086406839</v>
      </c>
      <c r="F1047" s="59" t="s">
        <v>3557</v>
      </c>
      <c r="G1047" s="57" t="s">
        <v>381</v>
      </c>
      <c r="H1047" s="150" t="s">
        <v>854</v>
      </c>
      <c r="I1047" s="5" t="s">
        <v>5517</v>
      </c>
      <c r="J1047" s="5" t="s">
        <v>5514</v>
      </c>
      <c r="K1047" s="5" t="str">
        <f t="shared" si="39"/>
        <v>PRPL</v>
      </c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  <c r="W1047" s="53"/>
    </row>
    <row r="1048" spans="1:23" x14ac:dyDescent="0.25">
      <c r="A1048" s="58" t="str">
        <f t="shared" si="38"/>
        <v>XII RPL 24</v>
      </c>
      <c r="B1048" s="171">
        <f>COUNTIF(H$2:H1048,H1048)</f>
        <v>4</v>
      </c>
      <c r="C1048" s="195">
        <v>102318994</v>
      </c>
      <c r="D1048" s="5" t="s">
        <v>3558</v>
      </c>
      <c r="E1048" s="5" t="str">
        <f t="shared" si="37"/>
        <v>102318994 / 0076496453</v>
      </c>
      <c r="F1048" s="59" t="s">
        <v>3559</v>
      </c>
      <c r="G1048" s="57" t="s">
        <v>379</v>
      </c>
      <c r="H1048" s="150" t="s">
        <v>854</v>
      </c>
      <c r="I1048" s="5" t="s">
        <v>5517</v>
      </c>
      <c r="J1048" s="5" t="s">
        <v>5514</v>
      </c>
      <c r="K1048" s="5" t="str">
        <f t="shared" si="39"/>
        <v>LRPL</v>
      </c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  <c r="W1048" s="53"/>
    </row>
    <row r="1049" spans="1:23" x14ac:dyDescent="0.25">
      <c r="A1049" s="58" t="str">
        <f t="shared" si="38"/>
        <v>XII RPL 25</v>
      </c>
      <c r="B1049" s="171">
        <f>COUNTIF(H$2:H1049,H1049)</f>
        <v>5</v>
      </c>
      <c r="C1049" s="195">
        <v>102318995</v>
      </c>
      <c r="D1049" s="5" t="s">
        <v>3560</v>
      </c>
      <c r="E1049" s="5" t="str">
        <f t="shared" si="37"/>
        <v>102318995 / 0076749939</v>
      </c>
      <c r="F1049" s="59" t="s">
        <v>3561</v>
      </c>
      <c r="G1049" s="57" t="s">
        <v>379</v>
      </c>
      <c r="H1049" s="150" t="s">
        <v>854</v>
      </c>
      <c r="I1049" s="5" t="s">
        <v>5517</v>
      </c>
      <c r="J1049" s="5" t="s">
        <v>5514</v>
      </c>
      <c r="K1049" s="5" t="str">
        <f t="shared" si="39"/>
        <v>LRPL</v>
      </c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  <c r="W1049" s="53"/>
    </row>
    <row r="1050" spans="1:23" x14ac:dyDescent="0.25">
      <c r="A1050" s="58" t="str">
        <f t="shared" si="38"/>
        <v>XII RPL 26</v>
      </c>
      <c r="B1050" s="171">
        <f>COUNTIF(H$2:H1050,H1050)</f>
        <v>6</v>
      </c>
      <c r="C1050" s="195">
        <v>102318996</v>
      </c>
      <c r="D1050" s="5" t="s">
        <v>3562</v>
      </c>
      <c r="E1050" s="5" t="str">
        <f t="shared" si="37"/>
        <v>102318996 / 0078492820</v>
      </c>
      <c r="F1050" s="59" t="s">
        <v>3563</v>
      </c>
      <c r="G1050" s="57" t="s">
        <v>381</v>
      </c>
      <c r="H1050" s="150" t="s">
        <v>854</v>
      </c>
      <c r="I1050" s="5" t="s">
        <v>5517</v>
      </c>
      <c r="J1050" s="5" t="s">
        <v>5514</v>
      </c>
      <c r="K1050" s="5" t="str">
        <f t="shared" si="39"/>
        <v>PRPL</v>
      </c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  <c r="W1050" s="53"/>
    </row>
    <row r="1051" spans="1:23" x14ac:dyDescent="0.25">
      <c r="A1051" s="58" t="str">
        <f t="shared" si="38"/>
        <v>XII RPL 27</v>
      </c>
      <c r="B1051" s="171">
        <f>COUNTIF(H$2:H1051,H1051)</f>
        <v>7</v>
      </c>
      <c r="C1051" s="195">
        <v>102318997</v>
      </c>
      <c r="D1051" s="5" t="s">
        <v>3564</v>
      </c>
      <c r="E1051" s="5" t="str">
        <f t="shared" si="37"/>
        <v>102318997 / 0074325501</v>
      </c>
      <c r="F1051" s="59" t="s">
        <v>3565</v>
      </c>
      <c r="G1051" s="57" t="s">
        <v>379</v>
      </c>
      <c r="H1051" s="150" t="s">
        <v>854</v>
      </c>
      <c r="I1051" s="5" t="s">
        <v>5517</v>
      </c>
      <c r="J1051" s="5" t="s">
        <v>5514</v>
      </c>
      <c r="K1051" s="5" t="str">
        <f t="shared" si="39"/>
        <v>LRPL</v>
      </c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  <c r="W1051" s="53"/>
    </row>
    <row r="1052" spans="1:23" x14ac:dyDescent="0.25">
      <c r="A1052" s="58" t="str">
        <f t="shared" si="38"/>
        <v>XII RPL 28</v>
      </c>
      <c r="B1052" s="171">
        <f>COUNTIF(H$2:H1052,H1052)</f>
        <v>8</v>
      </c>
      <c r="C1052" s="195">
        <v>102318998</v>
      </c>
      <c r="D1052" s="5" t="s">
        <v>3566</v>
      </c>
      <c r="E1052" s="5" t="str">
        <f t="shared" si="37"/>
        <v>102318998 / 0071977413</v>
      </c>
      <c r="F1052" s="59" t="s">
        <v>3567</v>
      </c>
      <c r="G1052" s="57" t="s">
        <v>379</v>
      </c>
      <c r="H1052" s="150" t="s">
        <v>854</v>
      </c>
      <c r="I1052" s="5" t="s">
        <v>5517</v>
      </c>
      <c r="J1052" s="5" t="s">
        <v>5514</v>
      </c>
      <c r="K1052" s="5" t="str">
        <f t="shared" si="39"/>
        <v>LRPL</v>
      </c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  <c r="W1052" s="53"/>
    </row>
    <row r="1053" spans="1:23" x14ac:dyDescent="0.25">
      <c r="A1053" s="58" t="str">
        <f t="shared" si="38"/>
        <v>XII RPL 29</v>
      </c>
      <c r="B1053" s="171">
        <f>COUNTIF(H$2:H1053,H1053)</f>
        <v>9</v>
      </c>
      <c r="C1053" s="195">
        <v>102318999</v>
      </c>
      <c r="D1053" s="5" t="s">
        <v>3568</v>
      </c>
      <c r="E1053" s="5" t="str">
        <f t="shared" si="37"/>
        <v>102318999 / 0083206263</v>
      </c>
      <c r="F1053" s="59" t="s">
        <v>3569</v>
      </c>
      <c r="G1053" s="57" t="s">
        <v>379</v>
      </c>
      <c r="H1053" s="150" t="s">
        <v>854</v>
      </c>
      <c r="I1053" s="5" t="s">
        <v>5517</v>
      </c>
      <c r="J1053" s="5" t="s">
        <v>5514</v>
      </c>
      <c r="K1053" s="5" t="str">
        <f t="shared" si="39"/>
        <v>LRPL</v>
      </c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  <c r="W1053" s="53"/>
    </row>
    <row r="1054" spans="1:23" x14ac:dyDescent="0.25">
      <c r="A1054" s="58" t="str">
        <f t="shared" si="38"/>
        <v>XII RPL 210</v>
      </c>
      <c r="B1054" s="171">
        <f>COUNTIF(H$2:H1054,H1054)</f>
        <v>10</v>
      </c>
      <c r="C1054" s="195">
        <v>102319000</v>
      </c>
      <c r="D1054" s="5" t="s">
        <v>3570</v>
      </c>
      <c r="E1054" s="5" t="str">
        <f t="shared" si="37"/>
        <v>102319000 / 0089020959</v>
      </c>
      <c r="F1054" s="59" t="s">
        <v>3571</v>
      </c>
      <c r="G1054" s="57" t="s">
        <v>379</v>
      </c>
      <c r="H1054" s="150" t="s">
        <v>854</v>
      </c>
      <c r="I1054" s="5" t="s">
        <v>5517</v>
      </c>
      <c r="J1054" s="5" t="s">
        <v>5514</v>
      </c>
      <c r="K1054" s="5" t="str">
        <f t="shared" si="39"/>
        <v>LRPL</v>
      </c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  <c r="W1054" s="53"/>
    </row>
    <row r="1055" spans="1:23" x14ac:dyDescent="0.25">
      <c r="A1055" s="58" t="str">
        <f t="shared" si="38"/>
        <v>XII RPL 211</v>
      </c>
      <c r="B1055" s="171">
        <f>COUNTIF(H$2:H1055,H1055)</f>
        <v>11</v>
      </c>
      <c r="C1055" s="195">
        <v>102319001</v>
      </c>
      <c r="D1055" s="5" t="s">
        <v>3572</v>
      </c>
      <c r="E1055" s="5" t="str">
        <f t="shared" si="37"/>
        <v>102319001 / 0075828721</v>
      </c>
      <c r="F1055" s="59" t="s">
        <v>3573</v>
      </c>
      <c r="G1055" s="57" t="s">
        <v>381</v>
      </c>
      <c r="H1055" s="150" t="s">
        <v>854</v>
      </c>
      <c r="I1055" s="5" t="s">
        <v>5517</v>
      </c>
      <c r="J1055" s="5" t="s">
        <v>5514</v>
      </c>
      <c r="K1055" s="5" t="str">
        <f t="shared" si="39"/>
        <v>PRPL</v>
      </c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  <c r="W1055" s="53"/>
    </row>
    <row r="1056" spans="1:23" x14ac:dyDescent="0.25">
      <c r="A1056" s="58" t="str">
        <f t="shared" si="38"/>
        <v>XII RPL 212</v>
      </c>
      <c r="B1056" s="171">
        <f>COUNTIF(H$2:H1056,H1056)</f>
        <v>12</v>
      </c>
      <c r="C1056" s="195">
        <v>102319002</v>
      </c>
      <c r="D1056" s="5" t="s">
        <v>3574</v>
      </c>
      <c r="E1056" s="5" t="str">
        <f t="shared" si="37"/>
        <v>102319002 / 0086107477</v>
      </c>
      <c r="F1056" s="59" t="s">
        <v>3575</v>
      </c>
      <c r="G1056" s="57" t="s">
        <v>381</v>
      </c>
      <c r="H1056" s="150" t="s">
        <v>854</v>
      </c>
      <c r="I1056" s="5" t="s">
        <v>5517</v>
      </c>
      <c r="J1056" s="5" t="s">
        <v>5514</v>
      </c>
      <c r="K1056" s="5" t="str">
        <f t="shared" si="39"/>
        <v>PRPL</v>
      </c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  <c r="W1056" s="53"/>
    </row>
    <row r="1057" spans="1:23" x14ac:dyDescent="0.25">
      <c r="A1057" s="58" t="str">
        <f t="shared" si="38"/>
        <v>XII RPL 213</v>
      </c>
      <c r="B1057" s="171">
        <f>COUNTIF(H$2:H1057,H1057)</f>
        <v>13</v>
      </c>
      <c r="C1057" s="195">
        <v>102319003</v>
      </c>
      <c r="D1057" s="5" t="s">
        <v>3576</v>
      </c>
      <c r="E1057" s="5" t="str">
        <f t="shared" si="37"/>
        <v>102319003 / 0079066763</v>
      </c>
      <c r="F1057" s="59" t="s">
        <v>3577</v>
      </c>
      <c r="G1057" s="57" t="s">
        <v>381</v>
      </c>
      <c r="H1057" s="150" t="s">
        <v>854</v>
      </c>
      <c r="I1057" s="5" t="s">
        <v>5517</v>
      </c>
      <c r="J1057" s="5" t="s">
        <v>5514</v>
      </c>
      <c r="K1057" s="5" t="str">
        <f t="shared" si="39"/>
        <v>PRPL</v>
      </c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  <c r="W1057" s="53"/>
    </row>
    <row r="1058" spans="1:23" x14ac:dyDescent="0.25">
      <c r="A1058" s="58" t="str">
        <f t="shared" si="38"/>
        <v>XII RPL 214</v>
      </c>
      <c r="B1058" s="171">
        <f>COUNTIF(H$2:H1058,H1058)</f>
        <v>14</v>
      </c>
      <c r="C1058" s="195">
        <v>102319004</v>
      </c>
      <c r="D1058" s="5" t="s">
        <v>3578</v>
      </c>
      <c r="E1058" s="5" t="str">
        <f t="shared" ref="E1058:E1119" si="40">C1058&amp; " / "&amp; D1058</f>
        <v>102319004 / 3084332395</v>
      </c>
      <c r="F1058" s="59" t="s">
        <v>3579</v>
      </c>
      <c r="G1058" s="57" t="s">
        <v>381</v>
      </c>
      <c r="H1058" s="150" t="s">
        <v>854</v>
      </c>
      <c r="I1058" s="5" t="s">
        <v>5517</v>
      </c>
      <c r="J1058" s="5" t="s">
        <v>5514</v>
      </c>
      <c r="K1058" s="5" t="str">
        <f t="shared" si="39"/>
        <v>PRPL</v>
      </c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  <c r="W1058" s="53"/>
    </row>
    <row r="1059" spans="1:23" x14ac:dyDescent="0.25">
      <c r="A1059" s="58" t="str">
        <f t="shared" si="38"/>
        <v>XII RPL 215</v>
      </c>
      <c r="B1059" s="171">
        <f>COUNTIF(H$2:H1059,H1059)</f>
        <v>15</v>
      </c>
      <c r="C1059" s="195">
        <v>102319005</v>
      </c>
      <c r="D1059" s="5" t="s">
        <v>3580</v>
      </c>
      <c r="E1059" s="5" t="str">
        <f t="shared" si="40"/>
        <v>102319005 / 0088938197</v>
      </c>
      <c r="F1059" s="59" t="s">
        <v>3581</v>
      </c>
      <c r="G1059" s="57" t="s">
        <v>379</v>
      </c>
      <c r="H1059" s="150" t="s">
        <v>854</v>
      </c>
      <c r="I1059" s="5" t="s">
        <v>5517</v>
      </c>
      <c r="J1059" s="5" t="s">
        <v>5514</v>
      </c>
      <c r="K1059" s="5" t="str">
        <f t="shared" si="39"/>
        <v>LRPL</v>
      </c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  <c r="W1059" s="53"/>
    </row>
    <row r="1060" spans="1:23" x14ac:dyDescent="0.25">
      <c r="A1060" s="58" t="str">
        <f t="shared" si="38"/>
        <v>XII RPL 216</v>
      </c>
      <c r="B1060" s="171">
        <f>COUNTIF(H$2:H1060,H1060)</f>
        <v>16</v>
      </c>
      <c r="C1060" s="195">
        <v>102319006</v>
      </c>
      <c r="D1060" s="5" t="s">
        <v>3582</v>
      </c>
      <c r="E1060" s="5" t="str">
        <f t="shared" si="40"/>
        <v>102319006 / 0072069739</v>
      </c>
      <c r="F1060" s="59" t="s">
        <v>3583</v>
      </c>
      <c r="G1060" s="57" t="s">
        <v>379</v>
      </c>
      <c r="H1060" s="150" t="s">
        <v>854</v>
      </c>
      <c r="I1060" s="5" t="s">
        <v>5517</v>
      </c>
      <c r="J1060" s="5" t="s">
        <v>5514</v>
      </c>
      <c r="K1060" s="5" t="str">
        <f t="shared" si="39"/>
        <v>LRPL</v>
      </c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  <c r="W1060" s="53"/>
    </row>
    <row r="1061" spans="1:23" x14ac:dyDescent="0.25">
      <c r="A1061" s="58" t="str">
        <f t="shared" si="38"/>
        <v>XII RPL 217</v>
      </c>
      <c r="B1061" s="171">
        <f>COUNTIF(H$2:H1061,H1061)</f>
        <v>17</v>
      </c>
      <c r="C1061" s="195">
        <v>102319007</v>
      </c>
      <c r="D1061" s="5" t="s">
        <v>3584</v>
      </c>
      <c r="E1061" s="5" t="str">
        <f t="shared" si="40"/>
        <v>102319007 / 0082713327</v>
      </c>
      <c r="F1061" s="59" t="s">
        <v>3585</v>
      </c>
      <c r="G1061" s="57" t="s">
        <v>379</v>
      </c>
      <c r="H1061" s="150" t="s">
        <v>854</v>
      </c>
      <c r="I1061" s="5" t="s">
        <v>5517</v>
      </c>
      <c r="J1061" s="5" t="s">
        <v>5514</v>
      </c>
      <c r="K1061" s="5" t="str">
        <f t="shared" si="39"/>
        <v>LRPL</v>
      </c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  <c r="W1061" s="53"/>
    </row>
    <row r="1062" spans="1:23" x14ac:dyDescent="0.25">
      <c r="A1062" s="58" t="str">
        <f t="shared" si="38"/>
        <v>XII RPL 218</v>
      </c>
      <c r="B1062" s="171">
        <f>COUNTIF(H$2:H1062,H1062)</f>
        <v>18</v>
      </c>
      <c r="C1062" s="195">
        <v>102319008</v>
      </c>
      <c r="D1062" s="5" t="s">
        <v>3586</v>
      </c>
      <c r="E1062" s="5" t="str">
        <f t="shared" si="40"/>
        <v>102319008 / 0077256308</v>
      </c>
      <c r="F1062" s="59" t="s">
        <v>3587</v>
      </c>
      <c r="G1062" s="57" t="s">
        <v>379</v>
      </c>
      <c r="H1062" s="150" t="s">
        <v>854</v>
      </c>
      <c r="I1062" s="5" t="s">
        <v>5517</v>
      </c>
      <c r="J1062" s="5" t="s">
        <v>5514</v>
      </c>
      <c r="K1062" s="5" t="str">
        <f t="shared" si="39"/>
        <v>LRPL</v>
      </c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  <c r="W1062" s="53"/>
    </row>
    <row r="1063" spans="1:23" x14ac:dyDescent="0.25">
      <c r="A1063" s="58" t="str">
        <f t="shared" si="38"/>
        <v>XII RPL 219</v>
      </c>
      <c r="B1063" s="171">
        <f>COUNTIF(H$2:H1063,H1063)</f>
        <v>19</v>
      </c>
      <c r="C1063" s="195">
        <v>102319009</v>
      </c>
      <c r="D1063" s="5" t="s">
        <v>3588</v>
      </c>
      <c r="E1063" s="5" t="str">
        <f t="shared" si="40"/>
        <v>102319009 / 0086816679</v>
      </c>
      <c r="F1063" s="59" t="s">
        <v>3589</v>
      </c>
      <c r="G1063" s="57" t="s">
        <v>379</v>
      </c>
      <c r="H1063" s="150" t="s">
        <v>854</v>
      </c>
      <c r="I1063" s="5" t="s">
        <v>5517</v>
      </c>
      <c r="J1063" s="5" t="s">
        <v>5514</v>
      </c>
      <c r="K1063" s="5" t="str">
        <f t="shared" si="39"/>
        <v>LRPL</v>
      </c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  <c r="W1063" s="53"/>
    </row>
    <row r="1064" spans="1:23" x14ac:dyDescent="0.25">
      <c r="A1064" s="58" t="str">
        <f t="shared" si="38"/>
        <v>XII RPL 220</v>
      </c>
      <c r="B1064" s="171">
        <f>COUNTIF(H$2:H1064,H1064)</f>
        <v>20</v>
      </c>
      <c r="C1064" s="195">
        <v>102319010</v>
      </c>
      <c r="D1064" s="5" t="s">
        <v>3590</v>
      </c>
      <c r="E1064" s="5" t="str">
        <f t="shared" si="40"/>
        <v>102319010 / 0096116251</v>
      </c>
      <c r="F1064" s="59" t="s">
        <v>3591</v>
      </c>
      <c r="G1064" s="57" t="s">
        <v>379</v>
      </c>
      <c r="H1064" s="150" t="s">
        <v>854</v>
      </c>
      <c r="I1064" s="5" t="s">
        <v>5517</v>
      </c>
      <c r="J1064" s="5" t="s">
        <v>5514</v>
      </c>
      <c r="K1064" s="5" t="str">
        <f t="shared" si="39"/>
        <v>LRPL</v>
      </c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  <c r="W1064" s="53"/>
    </row>
    <row r="1065" spans="1:23" x14ac:dyDescent="0.25">
      <c r="A1065" s="58" t="str">
        <f t="shared" si="38"/>
        <v>XII RPL 221</v>
      </c>
      <c r="B1065" s="171">
        <f>COUNTIF(H$2:H1065,H1065)</f>
        <v>21</v>
      </c>
      <c r="C1065" s="195">
        <v>102319011</v>
      </c>
      <c r="D1065" s="5" t="s">
        <v>3592</v>
      </c>
      <c r="E1065" s="5" t="str">
        <f t="shared" si="40"/>
        <v>102319011 / 0088708948</v>
      </c>
      <c r="F1065" s="59" t="s">
        <v>3593</v>
      </c>
      <c r="G1065" s="57" t="s">
        <v>379</v>
      </c>
      <c r="H1065" s="150" t="s">
        <v>854</v>
      </c>
      <c r="I1065" s="5" t="s">
        <v>5517</v>
      </c>
      <c r="J1065" s="5" t="s">
        <v>5514</v>
      </c>
      <c r="K1065" s="5" t="str">
        <f t="shared" si="39"/>
        <v>LRPL</v>
      </c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  <c r="W1065" s="53"/>
    </row>
    <row r="1066" spans="1:23" x14ac:dyDescent="0.25">
      <c r="A1066" s="58" t="str">
        <f t="shared" si="38"/>
        <v>XII RPL 222</v>
      </c>
      <c r="B1066" s="171">
        <f>COUNTIF(H$2:H1066,H1066)</f>
        <v>22</v>
      </c>
      <c r="C1066" s="195">
        <v>102319013</v>
      </c>
      <c r="D1066" s="5" t="s">
        <v>3594</v>
      </c>
      <c r="E1066" s="5" t="str">
        <f t="shared" si="40"/>
        <v>102319013 / 0079232180</v>
      </c>
      <c r="F1066" s="59" t="s">
        <v>3595</v>
      </c>
      <c r="G1066" s="57" t="s">
        <v>379</v>
      </c>
      <c r="H1066" s="150" t="s">
        <v>854</v>
      </c>
      <c r="I1066" s="5" t="s">
        <v>5517</v>
      </c>
      <c r="J1066" s="5" t="s">
        <v>5514</v>
      </c>
      <c r="K1066" s="5" t="str">
        <f t="shared" si="39"/>
        <v>LRPL</v>
      </c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  <c r="W1066" s="53"/>
    </row>
    <row r="1067" spans="1:23" x14ac:dyDescent="0.25">
      <c r="A1067" s="58" t="str">
        <f t="shared" ref="A1067:A1130" si="41">H1067&amp;B1067</f>
        <v>XII RPL 223</v>
      </c>
      <c r="B1067" s="171">
        <f>COUNTIF(H$2:H1067,H1067)</f>
        <v>23</v>
      </c>
      <c r="C1067" s="195">
        <v>102319014</v>
      </c>
      <c r="D1067" s="5" t="s">
        <v>3596</v>
      </c>
      <c r="E1067" s="5" t="str">
        <f t="shared" si="40"/>
        <v>102319014 / 0075058906</v>
      </c>
      <c r="F1067" s="59" t="s">
        <v>3597</v>
      </c>
      <c r="G1067" s="57" t="s">
        <v>381</v>
      </c>
      <c r="H1067" s="150" t="s">
        <v>854</v>
      </c>
      <c r="I1067" s="5" t="s">
        <v>5517</v>
      </c>
      <c r="J1067" s="5" t="s">
        <v>5514</v>
      </c>
      <c r="K1067" s="5" t="str">
        <f t="shared" si="39"/>
        <v>PRPL</v>
      </c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  <c r="W1067" s="53"/>
    </row>
    <row r="1068" spans="1:23" x14ac:dyDescent="0.25">
      <c r="A1068" s="58" t="str">
        <f t="shared" si="41"/>
        <v>XII RPL 224</v>
      </c>
      <c r="B1068" s="171">
        <f>COUNTIF(H$2:H1068,H1068)</f>
        <v>24</v>
      </c>
      <c r="C1068" s="195">
        <v>102319015</v>
      </c>
      <c r="D1068" s="5" t="s">
        <v>3598</v>
      </c>
      <c r="E1068" s="5" t="str">
        <f t="shared" si="40"/>
        <v>102319015 / 0086108172</v>
      </c>
      <c r="F1068" s="59" t="s">
        <v>3599</v>
      </c>
      <c r="G1068" s="57" t="s">
        <v>381</v>
      </c>
      <c r="H1068" s="150" t="s">
        <v>854</v>
      </c>
      <c r="I1068" s="5" t="s">
        <v>5517</v>
      </c>
      <c r="J1068" s="5" t="s">
        <v>5514</v>
      </c>
      <c r="K1068" s="5" t="str">
        <f t="shared" si="39"/>
        <v>PRPL</v>
      </c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  <c r="W1068" s="53"/>
    </row>
    <row r="1069" spans="1:23" x14ac:dyDescent="0.25">
      <c r="A1069" s="58" t="str">
        <f t="shared" si="41"/>
        <v>XII RPL 225</v>
      </c>
      <c r="B1069" s="171">
        <f>COUNTIF(H$2:H1069,H1069)</f>
        <v>25</v>
      </c>
      <c r="C1069" s="195">
        <v>102319016</v>
      </c>
      <c r="D1069" s="5" t="s">
        <v>3600</v>
      </c>
      <c r="E1069" s="5" t="str">
        <f t="shared" si="40"/>
        <v>102319016 / 0072358122</v>
      </c>
      <c r="F1069" s="59" t="s">
        <v>3601</v>
      </c>
      <c r="G1069" s="57" t="s">
        <v>379</v>
      </c>
      <c r="H1069" s="150" t="s">
        <v>854</v>
      </c>
      <c r="I1069" s="5" t="s">
        <v>5517</v>
      </c>
      <c r="J1069" s="5" t="s">
        <v>5514</v>
      </c>
      <c r="K1069" s="5" t="str">
        <f t="shared" si="39"/>
        <v>LRPL</v>
      </c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  <c r="W1069" s="53"/>
    </row>
    <row r="1070" spans="1:23" x14ac:dyDescent="0.25">
      <c r="A1070" s="58" t="str">
        <f t="shared" si="41"/>
        <v>XII RPL 226</v>
      </c>
      <c r="B1070" s="171">
        <f>COUNTIF(H$2:H1070,H1070)</f>
        <v>26</v>
      </c>
      <c r="C1070" s="195">
        <v>102319017</v>
      </c>
      <c r="D1070" s="5" t="s">
        <v>3602</v>
      </c>
      <c r="E1070" s="5" t="str">
        <f t="shared" si="40"/>
        <v>102319017 / 0075976833</v>
      </c>
      <c r="F1070" s="59" t="s">
        <v>3603</v>
      </c>
      <c r="G1070" s="57" t="s">
        <v>379</v>
      </c>
      <c r="H1070" s="150" t="s">
        <v>854</v>
      </c>
      <c r="I1070" s="5" t="s">
        <v>5517</v>
      </c>
      <c r="J1070" s="5" t="s">
        <v>5514</v>
      </c>
      <c r="K1070" s="5" t="str">
        <f t="shared" si="39"/>
        <v>LRPL</v>
      </c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  <c r="W1070" s="53"/>
    </row>
    <row r="1071" spans="1:23" x14ac:dyDescent="0.25">
      <c r="A1071" s="58" t="str">
        <f t="shared" si="41"/>
        <v>XII RPL 227</v>
      </c>
      <c r="B1071" s="171">
        <f>COUNTIF(H$2:H1071,H1071)</f>
        <v>27</v>
      </c>
      <c r="C1071" s="195">
        <v>102319019</v>
      </c>
      <c r="D1071" s="5" t="s">
        <v>3605</v>
      </c>
      <c r="E1071" s="5" t="str">
        <f t="shared" si="40"/>
        <v>102319019 / 0076723923</v>
      </c>
      <c r="F1071" s="59" t="s">
        <v>3606</v>
      </c>
      <c r="G1071" s="57" t="s">
        <v>381</v>
      </c>
      <c r="H1071" s="150" t="s">
        <v>854</v>
      </c>
      <c r="I1071" s="5" t="s">
        <v>5517</v>
      </c>
      <c r="J1071" s="5" t="s">
        <v>5514</v>
      </c>
      <c r="K1071" s="5" t="str">
        <f t="shared" si="39"/>
        <v>PRPL</v>
      </c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  <c r="W1071" s="53"/>
    </row>
    <row r="1072" spans="1:23" x14ac:dyDescent="0.25">
      <c r="A1072" s="58" t="str">
        <f t="shared" si="41"/>
        <v>XII RPL 228</v>
      </c>
      <c r="B1072" s="171">
        <f>COUNTIF(H$2:H1072,H1072)</f>
        <v>28</v>
      </c>
      <c r="C1072" s="195">
        <v>102319020</v>
      </c>
      <c r="D1072" s="5" t="s">
        <v>3607</v>
      </c>
      <c r="E1072" s="5" t="str">
        <f t="shared" si="40"/>
        <v>102319020 / 0084628722</v>
      </c>
      <c r="F1072" s="59" t="s">
        <v>3608</v>
      </c>
      <c r="G1072" s="57" t="s">
        <v>381</v>
      </c>
      <c r="H1072" s="150" t="s">
        <v>854</v>
      </c>
      <c r="I1072" s="5" t="s">
        <v>5517</v>
      </c>
      <c r="J1072" s="5" t="s">
        <v>5514</v>
      </c>
      <c r="K1072" s="5" t="str">
        <f t="shared" ref="K1072:K1135" si="42">G1072&amp;J1072</f>
        <v>PRPL</v>
      </c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  <c r="W1072" s="53"/>
    </row>
    <row r="1073" spans="1:23" x14ac:dyDescent="0.25">
      <c r="A1073" s="58" t="str">
        <f t="shared" si="41"/>
        <v>XII RPL 229</v>
      </c>
      <c r="B1073" s="171">
        <f>COUNTIF(H$2:H1073,H1073)</f>
        <v>29</v>
      </c>
      <c r="C1073" s="195">
        <v>102319021</v>
      </c>
      <c r="D1073" s="5" t="s">
        <v>3609</v>
      </c>
      <c r="E1073" s="5" t="str">
        <f t="shared" si="40"/>
        <v>102319021 / 0085067732</v>
      </c>
      <c r="F1073" s="59" t="s">
        <v>3610</v>
      </c>
      <c r="G1073" s="57" t="s">
        <v>379</v>
      </c>
      <c r="H1073" s="150" t="s">
        <v>854</v>
      </c>
      <c r="I1073" s="5" t="s">
        <v>5517</v>
      </c>
      <c r="J1073" s="5" t="s">
        <v>5514</v>
      </c>
      <c r="K1073" s="5" t="str">
        <f t="shared" si="42"/>
        <v>LRPL</v>
      </c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  <c r="W1073" s="53"/>
    </row>
    <row r="1074" spans="1:23" x14ac:dyDescent="0.25">
      <c r="A1074" s="58" t="str">
        <f t="shared" si="41"/>
        <v>XII RPL 230</v>
      </c>
      <c r="B1074" s="171">
        <f>COUNTIF(H$2:H1074,H1074)</f>
        <v>30</v>
      </c>
      <c r="C1074" s="195">
        <v>102319022</v>
      </c>
      <c r="D1074" s="5" t="s">
        <v>3611</v>
      </c>
      <c r="E1074" s="5" t="str">
        <f t="shared" si="40"/>
        <v>102319022 / 0072275251</v>
      </c>
      <c r="F1074" s="59" t="s">
        <v>3612</v>
      </c>
      <c r="G1074" s="57" t="s">
        <v>381</v>
      </c>
      <c r="H1074" s="150" t="s">
        <v>854</v>
      </c>
      <c r="I1074" s="5" t="s">
        <v>5517</v>
      </c>
      <c r="J1074" s="5" t="s">
        <v>5514</v>
      </c>
      <c r="K1074" s="5" t="str">
        <f t="shared" si="42"/>
        <v>PRPL</v>
      </c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  <c r="W1074" s="53"/>
    </row>
    <row r="1075" spans="1:23" x14ac:dyDescent="0.25">
      <c r="A1075" s="58" t="str">
        <f t="shared" si="41"/>
        <v>XII RPL 231</v>
      </c>
      <c r="B1075" s="171">
        <f>COUNTIF(H$2:H1075,H1075)</f>
        <v>31</v>
      </c>
      <c r="C1075" s="195">
        <v>102319024</v>
      </c>
      <c r="D1075" s="5" t="s">
        <v>3613</v>
      </c>
      <c r="E1075" s="5" t="str">
        <f t="shared" si="40"/>
        <v>102319024 / 0087528383</v>
      </c>
      <c r="F1075" s="59" t="s">
        <v>3614</v>
      </c>
      <c r="G1075" s="57" t="s">
        <v>379</v>
      </c>
      <c r="H1075" s="150" t="s">
        <v>854</v>
      </c>
      <c r="I1075" s="5" t="s">
        <v>5517</v>
      </c>
      <c r="J1075" s="5" t="s">
        <v>5514</v>
      </c>
      <c r="K1075" s="5" t="str">
        <f t="shared" si="42"/>
        <v>LRPL</v>
      </c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  <c r="W1075" s="53"/>
    </row>
    <row r="1076" spans="1:23" x14ac:dyDescent="0.25">
      <c r="A1076" s="58" t="str">
        <f t="shared" si="41"/>
        <v>XII RPL 232</v>
      </c>
      <c r="B1076" s="171">
        <f>COUNTIF(H$2:H1076,H1076)</f>
        <v>32</v>
      </c>
      <c r="C1076" s="195">
        <v>102319025</v>
      </c>
      <c r="D1076" s="5" t="s">
        <v>3615</v>
      </c>
      <c r="E1076" s="5" t="str">
        <f t="shared" si="40"/>
        <v>102319025 / 0061965192</v>
      </c>
      <c r="F1076" s="59" t="s">
        <v>3616</v>
      </c>
      <c r="G1076" s="57" t="s">
        <v>379</v>
      </c>
      <c r="H1076" s="150" t="s">
        <v>854</v>
      </c>
      <c r="I1076" s="5" t="s">
        <v>5517</v>
      </c>
      <c r="J1076" s="5" t="s">
        <v>5514</v>
      </c>
      <c r="K1076" s="5" t="str">
        <f t="shared" si="42"/>
        <v>LRPL</v>
      </c>
      <c r="L1076" s="53"/>
      <c r="M1076" s="53"/>
      <c r="N1076" s="53"/>
      <c r="O1076" s="53"/>
      <c r="P1076" s="53"/>
      <c r="Q1076" s="53"/>
      <c r="R1076" s="53"/>
      <c r="S1076" s="53"/>
      <c r="T1076" s="53"/>
      <c r="U1076" s="53"/>
      <c r="V1076" s="53"/>
      <c r="W1076" s="53"/>
    </row>
    <row r="1077" spans="1:23" x14ac:dyDescent="0.25">
      <c r="A1077" s="58" t="str">
        <f t="shared" si="41"/>
        <v>XII RPL 233</v>
      </c>
      <c r="B1077" s="171">
        <f>COUNTIF(H$2:H1077,H1077)</f>
        <v>33</v>
      </c>
      <c r="C1077" s="195">
        <v>102319026</v>
      </c>
      <c r="D1077" s="5" t="s">
        <v>3617</v>
      </c>
      <c r="E1077" s="5" t="str">
        <f t="shared" si="40"/>
        <v>102319026 / 0087700522</v>
      </c>
      <c r="F1077" s="59" t="s">
        <v>3618</v>
      </c>
      <c r="G1077" s="57" t="s">
        <v>379</v>
      </c>
      <c r="H1077" s="150" t="s">
        <v>854</v>
      </c>
      <c r="I1077" s="5" t="s">
        <v>5517</v>
      </c>
      <c r="J1077" s="5" t="s">
        <v>5514</v>
      </c>
      <c r="K1077" s="5" t="str">
        <f t="shared" si="42"/>
        <v>LRPL</v>
      </c>
      <c r="L1077" s="53"/>
      <c r="M1077" s="53"/>
      <c r="N1077" s="53"/>
      <c r="O1077" s="53"/>
      <c r="P1077" s="53"/>
      <c r="Q1077" s="53"/>
      <c r="R1077" s="53"/>
      <c r="S1077" s="53"/>
      <c r="T1077" s="53"/>
      <c r="U1077" s="53"/>
      <c r="V1077" s="53"/>
      <c r="W1077" s="53"/>
    </row>
    <row r="1078" spans="1:23" x14ac:dyDescent="0.25">
      <c r="A1078" s="58" t="str">
        <f t="shared" si="41"/>
        <v>XII TKJ 11</v>
      </c>
      <c r="B1078" s="171">
        <f>COUNTIF(H$2:H1078,H1078)</f>
        <v>1</v>
      </c>
      <c r="C1078" s="195">
        <v>102319027</v>
      </c>
      <c r="D1078" s="5" t="s">
        <v>3619</v>
      </c>
      <c r="E1078" s="5" t="str">
        <f t="shared" si="40"/>
        <v>102319027 / 0075807271</v>
      </c>
      <c r="F1078" s="59" t="s">
        <v>3620</v>
      </c>
      <c r="G1078" s="57" t="s">
        <v>379</v>
      </c>
      <c r="H1078" s="150" t="s">
        <v>843</v>
      </c>
      <c r="I1078" s="5" t="s">
        <v>5518</v>
      </c>
      <c r="J1078" s="5" t="s">
        <v>4671</v>
      </c>
      <c r="K1078" s="5" t="str">
        <f t="shared" si="42"/>
        <v>LTKJ</v>
      </c>
      <c r="L1078" s="53"/>
      <c r="M1078" s="53"/>
      <c r="N1078" s="53"/>
      <c r="O1078" s="53"/>
      <c r="P1078" s="53"/>
      <c r="Q1078" s="53"/>
      <c r="R1078" s="53"/>
      <c r="S1078" s="53"/>
      <c r="T1078" s="53"/>
      <c r="U1078" s="53"/>
      <c r="V1078" s="53"/>
      <c r="W1078" s="53"/>
    </row>
    <row r="1079" spans="1:23" x14ac:dyDescent="0.25">
      <c r="A1079" s="58" t="str">
        <f t="shared" si="41"/>
        <v>XII TKJ 12</v>
      </c>
      <c r="B1079" s="171">
        <f>COUNTIF(H$2:H1079,H1079)</f>
        <v>2</v>
      </c>
      <c r="C1079" s="195">
        <v>102319029</v>
      </c>
      <c r="D1079" s="5" t="s">
        <v>3621</v>
      </c>
      <c r="E1079" s="5" t="str">
        <f t="shared" si="40"/>
        <v>102319029 / 0086901041</v>
      </c>
      <c r="F1079" s="59" t="s">
        <v>3622</v>
      </c>
      <c r="G1079" s="57" t="s">
        <v>379</v>
      </c>
      <c r="H1079" s="150" t="s">
        <v>843</v>
      </c>
      <c r="I1079" s="5" t="s">
        <v>5518</v>
      </c>
      <c r="J1079" s="5" t="s">
        <v>4671</v>
      </c>
      <c r="K1079" s="5" t="str">
        <f t="shared" si="42"/>
        <v>LTKJ</v>
      </c>
      <c r="L1079" s="53"/>
      <c r="M1079" s="53"/>
      <c r="N1079" s="53"/>
      <c r="O1079" s="53"/>
      <c r="P1079" s="53"/>
      <c r="Q1079" s="53"/>
      <c r="R1079" s="53"/>
      <c r="S1079" s="53"/>
      <c r="T1079" s="53"/>
      <c r="U1079" s="53"/>
      <c r="V1079" s="53"/>
      <c r="W1079" s="53"/>
    </row>
    <row r="1080" spans="1:23" x14ac:dyDescent="0.25">
      <c r="A1080" s="58" t="str">
        <f t="shared" si="41"/>
        <v>XII TKJ 13</v>
      </c>
      <c r="B1080" s="171">
        <f>COUNTIF(H$2:H1080,H1080)</f>
        <v>3</v>
      </c>
      <c r="C1080" s="195">
        <v>102319030</v>
      </c>
      <c r="D1080" s="5" t="s">
        <v>3623</v>
      </c>
      <c r="E1080" s="5" t="str">
        <f t="shared" si="40"/>
        <v>102319030 / 0087063569</v>
      </c>
      <c r="F1080" s="59" t="s">
        <v>3624</v>
      </c>
      <c r="G1080" s="57" t="s">
        <v>379</v>
      </c>
      <c r="H1080" s="150" t="s">
        <v>843</v>
      </c>
      <c r="I1080" s="5" t="s">
        <v>5518</v>
      </c>
      <c r="J1080" s="5" t="s">
        <v>4671</v>
      </c>
      <c r="K1080" s="5" t="str">
        <f t="shared" si="42"/>
        <v>LTKJ</v>
      </c>
      <c r="L1080" s="53"/>
      <c r="M1080" s="53"/>
      <c r="N1080" s="53"/>
      <c r="O1080" s="53"/>
      <c r="P1080" s="53"/>
      <c r="Q1080" s="53"/>
      <c r="R1080" s="53"/>
      <c r="S1080" s="53"/>
      <c r="T1080" s="53"/>
      <c r="U1080" s="53"/>
      <c r="V1080" s="53"/>
      <c r="W1080" s="53"/>
    </row>
    <row r="1081" spans="1:23" x14ac:dyDescent="0.25">
      <c r="A1081" s="58" t="str">
        <f t="shared" si="41"/>
        <v>XII TKJ 14</v>
      </c>
      <c r="B1081" s="171">
        <f>COUNTIF(H$2:H1081,H1081)</f>
        <v>4</v>
      </c>
      <c r="C1081" s="195">
        <v>102319031</v>
      </c>
      <c r="D1081" s="5" t="s">
        <v>3625</v>
      </c>
      <c r="E1081" s="5" t="str">
        <f t="shared" si="40"/>
        <v>102319031 / 0088635986</v>
      </c>
      <c r="F1081" s="59" t="s">
        <v>3626</v>
      </c>
      <c r="G1081" s="57" t="s">
        <v>381</v>
      </c>
      <c r="H1081" s="150" t="s">
        <v>843</v>
      </c>
      <c r="I1081" s="5" t="s">
        <v>5518</v>
      </c>
      <c r="J1081" s="5" t="s">
        <v>4671</v>
      </c>
      <c r="K1081" s="5" t="str">
        <f t="shared" si="42"/>
        <v>PTKJ</v>
      </c>
      <c r="L1081" s="53"/>
      <c r="M1081" s="53"/>
      <c r="N1081" s="53"/>
      <c r="O1081" s="53"/>
      <c r="P1081" s="53"/>
      <c r="Q1081" s="53"/>
      <c r="R1081" s="53"/>
      <c r="S1081" s="53"/>
      <c r="T1081" s="53"/>
      <c r="U1081" s="53"/>
      <c r="V1081" s="53"/>
      <c r="W1081" s="53"/>
    </row>
    <row r="1082" spans="1:23" x14ac:dyDescent="0.25">
      <c r="A1082" s="58" t="str">
        <f t="shared" si="41"/>
        <v>XII TKJ 15</v>
      </c>
      <c r="B1082" s="171">
        <f>COUNTIF(H$2:H1082,H1082)</f>
        <v>5</v>
      </c>
      <c r="C1082" s="195">
        <v>102319032</v>
      </c>
      <c r="D1082" s="5" t="s">
        <v>3627</v>
      </c>
      <c r="E1082" s="5" t="str">
        <f t="shared" si="40"/>
        <v>102319032 / 0072015379</v>
      </c>
      <c r="F1082" s="59" t="s">
        <v>3628</v>
      </c>
      <c r="G1082" s="57" t="s">
        <v>379</v>
      </c>
      <c r="H1082" s="150" t="s">
        <v>843</v>
      </c>
      <c r="I1082" s="5" t="s">
        <v>5518</v>
      </c>
      <c r="J1082" s="5" t="s">
        <v>4671</v>
      </c>
      <c r="K1082" s="5" t="str">
        <f t="shared" si="42"/>
        <v>LTKJ</v>
      </c>
      <c r="L1082" s="53"/>
      <c r="M1082" s="53"/>
      <c r="N1082" s="53"/>
      <c r="O1082" s="53"/>
      <c r="P1082" s="53"/>
      <c r="Q1082" s="53"/>
      <c r="R1082" s="53"/>
      <c r="S1082" s="53"/>
      <c r="T1082" s="53"/>
      <c r="U1082" s="53"/>
      <c r="V1082" s="53"/>
      <c r="W1082" s="53"/>
    </row>
    <row r="1083" spans="1:23" x14ac:dyDescent="0.25">
      <c r="A1083" s="58" t="str">
        <f t="shared" si="41"/>
        <v>XII TKJ 16</v>
      </c>
      <c r="B1083" s="171">
        <f>COUNTIF(H$2:H1083,H1083)</f>
        <v>6</v>
      </c>
      <c r="C1083" s="195">
        <v>102319033</v>
      </c>
      <c r="D1083" s="5" t="s">
        <v>3629</v>
      </c>
      <c r="E1083" s="5" t="str">
        <f t="shared" si="40"/>
        <v>102319033 / 0077739364</v>
      </c>
      <c r="F1083" s="59" t="s">
        <v>3630</v>
      </c>
      <c r="G1083" s="57" t="s">
        <v>379</v>
      </c>
      <c r="H1083" s="150" t="s">
        <v>843</v>
      </c>
      <c r="I1083" s="5" t="s">
        <v>5518</v>
      </c>
      <c r="J1083" s="5" t="s">
        <v>4671</v>
      </c>
      <c r="K1083" s="5" t="str">
        <f t="shared" si="42"/>
        <v>LTKJ</v>
      </c>
      <c r="L1083" s="53"/>
      <c r="M1083" s="53"/>
      <c r="N1083" s="53"/>
      <c r="O1083" s="53"/>
      <c r="P1083" s="53"/>
      <c r="Q1083" s="53"/>
      <c r="R1083" s="53"/>
      <c r="S1083" s="53"/>
      <c r="T1083" s="53"/>
      <c r="U1083" s="53"/>
      <c r="V1083" s="53"/>
      <c r="W1083" s="53"/>
    </row>
    <row r="1084" spans="1:23" x14ac:dyDescent="0.25">
      <c r="A1084" s="58" t="str">
        <f t="shared" si="41"/>
        <v>XII TKJ 17</v>
      </c>
      <c r="B1084" s="171">
        <f>COUNTIF(H$2:H1084,H1084)</f>
        <v>7</v>
      </c>
      <c r="C1084" s="195">
        <v>102319034</v>
      </c>
      <c r="D1084" s="5" t="s">
        <v>3631</v>
      </c>
      <c r="E1084" s="5" t="str">
        <f t="shared" si="40"/>
        <v>102319034 / 0078941755</v>
      </c>
      <c r="F1084" s="59" t="s">
        <v>3632</v>
      </c>
      <c r="G1084" s="57" t="s">
        <v>379</v>
      </c>
      <c r="H1084" s="150" t="s">
        <v>843</v>
      </c>
      <c r="I1084" s="5" t="s">
        <v>5518</v>
      </c>
      <c r="J1084" s="5" t="s">
        <v>4671</v>
      </c>
      <c r="K1084" s="5" t="str">
        <f t="shared" si="42"/>
        <v>LTKJ</v>
      </c>
      <c r="L1084" s="53"/>
      <c r="M1084" s="53"/>
      <c r="N1084" s="53"/>
      <c r="O1084" s="53"/>
      <c r="P1084" s="53"/>
      <c r="Q1084" s="53"/>
      <c r="R1084" s="53"/>
      <c r="S1084" s="53"/>
      <c r="T1084" s="53"/>
      <c r="U1084" s="53"/>
      <c r="V1084" s="53"/>
      <c r="W1084" s="53"/>
    </row>
    <row r="1085" spans="1:23" x14ac:dyDescent="0.25">
      <c r="A1085" s="58" t="str">
        <f t="shared" si="41"/>
        <v>XII TKJ 18</v>
      </c>
      <c r="B1085" s="171">
        <f>COUNTIF(H$2:H1085,H1085)</f>
        <v>8</v>
      </c>
      <c r="C1085" s="195">
        <v>102319035</v>
      </c>
      <c r="D1085" s="5" t="s">
        <v>3633</v>
      </c>
      <c r="E1085" s="5" t="str">
        <f t="shared" si="40"/>
        <v>102319035 / 0074829155</v>
      </c>
      <c r="F1085" s="59" t="s">
        <v>3634</v>
      </c>
      <c r="G1085" s="57" t="s">
        <v>379</v>
      </c>
      <c r="H1085" s="150" t="s">
        <v>843</v>
      </c>
      <c r="I1085" s="5" t="s">
        <v>5518</v>
      </c>
      <c r="J1085" s="5" t="s">
        <v>4671</v>
      </c>
      <c r="K1085" s="5" t="str">
        <f t="shared" si="42"/>
        <v>LTKJ</v>
      </c>
      <c r="L1085" s="53"/>
      <c r="M1085" s="53"/>
      <c r="N1085" s="53"/>
      <c r="O1085" s="53"/>
      <c r="P1085" s="53"/>
      <c r="Q1085" s="53"/>
      <c r="R1085" s="53"/>
      <c r="S1085" s="53"/>
      <c r="T1085" s="53"/>
      <c r="U1085" s="53"/>
      <c r="V1085" s="53"/>
      <c r="W1085" s="53"/>
    </row>
    <row r="1086" spans="1:23" x14ac:dyDescent="0.25">
      <c r="A1086" s="58" t="str">
        <f t="shared" si="41"/>
        <v>XII TKJ 19</v>
      </c>
      <c r="B1086" s="171">
        <f>COUNTIF(H$2:H1086,H1086)</f>
        <v>9</v>
      </c>
      <c r="C1086" s="5">
        <v>102218642</v>
      </c>
      <c r="D1086" s="5" t="s">
        <v>400</v>
      </c>
      <c r="E1086" s="5" t="str">
        <f t="shared" si="40"/>
        <v>102218642 / 0076859813</v>
      </c>
      <c r="F1086" s="88" t="s">
        <v>401</v>
      </c>
      <c r="G1086" s="5" t="s">
        <v>379</v>
      </c>
      <c r="H1086" s="150" t="s">
        <v>843</v>
      </c>
      <c r="I1086" s="5" t="s">
        <v>5518</v>
      </c>
      <c r="J1086" s="5" t="s">
        <v>4671</v>
      </c>
      <c r="K1086" s="5" t="str">
        <f t="shared" si="42"/>
        <v>LTKJ</v>
      </c>
      <c r="L1086" s="53"/>
      <c r="M1086" s="53"/>
      <c r="N1086" s="53"/>
      <c r="O1086" s="53"/>
      <c r="P1086" s="53"/>
      <c r="Q1086" s="53"/>
      <c r="R1086" s="53"/>
      <c r="S1086" s="53"/>
      <c r="T1086" s="53"/>
      <c r="U1086" s="53"/>
      <c r="V1086" s="53"/>
      <c r="W1086" s="53"/>
    </row>
    <row r="1087" spans="1:23" x14ac:dyDescent="0.25">
      <c r="A1087" s="58" t="str">
        <f t="shared" si="41"/>
        <v>XII TKJ 110</v>
      </c>
      <c r="B1087" s="171">
        <f>COUNTIF(H$2:H1087,H1087)</f>
        <v>10</v>
      </c>
      <c r="C1087" s="195">
        <v>102319036</v>
      </c>
      <c r="D1087" s="5" t="s">
        <v>3635</v>
      </c>
      <c r="E1087" s="5" t="str">
        <f t="shared" si="40"/>
        <v>102319036 / 0079340182</v>
      </c>
      <c r="F1087" s="59" t="s">
        <v>3636</v>
      </c>
      <c r="G1087" s="57" t="s">
        <v>379</v>
      </c>
      <c r="H1087" s="150" t="s">
        <v>843</v>
      </c>
      <c r="I1087" s="5" t="s">
        <v>5518</v>
      </c>
      <c r="J1087" s="5" t="s">
        <v>4671</v>
      </c>
      <c r="K1087" s="5" t="str">
        <f t="shared" si="42"/>
        <v>LTKJ</v>
      </c>
      <c r="L1087" s="53"/>
      <c r="M1087" s="53"/>
      <c r="N1087" s="53"/>
      <c r="O1087" s="53"/>
      <c r="P1087" s="53"/>
      <c r="Q1087" s="53"/>
      <c r="R1087" s="53"/>
      <c r="S1087" s="53"/>
      <c r="T1087" s="53"/>
      <c r="U1087" s="53"/>
      <c r="V1087" s="53"/>
      <c r="W1087" s="53"/>
    </row>
    <row r="1088" spans="1:23" x14ac:dyDescent="0.25">
      <c r="A1088" s="58" t="str">
        <f t="shared" si="41"/>
        <v>XII TKJ 111</v>
      </c>
      <c r="B1088" s="171">
        <f>COUNTIF(H$2:H1088,H1088)</f>
        <v>11</v>
      </c>
      <c r="C1088" s="195">
        <v>102319037</v>
      </c>
      <c r="D1088" s="5" t="s">
        <v>3637</v>
      </c>
      <c r="E1088" s="5" t="str">
        <f t="shared" si="40"/>
        <v>102319037 / 0088310873</v>
      </c>
      <c r="F1088" s="59" t="s">
        <v>3638</v>
      </c>
      <c r="G1088" s="57" t="s">
        <v>379</v>
      </c>
      <c r="H1088" s="150" t="s">
        <v>843</v>
      </c>
      <c r="I1088" s="5" t="s">
        <v>5518</v>
      </c>
      <c r="J1088" s="5" t="s">
        <v>4671</v>
      </c>
      <c r="K1088" s="5" t="str">
        <f t="shared" si="42"/>
        <v>LTKJ</v>
      </c>
      <c r="L1088" s="53"/>
      <c r="M1088" s="53"/>
      <c r="N1088" s="53"/>
      <c r="O1088" s="53"/>
      <c r="P1088" s="53"/>
      <c r="Q1088" s="53"/>
      <c r="R1088" s="53"/>
      <c r="S1088" s="53"/>
      <c r="T1088" s="53"/>
      <c r="U1088" s="53"/>
      <c r="V1088" s="53"/>
      <c r="W1088" s="53"/>
    </row>
    <row r="1089" spans="1:23" x14ac:dyDescent="0.25">
      <c r="A1089" s="58" t="str">
        <f t="shared" si="41"/>
        <v>XII TKJ 112</v>
      </c>
      <c r="B1089" s="171">
        <f>COUNTIF(H$2:H1089,H1089)</f>
        <v>12</v>
      </c>
      <c r="C1089" s="195">
        <v>102319038</v>
      </c>
      <c r="D1089" s="5" t="s">
        <v>3639</v>
      </c>
      <c r="E1089" s="5" t="str">
        <f t="shared" si="40"/>
        <v>102319038 / 0088166127</v>
      </c>
      <c r="F1089" s="59" t="s">
        <v>3640</v>
      </c>
      <c r="G1089" s="57" t="s">
        <v>381</v>
      </c>
      <c r="H1089" s="150" t="s">
        <v>843</v>
      </c>
      <c r="I1089" s="5" t="s">
        <v>5518</v>
      </c>
      <c r="J1089" s="5" t="s">
        <v>4671</v>
      </c>
      <c r="K1089" s="5" t="str">
        <f t="shared" si="42"/>
        <v>PTKJ</v>
      </c>
      <c r="L1089" s="53"/>
      <c r="M1089" s="53"/>
      <c r="N1089" s="53"/>
      <c r="O1089" s="53"/>
      <c r="P1089" s="53"/>
      <c r="Q1089" s="53"/>
      <c r="R1089" s="53"/>
      <c r="S1089" s="53"/>
      <c r="T1089" s="53"/>
      <c r="U1089" s="53"/>
      <c r="V1089" s="53"/>
      <c r="W1089" s="53"/>
    </row>
    <row r="1090" spans="1:23" x14ac:dyDescent="0.25">
      <c r="A1090" s="58" t="str">
        <f t="shared" si="41"/>
        <v>XII TKJ 113</v>
      </c>
      <c r="B1090" s="171">
        <f>COUNTIF(H$2:H1090,H1090)</f>
        <v>13</v>
      </c>
      <c r="C1090" s="195">
        <v>102319039</v>
      </c>
      <c r="D1090" s="5" t="s">
        <v>3641</v>
      </c>
      <c r="E1090" s="5" t="str">
        <f t="shared" si="40"/>
        <v>102319039 / 0085065917</v>
      </c>
      <c r="F1090" s="59" t="s">
        <v>3642</v>
      </c>
      <c r="G1090" s="57" t="s">
        <v>379</v>
      </c>
      <c r="H1090" s="150" t="s">
        <v>843</v>
      </c>
      <c r="I1090" s="5" t="s">
        <v>5518</v>
      </c>
      <c r="J1090" s="5" t="s">
        <v>4671</v>
      </c>
      <c r="K1090" s="5" t="str">
        <f t="shared" si="42"/>
        <v>LTKJ</v>
      </c>
      <c r="L1090" s="53"/>
      <c r="M1090" s="53"/>
      <c r="N1090" s="53"/>
      <c r="O1090" s="53"/>
      <c r="P1090" s="53"/>
      <c r="Q1090" s="53"/>
      <c r="R1090" s="53"/>
      <c r="S1090" s="53"/>
      <c r="T1090" s="53"/>
      <c r="U1090" s="53"/>
      <c r="V1090" s="53"/>
      <c r="W1090" s="53"/>
    </row>
    <row r="1091" spans="1:23" x14ac:dyDescent="0.25">
      <c r="A1091" s="58" t="str">
        <f t="shared" si="41"/>
        <v>XII TKJ 114</v>
      </c>
      <c r="B1091" s="171">
        <f>COUNTIF(H$2:H1091,H1091)</f>
        <v>14</v>
      </c>
      <c r="C1091" s="195">
        <v>102319040</v>
      </c>
      <c r="D1091" s="5" t="s">
        <v>3643</v>
      </c>
      <c r="E1091" s="5" t="str">
        <f t="shared" si="40"/>
        <v>102319040 / 0073616122</v>
      </c>
      <c r="F1091" s="59" t="s">
        <v>3644</v>
      </c>
      <c r="G1091" s="57" t="s">
        <v>379</v>
      </c>
      <c r="H1091" s="150" t="s">
        <v>843</v>
      </c>
      <c r="I1091" s="5" t="s">
        <v>5518</v>
      </c>
      <c r="J1091" s="5" t="s">
        <v>4671</v>
      </c>
      <c r="K1091" s="5" t="str">
        <f t="shared" si="42"/>
        <v>LTKJ</v>
      </c>
      <c r="L1091" s="53"/>
      <c r="M1091" s="53"/>
      <c r="N1091" s="53"/>
      <c r="O1091" s="53"/>
      <c r="P1091" s="53"/>
      <c r="Q1091" s="53"/>
      <c r="R1091" s="53"/>
      <c r="S1091" s="53"/>
      <c r="T1091" s="53"/>
      <c r="U1091" s="53"/>
      <c r="V1091" s="53"/>
      <c r="W1091" s="53"/>
    </row>
    <row r="1092" spans="1:23" x14ac:dyDescent="0.25">
      <c r="A1092" s="58" t="str">
        <f t="shared" si="41"/>
        <v>XII TKJ 115</v>
      </c>
      <c r="B1092" s="171">
        <f>COUNTIF(H$2:H1092,H1092)</f>
        <v>15</v>
      </c>
      <c r="C1092" s="195">
        <v>102319041</v>
      </c>
      <c r="D1092" s="5" t="s">
        <v>3645</v>
      </c>
      <c r="E1092" s="5" t="str">
        <f t="shared" si="40"/>
        <v>102319041 / 0079453942</v>
      </c>
      <c r="F1092" s="59" t="s">
        <v>3646</v>
      </c>
      <c r="G1092" s="57" t="s">
        <v>379</v>
      </c>
      <c r="H1092" s="150" t="s">
        <v>843</v>
      </c>
      <c r="I1092" s="5" t="s">
        <v>5518</v>
      </c>
      <c r="J1092" s="5" t="s">
        <v>4671</v>
      </c>
      <c r="K1092" s="5" t="str">
        <f t="shared" si="42"/>
        <v>LTKJ</v>
      </c>
      <c r="L1092" s="53"/>
      <c r="M1092" s="53"/>
      <c r="N1092" s="53"/>
      <c r="O1092" s="53"/>
      <c r="P1092" s="53"/>
      <c r="Q1092" s="53"/>
      <c r="R1092" s="53"/>
      <c r="S1092" s="53"/>
      <c r="T1092" s="53"/>
      <c r="U1092" s="53"/>
      <c r="V1092" s="53"/>
      <c r="W1092" s="53"/>
    </row>
    <row r="1093" spans="1:23" x14ac:dyDescent="0.25">
      <c r="A1093" s="58" t="str">
        <f t="shared" si="41"/>
        <v>XII TKJ 116</v>
      </c>
      <c r="B1093" s="171">
        <f>COUNTIF(H$2:H1093,H1093)</f>
        <v>16</v>
      </c>
      <c r="C1093" s="195">
        <v>102319042</v>
      </c>
      <c r="D1093" s="5" t="s">
        <v>3647</v>
      </c>
      <c r="E1093" s="5" t="str">
        <f t="shared" si="40"/>
        <v>102319042 / 0083575608</v>
      </c>
      <c r="F1093" s="59" t="s">
        <v>3648</v>
      </c>
      <c r="G1093" s="57" t="s">
        <v>379</v>
      </c>
      <c r="H1093" s="150" t="s">
        <v>843</v>
      </c>
      <c r="I1093" s="5" t="s">
        <v>5518</v>
      </c>
      <c r="J1093" s="5" t="s">
        <v>4671</v>
      </c>
      <c r="K1093" s="5" t="str">
        <f t="shared" si="42"/>
        <v>LTKJ</v>
      </c>
      <c r="L1093" s="53"/>
      <c r="M1093" s="53"/>
      <c r="N1093" s="53"/>
      <c r="O1093" s="53"/>
      <c r="P1093" s="53"/>
      <c r="Q1093" s="53"/>
      <c r="R1093" s="53"/>
      <c r="S1093" s="53"/>
      <c r="T1093" s="53"/>
      <c r="U1093" s="53"/>
      <c r="V1093" s="53"/>
      <c r="W1093" s="53"/>
    </row>
    <row r="1094" spans="1:23" x14ac:dyDescent="0.25">
      <c r="A1094" s="58" t="str">
        <f t="shared" si="41"/>
        <v>XII TKJ 117</v>
      </c>
      <c r="B1094" s="171">
        <f>COUNTIF(H$2:H1094,H1094)</f>
        <v>17</v>
      </c>
      <c r="C1094" s="195">
        <v>102319043</v>
      </c>
      <c r="D1094" s="5" t="s">
        <v>3649</v>
      </c>
      <c r="E1094" s="5" t="str">
        <f t="shared" si="40"/>
        <v>102319043 / 0072905286</v>
      </c>
      <c r="F1094" s="59" t="s">
        <v>3650</v>
      </c>
      <c r="G1094" s="57" t="s">
        <v>379</v>
      </c>
      <c r="H1094" s="150" t="s">
        <v>843</v>
      </c>
      <c r="I1094" s="5" t="s">
        <v>5518</v>
      </c>
      <c r="J1094" s="5" t="s">
        <v>4671</v>
      </c>
      <c r="K1094" s="5" t="str">
        <f t="shared" si="42"/>
        <v>LTKJ</v>
      </c>
      <c r="L1094" s="53"/>
      <c r="M1094" s="53"/>
      <c r="N1094" s="53"/>
      <c r="O1094" s="53"/>
      <c r="P1094" s="53"/>
      <c r="Q1094" s="53"/>
      <c r="R1094" s="53"/>
      <c r="S1094" s="53"/>
      <c r="T1094" s="53"/>
      <c r="U1094" s="53"/>
      <c r="V1094" s="53"/>
      <c r="W1094" s="53"/>
    </row>
    <row r="1095" spans="1:23" x14ac:dyDescent="0.25">
      <c r="A1095" s="58" t="str">
        <f t="shared" si="41"/>
        <v>XII TKJ 118</v>
      </c>
      <c r="B1095" s="171">
        <f>COUNTIF(H$2:H1095,H1095)</f>
        <v>18</v>
      </c>
      <c r="C1095" s="195">
        <v>102319044</v>
      </c>
      <c r="D1095" s="5" t="s">
        <v>3651</v>
      </c>
      <c r="E1095" s="5" t="str">
        <f t="shared" si="40"/>
        <v>102319044 / 0088112658</v>
      </c>
      <c r="F1095" s="59" t="s">
        <v>3652</v>
      </c>
      <c r="G1095" s="57" t="s">
        <v>379</v>
      </c>
      <c r="H1095" s="150" t="s">
        <v>843</v>
      </c>
      <c r="I1095" s="5" t="s">
        <v>5518</v>
      </c>
      <c r="J1095" s="5" t="s">
        <v>4671</v>
      </c>
      <c r="K1095" s="5" t="str">
        <f t="shared" si="42"/>
        <v>LTKJ</v>
      </c>
      <c r="L1095" s="53"/>
      <c r="M1095" s="53"/>
      <c r="N1095" s="53"/>
      <c r="O1095" s="53"/>
      <c r="P1095" s="53"/>
      <c r="Q1095" s="53"/>
      <c r="R1095" s="53"/>
      <c r="S1095" s="53"/>
      <c r="T1095" s="53"/>
      <c r="U1095" s="53"/>
      <c r="V1095" s="53"/>
      <c r="W1095" s="53"/>
    </row>
    <row r="1096" spans="1:23" x14ac:dyDescent="0.25">
      <c r="A1096" s="58" t="str">
        <f t="shared" si="41"/>
        <v>XII TKJ 119</v>
      </c>
      <c r="B1096" s="171">
        <f>COUNTIF(H$2:H1096,H1096)</f>
        <v>19</v>
      </c>
      <c r="C1096" s="195">
        <v>102319045</v>
      </c>
      <c r="D1096" s="5" t="s">
        <v>3653</v>
      </c>
      <c r="E1096" s="5" t="str">
        <f t="shared" si="40"/>
        <v>102319045 / 0071300595</v>
      </c>
      <c r="F1096" s="59" t="s">
        <v>3654</v>
      </c>
      <c r="G1096" s="57" t="s">
        <v>379</v>
      </c>
      <c r="H1096" s="150" t="s">
        <v>843</v>
      </c>
      <c r="I1096" s="5" t="s">
        <v>5518</v>
      </c>
      <c r="J1096" s="5" t="s">
        <v>4671</v>
      </c>
      <c r="K1096" s="5" t="str">
        <f t="shared" si="42"/>
        <v>LTKJ</v>
      </c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</row>
    <row r="1097" spans="1:23" x14ac:dyDescent="0.25">
      <c r="A1097" s="58" t="str">
        <f t="shared" si="41"/>
        <v>XII TKJ 120</v>
      </c>
      <c r="B1097" s="171">
        <f>COUNTIF(H$2:H1097,H1097)</f>
        <v>20</v>
      </c>
      <c r="C1097" s="195">
        <v>102319046</v>
      </c>
      <c r="D1097" s="5" t="s">
        <v>3655</v>
      </c>
      <c r="E1097" s="5" t="str">
        <f t="shared" si="40"/>
        <v>102319046 / 0087939609</v>
      </c>
      <c r="F1097" s="59" t="s">
        <v>3656</v>
      </c>
      <c r="G1097" s="57" t="s">
        <v>379</v>
      </c>
      <c r="H1097" s="150" t="s">
        <v>843</v>
      </c>
      <c r="I1097" s="5" t="s">
        <v>5518</v>
      </c>
      <c r="J1097" s="5" t="s">
        <v>4671</v>
      </c>
      <c r="K1097" s="5" t="str">
        <f t="shared" si="42"/>
        <v>LTKJ</v>
      </c>
      <c r="L1097" s="53"/>
      <c r="M1097" s="53"/>
      <c r="N1097" s="53"/>
      <c r="O1097" s="53"/>
      <c r="P1097" s="53"/>
      <c r="Q1097" s="53"/>
      <c r="R1097" s="53"/>
      <c r="S1097" s="53"/>
      <c r="T1097" s="53"/>
      <c r="U1097" s="53"/>
      <c r="V1097" s="53"/>
      <c r="W1097" s="53"/>
    </row>
    <row r="1098" spans="1:23" x14ac:dyDescent="0.25">
      <c r="A1098" s="58" t="str">
        <f t="shared" si="41"/>
        <v>XII TKJ 121</v>
      </c>
      <c r="B1098" s="171">
        <f>COUNTIF(H$2:H1098,H1098)</f>
        <v>21</v>
      </c>
      <c r="C1098" s="196">
        <v>102419524</v>
      </c>
      <c r="D1098" s="168"/>
      <c r="E1098" s="5" t="str">
        <f t="shared" si="40"/>
        <v xml:space="preserve">102419524 / </v>
      </c>
      <c r="F1098" s="169" t="s">
        <v>4670</v>
      </c>
      <c r="G1098" s="57" t="s">
        <v>379</v>
      </c>
      <c r="H1098" s="150" t="s">
        <v>843</v>
      </c>
      <c r="I1098" s="5" t="s">
        <v>5518</v>
      </c>
      <c r="J1098" s="5" t="s">
        <v>4671</v>
      </c>
      <c r="K1098" s="5" t="str">
        <f t="shared" si="42"/>
        <v>LTKJ</v>
      </c>
      <c r="L1098" s="53"/>
      <c r="M1098" s="53"/>
      <c r="N1098" s="53"/>
      <c r="O1098" s="53"/>
      <c r="P1098" s="53"/>
      <c r="Q1098" s="53"/>
      <c r="R1098" s="53"/>
      <c r="S1098" s="53"/>
      <c r="T1098" s="53"/>
      <c r="U1098" s="53"/>
      <c r="V1098" s="53"/>
      <c r="W1098" s="53"/>
    </row>
    <row r="1099" spans="1:23" x14ac:dyDescent="0.25">
      <c r="A1099" s="58" t="str">
        <f t="shared" si="41"/>
        <v>XII TKJ 122</v>
      </c>
      <c r="B1099" s="171">
        <f>COUNTIF(H$2:H1099,H1099)</f>
        <v>22</v>
      </c>
      <c r="C1099" s="195">
        <v>102319047</v>
      </c>
      <c r="D1099" s="5" t="s">
        <v>3657</v>
      </c>
      <c r="E1099" s="5" t="str">
        <f t="shared" si="40"/>
        <v>102319047 / 0077055490</v>
      </c>
      <c r="F1099" s="59" t="s">
        <v>3658</v>
      </c>
      <c r="G1099" s="57" t="s">
        <v>379</v>
      </c>
      <c r="H1099" s="150" t="s">
        <v>843</v>
      </c>
      <c r="I1099" s="5" t="s">
        <v>5518</v>
      </c>
      <c r="J1099" s="5" t="s">
        <v>4671</v>
      </c>
      <c r="K1099" s="5" t="str">
        <f t="shared" si="42"/>
        <v>LTKJ</v>
      </c>
      <c r="L1099" s="53"/>
      <c r="M1099" s="53"/>
      <c r="N1099" s="53"/>
      <c r="O1099" s="53"/>
      <c r="P1099" s="53"/>
      <c r="Q1099" s="53"/>
      <c r="R1099" s="53"/>
      <c r="S1099" s="53"/>
      <c r="T1099" s="53"/>
      <c r="U1099" s="53"/>
      <c r="V1099" s="53"/>
      <c r="W1099" s="53"/>
    </row>
    <row r="1100" spans="1:23" x14ac:dyDescent="0.25">
      <c r="A1100" s="58" t="str">
        <f t="shared" si="41"/>
        <v>XII TKJ 123</v>
      </c>
      <c r="B1100" s="171">
        <f>COUNTIF(H$2:H1100,H1100)</f>
        <v>23</v>
      </c>
      <c r="C1100" s="195">
        <v>102319048</v>
      </c>
      <c r="D1100" s="5" t="s">
        <v>3659</v>
      </c>
      <c r="E1100" s="5" t="str">
        <f t="shared" si="40"/>
        <v>102319048 / 0079026089</v>
      </c>
      <c r="F1100" s="59" t="s">
        <v>3660</v>
      </c>
      <c r="G1100" s="57" t="s">
        <v>379</v>
      </c>
      <c r="H1100" s="150" t="s">
        <v>843</v>
      </c>
      <c r="I1100" s="5" t="s">
        <v>5518</v>
      </c>
      <c r="J1100" s="5" t="s">
        <v>4671</v>
      </c>
      <c r="K1100" s="5" t="str">
        <f t="shared" si="42"/>
        <v>LTKJ</v>
      </c>
      <c r="L1100" s="53"/>
      <c r="M1100" s="53"/>
      <c r="N1100" s="53"/>
      <c r="O1100" s="53"/>
      <c r="P1100" s="53"/>
      <c r="Q1100" s="53"/>
      <c r="R1100" s="53"/>
      <c r="S1100" s="53"/>
      <c r="T1100" s="53"/>
      <c r="U1100" s="53"/>
      <c r="V1100" s="53"/>
      <c r="W1100" s="53"/>
    </row>
    <row r="1101" spans="1:23" x14ac:dyDescent="0.25">
      <c r="A1101" s="58" t="str">
        <f t="shared" si="41"/>
        <v>XII TKJ 124</v>
      </c>
      <c r="B1101" s="171">
        <f>COUNTIF(H$2:H1101,H1101)</f>
        <v>24</v>
      </c>
      <c r="C1101" s="195">
        <v>102319049</v>
      </c>
      <c r="D1101" s="5" t="s">
        <v>3661</v>
      </c>
      <c r="E1101" s="5" t="str">
        <f t="shared" si="40"/>
        <v>102319049 / 0082328377</v>
      </c>
      <c r="F1101" s="59" t="s">
        <v>3662</v>
      </c>
      <c r="G1101" s="57" t="s">
        <v>379</v>
      </c>
      <c r="H1101" s="150" t="s">
        <v>843</v>
      </c>
      <c r="I1101" s="5" t="s">
        <v>5518</v>
      </c>
      <c r="J1101" s="5" t="s">
        <v>4671</v>
      </c>
      <c r="K1101" s="5" t="str">
        <f t="shared" si="42"/>
        <v>LTKJ</v>
      </c>
      <c r="L1101" s="53"/>
      <c r="M1101" s="53"/>
      <c r="N1101" s="53"/>
      <c r="O1101" s="53"/>
      <c r="P1101" s="53"/>
      <c r="Q1101" s="53"/>
      <c r="R1101" s="53"/>
      <c r="S1101" s="53"/>
      <c r="T1101" s="53"/>
      <c r="U1101" s="53"/>
      <c r="V1101" s="53"/>
      <c r="W1101" s="53"/>
    </row>
    <row r="1102" spans="1:23" x14ac:dyDescent="0.25">
      <c r="A1102" s="58" t="str">
        <f t="shared" si="41"/>
        <v>XII TKJ 125</v>
      </c>
      <c r="B1102" s="171">
        <f>COUNTIF(H$2:H1102,H1102)</f>
        <v>25</v>
      </c>
      <c r="C1102" s="195">
        <v>102319050</v>
      </c>
      <c r="D1102" s="5" t="s">
        <v>3663</v>
      </c>
      <c r="E1102" s="5" t="str">
        <f t="shared" si="40"/>
        <v>102319050 / 0081202818</v>
      </c>
      <c r="F1102" s="59" t="s">
        <v>3664</v>
      </c>
      <c r="G1102" s="57" t="s">
        <v>379</v>
      </c>
      <c r="H1102" s="150" t="s">
        <v>843</v>
      </c>
      <c r="I1102" s="5" t="s">
        <v>5518</v>
      </c>
      <c r="J1102" s="5" t="s">
        <v>4671</v>
      </c>
      <c r="K1102" s="5" t="str">
        <f t="shared" si="42"/>
        <v>LTKJ</v>
      </c>
      <c r="L1102" s="53"/>
      <c r="M1102" s="53"/>
      <c r="N1102" s="53"/>
      <c r="O1102" s="53"/>
      <c r="P1102" s="53"/>
      <c r="Q1102" s="53"/>
      <c r="R1102" s="53"/>
      <c r="S1102" s="53"/>
      <c r="T1102" s="53"/>
      <c r="U1102" s="53"/>
      <c r="V1102" s="53"/>
      <c r="W1102" s="53"/>
    </row>
    <row r="1103" spans="1:23" x14ac:dyDescent="0.25">
      <c r="A1103" s="58" t="str">
        <f t="shared" si="41"/>
        <v>XII TKJ 126</v>
      </c>
      <c r="B1103" s="171">
        <f>COUNTIF(H$2:H1103,H1103)</f>
        <v>26</v>
      </c>
      <c r="C1103" s="195">
        <v>102319051</v>
      </c>
      <c r="D1103" s="5" t="s">
        <v>3665</v>
      </c>
      <c r="E1103" s="5" t="str">
        <f t="shared" si="40"/>
        <v>102319051 / 0085587746</v>
      </c>
      <c r="F1103" s="59" t="s">
        <v>3666</v>
      </c>
      <c r="G1103" s="57" t="s">
        <v>379</v>
      </c>
      <c r="H1103" s="150" t="s">
        <v>843</v>
      </c>
      <c r="I1103" s="5" t="s">
        <v>5518</v>
      </c>
      <c r="J1103" s="5" t="s">
        <v>4671</v>
      </c>
      <c r="K1103" s="5" t="str">
        <f t="shared" si="42"/>
        <v>LTKJ</v>
      </c>
      <c r="L1103" s="53"/>
      <c r="M1103" s="53"/>
      <c r="N1103" s="53"/>
      <c r="O1103" s="53"/>
      <c r="P1103" s="53"/>
      <c r="Q1103" s="53"/>
      <c r="R1103" s="53"/>
      <c r="S1103" s="53"/>
      <c r="T1103" s="53"/>
      <c r="U1103" s="53"/>
      <c r="V1103" s="53"/>
      <c r="W1103" s="53"/>
    </row>
    <row r="1104" spans="1:23" x14ac:dyDescent="0.25">
      <c r="A1104" s="58" t="str">
        <f t="shared" si="41"/>
        <v>XII TKJ 127</v>
      </c>
      <c r="B1104" s="171">
        <f>COUNTIF(H$2:H1104,H1104)</f>
        <v>27</v>
      </c>
      <c r="C1104" s="195">
        <v>102319053</v>
      </c>
      <c r="D1104" s="5" t="s">
        <v>3667</v>
      </c>
      <c r="E1104" s="5" t="str">
        <f t="shared" si="40"/>
        <v>102319053 / 0081577483</v>
      </c>
      <c r="F1104" s="59" t="s">
        <v>3668</v>
      </c>
      <c r="G1104" s="57" t="s">
        <v>379</v>
      </c>
      <c r="H1104" s="150" t="s">
        <v>843</v>
      </c>
      <c r="I1104" s="5" t="s">
        <v>5518</v>
      </c>
      <c r="J1104" s="5" t="s">
        <v>4671</v>
      </c>
      <c r="K1104" s="5" t="str">
        <f t="shared" si="42"/>
        <v>LTKJ</v>
      </c>
      <c r="L1104" s="53"/>
      <c r="M1104" s="53"/>
      <c r="N1104" s="53"/>
      <c r="O1104" s="53"/>
      <c r="P1104" s="53"/>
      <c r="Q1104" s="53"/>
      <c r="R1104" s="53"/>
      <c r="S1104" s="53"/>
      <c r="T1104" s="53"/>
      <c r="U1104" s="53"/>
      <c r="V1104" s="53"/>
      <c r="W1104" s="53"/>
    </row>
    <row r="1105" spans="1:23" x14ac:dyDescent="0.25">
      <c r="A1105" s="58" t="str">
        <f t="shared" si="41"/>
        <v>XII TKJ 128</v>
      </c>
      <c r="B1105" s="171">
        <f>COUNTIF(H$2:H1105,H1105)</f>
        <v>28</v>
      </c>
      <c r="C1105" s="195">
        <v>102319054</v>
      </c>
      <c r="D1105" s="5" t="s">
        <v>3669</v>
      </c>
      <c r="E1105" s="5" t="str">
        <f t="shared" si="40"/>
        <v>102319054 / 0072070192</v>
      </c>
      <c r="F1105" s="59" t="s">
        <v>3670</v>
      </c>
      <c r="G1105" s="57" t="s">
        <v>379</v>
      </c>
      <c r="H1105" s="150" t="s">
        <v>843</v>
      </c>
      <c r="I1105" s="5" t="s">
        <v>5518</v>
      </c>
      <c r="J1105" s="5" t="s">
        <v>4671</v>
      </c>
      <c r="K1105" s="5" t="str">
        <f t="shared" si="42"/>
        <v>LTKJ</v>
      </c>
      <c r="L1105" s="53"/>
      <c r="M1105" s="53"/>
      <c r="N1105" s="53"/>
      <c r="O1105" s="53"/>
      <c r="P1105" s="53"/>
      <c r="Q1105" s="53"/>
      <c r="R1105" s="53"/>
      <c r="S1105" s="53"/>
      <c r="T1105" s="53"/>
      <c r="U1105" s="53"/>
      <c r="V1105" s="53"/>
      <c r="W1105" s="53"/>
    </row>
    <row r="1106" spans="1:23" x14ac:dyDescent="0.25">
      <c r="A1106" s="58" t="str">
        <f t="shared" si="41"/>
        <v>XII TKJ 129</v>
      </c>
      <c r="B1106" s="171">
        <f>COUNTIF(H$2:H1106,H1106)</f>
        <v>29</v>
      </c>
      <c r="C1106" s="195">
        <v>102319055</v>
      </c>
      <c r="D1106" s="5" t="s">
        <v>3671</v>
      </c>
      <c r="E1106" s="5" t="str">
        <f t="shared" si="40"/>
        <v>102319055 / 0078228687</v>
      </c>
      <c r="F1106" s="59" t="s">
        <v>3672</v>
      </c>
      <c r="G1106" s="57" t="s">
        <v>381</v>
      </c>
      <c r="H1106" s="150" t="s">
        <v>843</v>
      </c>
      <c r="I1106" s="5" t="s">
        <v>5518</v>
      </c>
      <c r="J1106" s="5" t="s">
        <v>4671</v>
      </c>
      <c r="K1106" s="5" t="str">
        <f t="shared" si="42"/>
        <v>PTKJ</v>
      </c>
      <c r="L1106" s="53"/>
      <c r="M1106" s="53"/>
      <c r="N1106" s="53"/>
      <c r="O1106" s="53"/>
      <c r="P1106" s="53"/>
      <c r="Q1106" s="53"/>
      <c r="R1106" s="53"/>
      <c r="S1106" s="53"/>
      <c r="T1106" s="53"/>
      <c r="U1106" s="53"/>
      <c r="V1106" s="53"/>
      <c r="W1106" s="53"/>
    </row>
    <row r="1107" spans="1:23" x14ac:dyDescent="0.25">
      <c r="A1107" s="58" t="str">
        <f t="shared" si="41"/>
        <v>XII TKJ 130</v>
      </c>
      <c r="B1107" s="171">
        <f>COUNTIF(H$2:H1107,H1107)</f>
        <v>30</v>
      </c>
      <c r="C1107" s="195">
        <v>102319056</v>
      </c>
      <c r="D1107" s="5" t="s">
        <v>3673</v>
      </c>
      <c r="E1107" s="5" t="str">
        <f t="shared" si="40"/>
        <v>102319056 / 0083935390</v>
      </c>
      <c r="F1107" s="59" t="s">
        <v>3674</v>
      </c>
      <c r="G1107" s="57" t="s">
        <v>379</v>
      </c>
      <c r="H1107" s="150" t="s">
        <v>843</v>
      </c>
      <c r="I1107" s="5" t="s">
        <v>5518</v>
      </c>
      <c r="J1107" s="5" t="s">
        <v>4671</v>
      </c>
      <c r="K1107" s="5" t="str">
        <f t="shared" si="42"/>
        <v>LTKJ</v>
      </c>
      <c r="L1107" s="53"/>
      <c r="M1107" s="53"/>
      <c r="N1107" s="53"/>
      <c r="O1107" s="53"/>
      <c r="P1107" s="53"/>
      <c r="Q1107" s="53"/>
      <c r="R1107" s="53"/>
      <c r="S1107" s="53"/>
      <c r="T1107" s="53"/>
      <c r="U1107" s="53"/>
      <c r="V1107" s="53"/>
      <c r="W1107" s="53"/>
    </row>
    <row r="1108" spans="1:23" x14ac:dyDescent="0.25">
      <c r="A1108" s="58" t="str">
        <f t="shared" si="41"/>
        <v>XII TKJ 131</v>
      </c>
      <c r="B1108" s="171">
        <f>COUNTIF(H$2:H1108,H1108)</f>
        <v>31</v>
      </c>
      <c r="C1108" s="195">
        <v>102319057</v>
      </c>
      <c r="D1108" s="5" t="s">
        <v>3675</v>
      </c>
      <c r="E1108" s="5" t="str">
        <f t="shared" si="40"/>
        <v>102319057 / 0087480517</v>
      </c>
      <c r="F1108" s="59" t="s">
        <v>3676</v>
      </c>
      <c r="G1108" s="57" t="s">
        <v>379</v>
      </c>
      <c r="H1108" s="150" t="s">
        <v>843</v>
      </c>
      <c r="I1108" s="5" t="s">
        <v>5518</v>
      </c>
      <c r="J1108" s="5" t="s">
        <v>4671</v>
      </c>
      <c r="K1108" s="5" t="str">
        <f t="shared" si="42"/>
        <v>LTKJ</v>
      </c>
      <c r="L1108" s="53"/>
      <c r="M1108" s="53"/>
      <c r="N1108" s="53"/>
      <c r="O1108" s="53"/>
      <c r="P1108" s="53"/>
      <c r="Q1108" s="53"/>
      <c r="R1108" s="53"/>
      <c r="S1108" s="53"/>
      <c r="T1108" s="53"/>
      <c r="U1108" s="53"/>
      <c r="V1108" s="53"/>
      <c r="W1108" s="53"/>
    </row>
    <row r="1109" spans="1:23" x14ac:dyDescent="0.25">
      <c r="A1109" s="58" t="str">
        <f t="shared" si="41"/>
        <v>XII TKJ 132</v>
      </c>
      <c r="B1109" s="171">
        <f>COUNTIF(H$2:H1109,H1109)</f>
        <v>32</v>
      </c>
      <c r="C1109" s="195">
        <v>102319058</v>
      </c>
      <c r="D1109" s="5" t="s">
        <v>3677</v>
      </c>
      <c r="E1109" s="5" t="str">
        <f t="shared" si="40"/>
        <v>102319058 / 0074258368</v>
      </c>
      <c r="F1109" s="59" t="s">
        <v>3678</v>
      </c>
      <c r="G1109" s="57" t="s">
        <v>381</v>
      </c>
      <c r="H1109" s="150" t="s">
        <v>843</v>
      </c>
      <c r="I1109" s="5" t="s">
        <v>5518</v>
      </c>
      <c r="J1109" s="5" t="s">
        <v>4671</v>
      </c>
      <c r="K1109" s="5" t="str">
        <f t="shared" si="42"/>
        <v>PTKJ</v>
      </c>
      <c r="L1109" s="53"/>
      <c r="M1109" s="53"/>
      <c r="N1109" s="53"/>
      <c r="O1109" s="53"/>
      <c r="P1109" s="53"/>
      <c r="Q1109" s="53"/>
      <c r="R1109" s="53"/>
      <c r="S1109" s="53"/>
      <c r="T1109" s="53"/>
      <c r="U1109" s="53"/>
      <c r="V1109" s="53"/>
      <c r="W1109" s="53"/>
    </row>
    <row r="1110" spans="1:23" x14ac:dyDescent="0.25">
      <c r="A1110" s="58" t="str">
        <f t="shared" si="41"/>
        <v>XII TKJ 133</v>
      </c>
      <c r="B1110" s="171">
        <f>COUNTIF(H$2:H1110,H1110)</f>
        <v>33</v>
      </c>
      <c r="C1110" s="195">
        <v>102319059</v>
      </c>
      <c r="D1110" s="5" t="s">
        <v>3679</v>
      </c>
      <c r="E1110" s="5" t="str">
        <f t="shared" si="40"/>
        <v>102319059 / 0075433510</v>
      </c>
      <c r="F1110" s="59" t="s">
        <v>3834</v>
      </c>
      <c r="G1110" s="57" t="s">
        <v>379</v>
      </c>
      <c r="H1110" s="150" t="s">
        <v>843</v>
      </c>
      <c r="I1110" s="5" t="s">
        <v>5518</v>
      </c>
      <c r="J1110" s="5" t="s">
        <v>4671</v>
      </c>
      <c r="K1110" s="5" t="str">
        <f t="shared" si="42"/>
        <v>LTKJ</v>
      </c>
      <c r="L1110" s="53"/>
      <c r="M1110" s="53"/>
      <c r="N1110" s="53"/>
      <c r="O1110" s="53"/>
      <c r="P1110" s="53"/>
      <c r="Q1110" s="53"/>
      <c r="R1110" s="53"/>
      <c r="S1110" s="53"/>
      <c r="T1110" s="53"/>
      <c r="U1110" s="53"/>
      <c r="V1110" s="53"/>
      <c r="W1110" s="53"/>
    </row>
    <row r="1111" spans="1:23" x14ac:dyDescent="0.25">
      <c r="A1111" s="58" t="str">
        <f t="shared" si="41"/>
        <v>XII TKJ 134</v>
      </c>
      <c r="B1111" s="171">
        <f>COUNTIF(H$2:H1111,H1111)</f>
        <v>34</v>
      </c>
      <c r="C1111" s="195">
        <v>102319060</v>
      </c>
      <c r="D1111" s="5" t="s">
        <v>3680</v>
      </c>
      <c r="E1111" s="5" t="str">
        <f t="shared" si="40"/>
        <v>102319060 / 0082480255</v>
      </c>
      <c r="F1111" s="59" t="s">
        <v>3681</v>
      </c>
      <c r="G1111" s="57" t="s">
        <v>379</v>
      </c>
      <c r="H1111" s="150" t="s">
        <v>843</v>
      </c>
      <c r="I1111" s="5" t="s">
        <v>5518</v>
      </c>
      <c r="J1111" s="5" t="s">
        <v>4671</v>
      </c>
      <c r="K1111" s="5" t="str">
        <f t="shared" si="42"/>
        <v>LTKJ</v>
      </c>
      <c r="L1111" s="53"/>
      <c r="M1111" s="53"/>
      <c r="N1111" s="53"/>
      <c r="O1111" s="53"/>
      <c r="P1111" s="53"/>
      <c r="Q1111" s="53"/>
      <c r="R1111" s="53"/>
      <c r="S1111" s="53"/>
      <c r="T1111" s="53"/>
      <c r="U1111" s="53"/>
      <c r="V1111" s="53"/>
      <c r="W1111" s="53"/>
    </row>
    <row r="1112" spans="1:23" x14ac:dyDescent="0.25">
      <c r="A1112" s="58" t="str">
        <f t="shared" si="41"/>
        <v>XII TKJ 135</v>
      </c>
      <c r="B1112" s="171">
        <f>COUNTIF(H$2:H1112,H1112)</f>
        <v>35</v>
      </c>
      <c r="C1112" s="195">
        <v>102319061</v>
      </c>
      <c r="D1112" s="5" t="s">
        <v>3682</v>
      </c>
      <c r="E1112" s="5" t="str">
        <f t="shared" si="40"/>
        <v>102319061 / 0088869033</v>
      </c>
      <c r="F1112" s="59" t="s">
        <v>3683</v>
      </c>
      <c r="G1112" s="57" t="s">
        <v>379</v>
      </c>
      <c r="H1112" s="150" t="s">
        <v>843</v>
      </c>
      <c r="I1112" s="5" t="s">
        <v>5518</v>
      </c>
      <c r="J1112" s="5" t="s">
        <v>4671</v>
      </c>
      <c r="K1112" s="5" t="str">
        <f t="shared" si="42"/>
        <v>LTKJ</v>
      </c>
      <c r="L1112" s="53"/>
      <c r="M1112" s="53"/>
      <c r="N1112" s="53"/>
      <c r="O1112" s="53"/>
      <c r="P1112" s="53"/>
      <c r="Q1112" s="53"/>
      <c r="R1112" s="53"/>
      <c r="S1112" s="53"/>
      <c r="T1112" s="53"/>
      <c r="U1112" s="53"/>
      <c r="V1112" s="53"/>
      <c r="W1112" s="53"/>
    </row>
    <row r="1113" spans="1:23" x14ac:dyDescent="0.25">
      <c r="A1113" s="58" t="str">
        <f t="shared" si="41"/>
        <v>XII TKJ 136</v>
      </c>
      <c r="B1113" s="171">
        <f>COUNTIF(H$2:H1113,H1113)</f>
        <v>36</v>
      </c>
      <c r="C1113" s="195">
        <v>102319062</v>
      </c>
      <c r="D1113" s="5" t="s">
        <v>3684</v>
      </c>
      <c r="E1113" s="5" t="str">
        <f t="shared" si="40"/>
        <v>102319062 / 0079453347</v>
      </c>
      <c r="F1113" s="59" t="s">
        <v>3685</v>
      </c>
      <c r="G1113" s="57" t="s">
        <v>379</v>
      </c>
      <c r="H1113" s="150" t="s">
        <v>843</v>
      </c>
      <c r="I1113" s="5" t="s">
        <v>5518</v>
      </c>
      <c r="J1113" s="5" t="s">
        <v>4671</v>
      </c>
      <c r="K1113" s="5" t="str">
        <f t="shared" si="42"/>
        <v>LTKJ</v>
      </c>
      <c r="L1113" s="53"/>
      <c r="M1113" s="53"/>
      <c r="N1113" s="53"/>
      <c r="O1113" s="53"/>
      <c r="P1113" s="53"/>
      <c r="Q1113" s="53"/>
      <c r="R1113" s="53"/>
      <c r="S1113" s="53"/>
      <c r="T1113" s="53"/>
      <c r="U1113" s="53"/>
      <c r="V1113" s="53"/>
      <c r="W1113" s="53"/>
    </row>
    <row r="1114" spans="1:23" x14ac:dyDescent="0.25">
      <c r="A1114" s="58" t="str">
        <f t="shared" si="41"/>
        <v>XII TKJ 21</v>
      </c>
      <c r="B1114" s="171">
        <f>COUNTIF(H$2:H1114,H1114)</f>
        <v>1</v>
      </c>
      <c r="C1114" s="195">
        <v>102319063</v>
      </c>
      <c r="D1114" s="5" t="s">
        <v>3686</v>
      </c>
      <c r="E1114" s="5" t="str">
        <f t="shared" si="40"/>
        <v>102319063 / 0071820956</v>
      </c>
      <c r="F1114" s="59" t="s">
        <v>3687</v>
      </c>
      <c r="G1114" s="57" t="s">
        <v>379</v>
      </c>
      <c r="H1114" s="150" t="s">
        <v>846</v>
      </c>
      <c r="I1114" s="5" t="s">
        <v>5518</v>
      </c>
      <c r="J1114" s="5" t="s">
        <v>4671</v>
      </c>
      <c r="K1114" s="5" t="str">
        <f t="shared" si="42"/>
        <v>LTKJ</v>
      </c>
      <c r="L1114" s="53"/>
      <c r="M1114" s="53"/>
      <c r="N1114" s="53"/>
      <c r="O1114" s="53"/>
      <c r="P1114" s="53"/>
      <c r="Q1114" s="53"/>
      <c r="R1114" s="53"/>
      <c r="S1114" s="53"/>
      <c r="T1114" s="53"/>
      <c r="U1114" s="53"/>
      <c r="V1114" s="53"/>
      <c r="W1114" s="53"/>
    </row>
    <row r="1115" spans="1:23" x14ac:dyDescent="0.25">
      <c r="A1115" s="58" t="str">
        <f t="shared" si="41"/>
        <v>XII TKJ 22</v>
      </c>
      <c r="B1115" s="171">
        <f>COUNTIF(H$2:H1115,H1115)</f>
        <v>2</v>
      </c>
      <c r="C1115" s="195">
        <v>102319065</v>
      </c>
      <c r="D1115" s="5" t="s">
        <v>3689</v>
      </c>
      <c r="E1115" s="5" t="str">
        <f t="shared" si="40"/>
        <v>102319065 / 0077341046</v>
      </c>
      <c r="F1115" s="59" t="s">
        <v>3690</v>
      </c>
      <c r="G1115" s="57" t="s">
        <v>379</v>
      </c>
      <c r="H1115" s="150" t="s">
        <v>846</v>
      </c>
      <c r="I1115" s="5" t="s">
        <v>5518</v>
      </c>
      <c r="J1115" s="5" t="s">
        <v>4671</v>
      </c>
      <c r="K1115" s="5" t="str">
        <f t="shared" si="42"/>
        <v>LTKJ</v>
      </c>
      <c r="L1115" s="53"/>
      <c r="M1115" s="53"/>
      <c r="N1115" s="53"/>
      <c r="O1115" s="53"/>
      <c r="P1115" s="53"/>
      <c r="Q1115" s="53"/>
      <c r="R1115" s="53"/>
      <c r="S1115" s="53"/>
      <c r="T1115" s="53"/>
      <c r="U1115" s="53"/>
      <c r="V1115" s="53"/>
      <c r="W1115" s="53"/>
    </row>
    <row r="1116" spans="1:23" x14ac:dyDescent="0.25">
      <c r="A1116" s="58" t="str">
        <f t="shared" si="41"/>
        <v>XII TKJ 23</v>
      </c>
      <c r="B1116" s="171">
        <f>COUNTIF(H$2:H1116,H1116)</f>
        <v>3</v>
      </c>
      <c r="C1116" s="195">
        <v>102319066</v>
      </c>
      <c r="D1116" s="5" t="s">
        <v>3691</v>
      </c>
      <c r="E1116" s="5" t="str">
        <f t="shared" si="40"/>
        <v>102319066 / 0082401764</v>
      </c>
      <c r="F1116" s="59" t="s">
        <v>3692</v>
      </c>
      <c r="G1116" s="57" t="s">
        <v>381</v>
      </c>
      <c r="H1116" s="150" t="s">
        <v>846</v>
      </c>
      <c r="I1116" s="5" t="s">
        <v>5518</v>
      </c>
      <c r="J1116" s="5" t="s">
        <v>4671</v>
      </c>
      <c r="K1116" s="5" t="str">
        <f t="shared" si="42"/>
        <v>PTKJ</v>
      </c>
      <c r="L1116" s="53"/>
      <c r="M1116" s="53"/>
      <c r="N1116" s="53"/>
      <c r="O1116" s="53"/>
      <c r="P1116" s="53"/>
      <c r="Q1116" s="53"/>
      <c r="R1116" s="53"/>
      <c r="S1116" s="53"/>
      <c r="T1116" s="53"/>
      <c r="U1116" s="53"/>
      <c r="V1116" s="53"/>
      <c r="W1116" s="53"/>
    </row>
    <row r="1117" spans="1:23" x14ac:dyDescent="0.25">
      <c r="A1117" s="58" t="str">
        <f t="shared" si="41"/>
        <v>XII TKJ 24</v>
      </c>
      <c r="B1117" s="171">
        <f>COUNTIF(H$2:H1117,H1117)</f>
        <v>4</v>
      </c>
      <c r="C1117" s="195">
        <v>102319067</v>
      </c>
      <c r="D1117" s="5" t="s">
        <v>3693</v>
      </c>
      <c r="E1117" s="5" t="str">
        <f t="shared" si="40"/>
        <v>102319067 / 0084363714</v>
      </c>
      <c r="F1117" s="59" t="s">
        <v>3694</v>
      </c>
      <c r="G1117" s="57" t="s">
        <v>379</v>
      </c>
      <c r="H1117" s="150" t="s">
        <v>846</v>
      </c>
      <c r="I1117" s="5" t="s">
        <v>5518</v>
      </c>
      <c r="J1117" s="5" t="s">
        <v>4671</v>
      </c>
      <c r="K1117" s="5" t="str">
        <f t="shared" si="42"/>
        <v>LTKJ</v>
      </c>
      <c r="L1117" s="53"/>
      <c r="M1117" s="53"/>
      <c r="N1117" s="53"/>
      <c r="O1117" s="53"/>
      <c r="P1117" s="53"/>
      <c r="Q1117" s="53"/>
      <c r="R1117" s="53"/>
      <c r="S1117" s="53"/>
      <c r="T1117" s="53"/>
      <c r="U1117" s="53"/>
      <c r="V1117" s="53"/>
      <c r="W1117" s="53"/>
    </row>
    <row r="1118" spans="1:23" x14ac:dyDescent="0.25">
      <c r="A1118" s="58" t="str">
        <f t="shared" si="41"/>
        <v>XII TKJ 25</v>
      </c>
      <c r="B1118" s="171">
        <f>COUNTIF(H$2:H1118,H1118)</f>
        <v>5</v>
      </c>
      <c r="C1118" s="195">
        <v>102319068</v>
      </c>
      <c r="D1118" s="5" t="s">
        <v>3695</v>
      </c>
      <c r="E1118" s="5" t="str">
        <f t="shared" si="40"/>
        <v>102319068 / 0083311277</v>
      </c>
      <c r="F1118" s="59" t="s">
        <v>3696</v>
      </c>
      <c r="G1118" s="57" t="s">
        <v>379</v>
      </c>
      <c r="H1118" s="150" t="s">
        <v>846</v>
      </c>
      <c r="I1118" s="5" t="s">
        <v>5518</v>
      </c>
      <c r="J1118" s="5" t="s">
        <v>4671</v>
      </c>
      <c r="K1118" s="5" t="str">
        <f t="shared" si="42"/>
        <v>LTKJ</v>
      </c>
      <c r="L1118" s="53"/>
      <c r="M1118" s="53"/>
      <c r="N1118" s="53"/>
      <c r="O1118" s="53"/>
      <c r="P1118" s="53"/>
      <c r="Q1118" s="53"/>
      <c r="R1118" s="53"/>
      <c r="S1118" s="53"/>
      <c r="T1118" s="53"/>
      <c r="U1118" s="53"/>
      <c r="V1118" s="53"/>
      <c r="W1118" s="53"/>
    </row>
    <row r="1119" spans="1:23" x14ac:dyDescent="0.25">
      <c r="A1119" s="58" t="str">
        <f t="shared" si="41"/>
        <v>XII TKJ 26</v>
      </c>
      <c r="B1119" s="171">
        <f>COUNTIF(H$2:H1119,H1119)</f>
        <v>6</v>
      </c>
      <c r="C1119" s="195">
        <v>102319069</v>
      </c>
      <c r="D1119" s="5" t="s">
        <v>3697</v>
      </c>
      <c r="E1119" s="5" t="str">
        <f t="shared" si="40"/>
        <v>102319069 / 0088438965</v>
      </c>
      <c r="F1119" s="59" t="s">
        <v>3698</v>
      </c>
      <c r="G1119" s="57" t="s">
        <v>379</v>
      </c>
      <c r="H1119" s="150" t="s">
        <v>846</v>
      </c>
      <c r="I1119" s="5" t="s">
        <v>5518</v>
      </c>
      <c r="J1119" s="5" t="s">
        <v>4671</v>
      </c>
      <c r="K1119" s="5" t="str">
        <f t="shared" si="42"/>
        <v>LTKJ</v>
      </c>
      <c r="L1119" s="53"/>
      <c r="M1119" s="53"/>
      <c r="N1119" s="53"/>
      <c r="O1119" s="53"/>
      <c r="P1119" s="53"/>
      <c r="Q1119" s="53"/>
      <c r="R1119" s="53"/>
      <c r="S1119" s="53"/>
      <c r="T1119" s="53"/>
      <c r="U1119" s="53"/>
      <c r="V1119" s="53"/>
      <c r="W1119" s="53"/>
    </row>
    <row r="1120" spans="1:23" x14ac:dyDescent="0.25">
      <c r="A1120" s="58" t="str">
        <f t="shared" si="41"/>
        <v>XII TKJ 27</v>
      </c>
      <c r="B1120" s="171">
        <f>COUNTIF(H$2:H1120,H1120)</f>
        <v>7</v>
      </c>
      <c r="C1120" s="195">
        <v>102319070</v>
      </c>
      <c r="D1120" s="5" t="s">
        <v>3699</v>
      </c>
      <c r="E1120" s="5" t="str">
        <f t="shared" ref="E1120:E1178" si="43">C1120&amp; " / "&amp; D1120</f>
        <v>102319070 / 0072972593</v>
      </c>
      <c r="F1120" s="59" t="s">
        <v>3700</v>
      </c>
      <c r="G1120" s="57" t="s">
        <v>379</v>
      </c>
      <c r="H1120" s="150" t="s">
        <v>846</v>
      </c>
      <c r="I1120" s="5" t="s">
        <v>5518</v>
      </c>
      <c r="J1120" s="5" t="s">
        <v>4671</v>
      </c>
      <c r="K1120" s="5" t="str">
        <f t="shared" si="42"/>
        <v>LTKJ</v>
      </c>
      <c r="L1120" s="53"/>
      <c r="M1120" s="53"/>
      <c r="N1120" s="53"/>
      <c r="O1120" s="53"/>
      <c r="P1120" s="53"/>
      <c r="Q1120" s="53"/>
      <c r="R1120" s="53"/>
      <c r="S1120" s="53"/>
      <c r="T1120" s="53"/>
      <c r="U1120" s="53"/>
      <c r="V1120" s="53"/>
      <c r="W1120" s="53"/>
    </row>
    <row r="1121" spans="1:23" x14ac:dyDescent="0.25">
      <c r="A1121" s="58" t="str">
        <f t="shared" si="41"/>
        <v>XII TKJ 28</v>
      </c>
      <c r="B1121" s="171">
        <f>COUNTIF(H$2:H1121,H1121)</f>
        <v>8</v>
      </c>
      <c r="C1121" s="195">
        <v>102319071</v>
      </c>
      <c r="D1121" s="5" t="s">
        <v>3701</v>
      </c>
      <c r="E1121" s="5" t="str">
        <f t="shared" si="43"/>
        <v>102319071 / 0088114927</v>
      </c>
      <c r="F1121" s="59" t="s">
        <v>3702</v>
      </c>
      <c r="G1121" s="57" t="s">
        <v>379</v>
      </c>
      <c r="H1121" s="150" t="s">
        <v>846</v>
      </c>
      <c r="I1121" s="5" t="s">
        <v>5518</v>
      </c>
      <c r="J1121" s="5" t="s">
        <v>4671</v>
      </c>
      <c r="K1121" s="5" t="str">
        <f t="shared" si="42"/>
        <v>LTKJ</v>
      </c>
      <c r="L1121" s="53"/>
      <c r="M1121" s="53"/>
      <c r="N1121" s="53"/>
      <c r="O1121" s="53"/>
      <c r="P1121" s="53"/>
      <c r="Q1121" s="53"/>
      <c r="R1121" s="53"/>
      <c r="S1121" s="53"/>
      <c r="T1121" s="53"/>
      <c r="U1121" s="53"/>
      <c r="V1121" s="53"/>
      <c r="W1121" s="53"/>
    </row>
    <row r="1122" spans="1:23" x14ac:dyDescent="0.25">
      <c r="A1122" s="58" t="str">
        <f t="shared" si="41"/>
        <v>XII TKJ 29</v>
      </c>
      <c r="B1122" s="171">
        <f>COUNTIF(H$2:H1122,H1122)</f>
        <v>9</v>
      </c>
      <c r="C1122" s="195">
        <v>102319072</v>
      </c>
      <c r="D1122" s="5" t="s">
        <v>3703</v>
      </c>
      <c r="E1122" s="5" t="str">
        <f t="shared" si="43"/>
        <v>102319072 / 0072311255</v>
      </c>
      <c r="F1122" s="59" t="s">
        <v>3704</v>
      </c>
      <c r="G1122" s="57" t="s">
        <v>379</v>
      </c>
      <c r="H1122" s="150" t="s">
        <v>846</v>
      </c>
      <c r="I1122" s="5" t="s">
        <v>5518</v>
      </c>
      <c r="J1122" s="5" t="s">
        <v>4671</v>
      </c>
      <c r="K1122" s="5" t="str">
        <f t="shared" si="42"/>
        <v>LTKJ</v>
      </c>
      <c r="L1122" s="53"/>
      <c r="M1122" s="53"/>
      <c r="N1122" s="53"/>
      <c r="O1122" s="53"/>
      <c r="P1122" s="53"/>
      <c r="Q1122" s="53"/>
      <c r="R1122" s="53"/>
      <c r="S1122" s="53"/>
      <c r="T1122" s="53"/>
      <c r="U1122" s="53"/>
      <c r="V1122" s="53"/>
      <c r="W1122" s="53"/>
    </row>
    <row r="1123" spans="1:23" x14ac:dyDescent="0.25">
      <c r="A1123" s="58" t="str">
        <f t="shared" si="41"/>
        <v>XII TKJ 210</v>
      </c>
      <c r="B1123" s="171">
        <f>COUNTIF(H$2:H1123,H1123)</f>
        <v>10</v>
      </c>
      <c r="C1123" s="195">
        <v>102319073</v>
      </c>
      <c r="D1123" s="5" t="s">
        <v>3705</v>
      </c>
      <c r="E1123" s="5" t="str">
        <f t="shared" si="43"/>
        <v>102319073 / 0077788249</v>
      </c>
      <c r="F1123" s="59" t="s">
        <v>3706</v>
      </c>
      <c r="G1123" s="57" t="s">
        <v>379</v>
      </c>
      <c r="H1123" s="150" t="s">
        <v>846</v>
      </c>
      <c r="I1123" s="5" t="s">
        <v>5518</v>
      </c>
      <c r="J1123" s="5" t="s">
        <v>4671</v>
      </c>
      <c r="K1123" s="5" t="str">
        <f t="shared" si="42"/>
        <v>LTKJ</v>
      </c>
      <c r="L1123" s="53"/>
      <c r="M1123" s="53"/>
      <c r="N1123" s="53"/>
      <c r="O1123" s="53"/>
      <c r="P1123" s="53"/>
      <c r="Q1123" s="53"/>
      <c r="R1123" s="53"/>
      <c r="S1123" s="53"/>
      <c r="T1123" s="53"/>
      <c r="U1123" s="53"/>
      <c r="V1123" s="53"/>
      <c r="W1123" s="53"/>
    </row>
    <row r="1124" spans="1:23" x14ac:dyDescent="0.25">
      <c r="A1124" s="58" t="str">
        <f t="shared" si="41"/>
        <v>XII TKJ 211</v>
      </c>
      <c r="B1124" s="171">
        <f>COUNTIF(H$2:H1124,H1124)</f>
        <v>11</v>
      </c>
      <c r="C1124" s="195">
        <v>102319074</v>
      </c>
      <c r="D1124" s="5" t="s">
        <v>3707</v>
      </c>
      <c r="E1124" s="5" t="str">
        <f t="shared" si="43"/>
        <v>102319074 / 0068296356</v>
      </c>
      <c r="F1124" s="59" t="s">
        <v>3708</v>
      </c>
      <c r="G1124" s="57" t="s">
        <v>379</v>
      </c>
      <c r="H1124" s="150" t="s">
        <v>846</v>
      </c>
      <c r="I1124" s="5" t="s">
        <v>5518</v>
      </c>
      <c r="J1124" s="5" t="s">
        <v>4671</v>
      </c>
      <c r="K1124" s="5" t="str">
        <f t="shared" si="42"/>
        <v>LTKJ</v>
      </c>
      <c r="L1124" s="53"/>
      <c r="M1124" s="53"/>
      <c r="N1124" s="53"/>
      <c r="O1124" s="53"/>
      <c r="P1124" s="53"/>
      <c r="Q1124" s="53"/>
      <c r="R1124" s="53"/>
      <c r="S1124" s="53"/>
      <c r="T1124" s="53"/>
      <c r="U1124" s="53"/>
      <c r="V1124" s="53"/>
      <c r="W1124" s="53"/>
    </row>
    <row r="1125" spans="1:23" x14ac:dyDescent="0.25">
      <c r="A1125" s="58" t="str">
        <f t="shared" si="41"/>
        <v>XII TKJ 212</v>
      </c>
      <c r="B1125" s="171">
        <f>COUNTIF(H$2:H1125,H1125)</f>
        <v>12</v>
      </c>
      <c r="C1125" s="195">
        <v>102319075</v>
      </c>
      <c r="D1125" s="5" t="s">
        <v>3709</v>
      </c>
      <c r="E1125" s="5" t="str">
        <f t="shared" si="43"/>
        <v>102319075 / 0074221882</v>
      </c>
      <c r="F1125" s="59" t="s">
        <v>3710</v>
      </c>
      <c r="G1125" s="57" t="s">
        <v>379</v>
      </c>
      <c r="H1125" s="150" t="s">
        <v>846</v>
      </c>
      <c r="I1125" s="5" t="s">
        <v>5518</v>
      </c>
      <c r="J1125" s="5" t="s">
        <v>4671</v>
      </c>
      <c r="K1125" s="5" t="str">
        <f t="shared" si="42"/>
        <v>LTKJ</v>
      </c>
      <c r="L1125" s="53"/>
      <c r="M1125" s="53"/>
      <c r="N1125" s="53"/>
      <c r="O1125" s="53"/>
      <c r="P1125" s="53"/>
      <c r="Q1125" s="53"/>
      <c r="R1125" s="53"/>
      <c r="S1125" s="53"/>
      <c r="T1125" s="53"/>
      <c r="U1125" s="53"/>
      <c r="V1125" s="53"/>
      <c r="W1125" s="53"/>
    </row>
    <row r="1126" spans="1:23" x14ac:dyDescent="0.25">
      <c r="A1126" s="58" t="str">
        <f t="shared" si="41"/>
        <v>XII TKJ 213</v>
      </c>
      <c r="B1126" s="171">
        <f>COUNTIF(H$2:H1126,H1126)</f>
        <v>13</v>
      </c>
      <c r="C1126" s="195">
        <v>102319076</v>
      </c>
      <c r="D1126" s="5" t="s">
        <v>3711</v>
      </c>
      <c r="E1126" s="5" t="str">
        <f t="shared" si="43"/>
        <v>102319076 / 0041192086</v>
      </c>
      <c r="F1126" s="59" t="s">
        <v>3712</v>
      </c>
      <c r="G1126" s="57" t="s">
        <v>379</v>
      </c>
      <c r="H1126" s="150" t="s">
        <v>846</v>
      </c>
      <c r="I1126" s="5" t="s">
        <v>5518</v>
      </c>
      <c r="J1126" s="5" t="s">
        <v>4671</v>
      </c>
      <c r="K1126" s="5" t="str">
        <f t="shared" si="42"/>
        <v>LTKJ</v>
      </c>
      <c r="L1126" s="53"/>
      <c r="M1126" s="53"/>
      <c r="N1126" s="53"/>
      <c r="O1126" s="53"/>
      <c r="P1126" s="53"/>
      <c r="Q1126" s="53"/>
      <c r="R1126" s="53"/>
      <c r="S1126" s="53"/>
      <c r="T1126" s="53"/>
      <c r="U1126" s="53"/>
      <c r="V1126" s="53"/>
      <c r="W1126" s="53"/>
    </row>
    <row r="1127" spans="1:23" x14ac:dyDescent="0.25">
      <c r="A1127" s="58" t="str">
        <f t="shared" si="41"/>
        <v>XII TKJ 214</v>
      </c>
      <c r="B1127" s="171">
        <f>COUNTIF(H$2:H1127,H1127)</f>
        <v>14</v>
      </c>
      <c r="C1127" s="195">
        <v>102319077</v>
      </c>
      <c r="D1127" s="5" t="s">
        <v>3713</v>
      </c>
      <c r="E1127" s="5" t="str">
        <f t="shared" si="43"/>
        <v>102319077 / 0084184222</v>
      </c>
      <c r="F1127" s="59" t="s">
        <v>3714</v>
      </c>
      <c r="G1127" s="57" t="s">
        <v>379</v>
      </c>
      <c r="H1127" s="150" t="s">
        <v>846</v>
      </c>
      <c r="I1127" s="5" t="s">
        <v>5518</v>
      </c>
      <c r="J1127" s="5" t="s">
        <v>4671</v>
      </c>
      <c r="K1127" s="5" t="str">
        <f t="shared" si="42"/>
        <v>LTKJ</v>
      </c>
      <c r="L1127" s="53"/>
      <c r="M1127" s="53"/>
      <c r="N1127" s="53"/>
      <c r="O1127" s="53"/>
      <c r="P1127" s="53"/>
      <c r="Q1127" s="53"/>
      <c r="R1127" s="53"/>
      <c r="S1127" s="53"/>
      <c r="T1127" s="53"/>
      <c r="U1127" s="53"/>
      <c r="V1127" s="53"/>
      <c r="W1127" s="53"/>
    </row>
    <row r="1128" spans="1:23" x14ac:dyDescent="0.25">
      <c r="A1128" s="58" t="str">
        <f t="shared" si="41"/>
        <v>XII TKJ 215</v>
      </c>
      <c r="B1128" s="171">
        <f>COUNTIF(H$2:H1128,H1128)</f>
        <v>15</v>
      </c>
      <c r="C1128" s="195">
        <v>102319078</v>
      </c>
      <c r="D1128" s="5" t="s">
        <v>3715</v>
      </c>
      <c r="E1128" s="5" t="str">
        <f t="shared" si="43"/>
        <v>102319078 / 0082117383</v>
      </c>
      <c r="F1128" s="59" t="s">
        <v>3716</v>
      </c>
      <c r="G1128" s="57" t="s">
        <v>379</v>
      </c>
      <c r="H1128" s="150" t="s">
        <v>846</v>
      </c>
      <c r="I1128" s="5" t="s">
        <v>5518</v>
      </c>
      <c r="J1128" s="5" t="s">
        <v>4671</v>
      </c>
      <c r="K1128" s="5" t="str">
        <f t="shared" si="42"/>
        <v>LTKJ</v>
      </c>
      <c r="L1128" s="53"/>
      <c r="M1128" s="53"/>
      <c r="N1128" s="53"/>
      <c r="O1128" s="53"/>
      <c r="P1128" s="53"/>
      <c r="Q1128" s="53"/>
      <c r="R1128" s="53"/>
      <c r="S1128" s="53"/>
      <c r="T1128" s="53"/>
      <c r="U1128" s="53"/>
      <c r="V1128" s="53"/>
      <c r="W1128" s="53"/>
    </row>
    <row r="1129" spans="1:23" x14ac:dyDescent="0.25">
      <c r="A1129" s="58" t="str">
        <f t="shared" si="41"/>
        <v>XII TKJ 216</v>
      </c>
      <c r="B1129" s="171">
        <f>COUNTIF(H$2:H1129,H1129)</f>
        <v>16</v>
      </c>
      <c r="C1129" s="195">
        <v>102319079</v>
      </c>
      <c r="D1129" s="5" t="s">
        <v>3717</v>
      </c>
      <c r="E1129" s="5" t="str">
        <f t="shared" si="43"/>
        <v>102319079 / 0087193240</v>
      </c>
      <c r="F1129" s="59" t="s">
        <v>3718</v>
      </c>
      <c r="G1129" s="57" t="s">
        <v>379</v>
      </c>
      <c r="H1129" s="150" t="s">
        <v>846</v>
      </c>
      <c r="I1129" s="5" t="s">
        <v>5518</v>
      </c>
      <c r="J1129" s="5" t="s">
        <v>4671</v>
      </c>
      <c r="K1129" s="5" t="str">
        <f t="shared" si="42"/>
        <v>LTKJ</v>
      </c>
      <c r="L1129" s="53"/>
      <c r="M1129" s="53"/>
      <c r="N1129" s="53"/>
      <c r="O1129" s="53"/>
      <c r="P1129" s="53"/>
      <c r="Q1129" s="53"/>
      <c r="R1129" s="53"/>
      <c r="S1129" s="53"/>
      <c r="T1129" s="53"/>
      <c r="U1129" s="53"/>
      <c r="V1129" s="53"/>
      <c r="W1129" s="53"/>
    </row>
    <row r="1130" spans="1:23" x14ac:dyDescent="0.25">
      <c r="A1130" s="58" t="str">
        <f t="shared" si="41"/>
        <v>XII TKJ 217</v>
      </c>
      <c r="B1130" s="171">
        <f>COUNTIF(H$2:H1130,H1130)</f>
        <v>17</v>
      </c>
      <c r="C1130" s="195">
        <v>102319080</v>
      </c>
      <c r="D1130" s="5" t="s">
        <v>3719</v>
      </c>
      <c r="E1130" s="5" t="str">
        <f t="shared" si="43"/>
        <v>102319080 / 0077687408</v>
      </c>
      <c r="F1130" s="59" t="s">
        <v>3720</v>
      </c>
      <c r="G1130" s="57" t="s">
        <v>379</v>
      </c>
      <c r="H1130" s="150" t="s">
        <v>846</v>
      </c>
      <c r="I1130" s="5" t="s">
        <v>5518</v>
      </c>
      <c r="J1130" s="5" t="s">
        <v>4671</v>
      </c>
      <c r="K1130" s="5" t="str">
        <f t="shared" si="42"/>
        <v>LTKJ</v>
      </c>
      <c r="L1130" s="53"/>
      <c r="M1130" s="53"/>
      <c r="N1130" s="53"/>
      <c r="O1130" s="53"/>
      <c r="P1130" s="53"/>
      <c r="Q1130" s="53"/>
      <c r="R1130" s="53"/>
      <c r="S1130" s="53"/>
      <c r="T1130" s="53"/>
      <c r="U1130" s="53"/>
      <c r="V1130" s="53"/>
      <c r="W1130" s="53"/>
    </row>
    <row r="1131" spans="1:23" x14ac:dyDescent="0.25">
      <c r="A1131" s="58" t="str">
        <f t="shared" ref="A1131:A1194" si="44">H1131&amp;B1131</f>
        <v>XII TKJ 218</v>
      </c>
      <c r="B1131" s="171">
        <f>COUNTIF(H$2:H1131,H1131)</f>
        <v>18</v>
      </c>
      <c r="C1131" s="195">
        <v>102319081</v>
      </c>
      <c r="D1131" s="5" t="s">
        <v>3721</v>
      </c>
      <c r="E1131" s="5" t="str">
        <f t="shared" si="43"/>
        <v>102319081 / 0084178875</v>
      </c>
      <c r="F1131" s="59" t="s">
        <v>3722</v>
      </c>
      <c r="G1131" s="57" t="s">
        <v>379</v>
      </c>
      <c r="H1131" s="150" t="s">
        <v>846</v>
      </c>
      <c r="I1131" s="5" t="s">
        <v>5518</v>
      </c>
      <c r="J1131" s="5" t="s">
        <v>4671</v>
      </c>
      <c r="K1131" s="5" t="str">
        <f t="shared" si="42"/>
        <v>LTKJ</v>
      </c>
      <c r="L1131" s="53"/>
      <c r="M1131" s="53"/>
      <c r="N1131" s="53"/>
      <c r="O1131" s="53"/>
      <c r="P1131" s="53"/>
      <c r="Q1131" s="53"/>
      <c r="R1131" s="53"/>
      <c r="S1131" s="53"/>
      <c r="T1131" s="53"/>
      <c r="U1131" s="53"/>
      <c r="V1131" s="53"/>
      <c r="W1131" s="53"/>
    </row>
    <row r="1132" spans="1:23" x14ac:dyDescent="0.25">
      <c r="A1132" s="58" t="str">
        <f t="shared" si="44"/>
        <v>XII TKJ 219</v>
      </c>
      <c r="B1132" s="171">
        <f>COUNTIF(H$2:H1132,H1132)</f>
        <v>19</v>
      </c>
      <c r="C1132" s="195">
        <v>102319082</v>
      </c>
      <c r="D1132" s="5" t="s">
        <v>3723</v>
      </c>
      <c r="E1132" s="5" t="str">
        <f t="shared" si="43"/>
        <v>102319082 / 0076239172</v>
      </c>
      <c r="F1132" s="59" t="s">
        <v>3724</v>
      </c>
      <c r="G1132" s="57" t="s">
        <v>379</v>
      </c>
      <c r="H1132" s="150" t="s">
        <v>846</v>
      </c>
      <c r="I1132" s="5" t="s">
        <v>5518</v>
      </c>
      <c r="J1132" s="5" t="s">
        <v>4671</v>
      </c>
      <c r="K1132" s="5" t="str">
        <f t="shared" si="42"/>
        <v>LTKJ</v>
      </c>
      <c r="L1132" s="53"/>
      <c r="M1132" s="53"/>
      <c r="N1132" s="53"/>
      <c r="O1132" s="53"/>
      <c r="P1132" s="53"/>
      <c r="Q1132" s="53"/>
      <c r="R1132" s="53"/>
      <c r="S1132" s="53"/>
      <c r="T1132" s="53"/>
      <c r="U1132" s="53"/>
      <c r="V1132" s="53"/>
      <c r="W1132" s="53"/>
    </row>
    <row r="1133" spans="1:23" x14ac:dyDescent="0.25">
      <c r="A1133" s="58" t="str">
        <f t="shared" si="44"/>
        <v>XII TKJ 220</v>
      </c>
      <c r="B1133" s="171">
        <f>COUNTIF(H$2:H1133,H1133)</f>
        <v>20</v>
      </c>
      <c r="C1133" s="195">
        <v>102319083</v>
      </c>
      <c r="D1133" s="5" t="s">
        <v>3845</v>
      </c>
      <c r="E1133" s="5" t="str">
        <f t="shared" si="43"/>
        <v>102319083 / 0078988895</v>
      </c>
      <c r="F1133" s="59" t="s">
        <v>3846</v>
      </c>
      <c r="G1133" s="57" t="s">
        <v>379</v>
      </c>
      <c r="H1133" s="150" t="s">
        <v>846</v>
      </c>
      <c r="I1133" s="5" t="s">
        <v>5518</v>
      </c>
      <c r="J1133" s="5" t="s">
        <v>4671</v>
      </c>
      <c r="K1133" s="5" t="str">
        <f t="shared" si="42"/>
        <v>LTKJ</v>
      </c>
      <c r="L1133" s="53"/>
      <c r="M1133" s="53"/>
      <c r="N1133" s="53"/>
      <c r="O1133" s="53"/>
      <c r="P1133" s="53"/>
      <c r="Q1133" s="53"/>
      <c r="R1133" s="53"/>
      <c r="S1133" s="53"/>
      <c r="T1133" s="53"/>
      <c r="U1133" s="53"/>
      <c r="V1133" s="53"/>
      <c r="W1133" s="53"/>
    </row>
    <row r="1134" spans="1:23" x14ac:dyDescent="0.25">
      <c r="A1134" s="58" t="str">
        <f t="shared" si="44"/>
        <v>XII TKJ 221</v>
      </c>
      <c r="B1134" s="171">
        <f>COUNTIF(H$2:H1134,H1134)</f>
        <v>21</v>
      </c>
      <c r="C1134" s="195">
        <v>102319084</v>
      </c>
      <c r="D1134" s="5" t="s">
        <v>3725</v>
      </c>
      <c r="E1134" s="5" t="str">
        <f t="shared" si="43"/>
        <v>102319084 / 0075027953</v>
      </c>
      <c r="F1134" s="59" t="s">
        <v>3726</v>
      </c>
      <c r="G1134" s="57" t="s">
        <v>379</v>
      </c>
      <c r="H1134" s="150" t="s">
        <v>846</v>
      </c>
      <c r="I1134" s="5" t="s">
        <v>5518</v>
      </c>
      <c r="J1134" s="5" t="s">
        <v>4671</v>
      </c>
      <c r="K1134" s="5" t="str">
        <f t="shared" si="42"/>
        <v>LTKJ</v>
      </c>
      <c r="L1134" s="53"/>
      <c r="M1134" s="53"/>
      <c r="N1134" s="53"/>
      <c r="O1134" s="53"/>
      <c r="P1134" s="53"/>
      <c r="Q1134" s="53"/>
      <c r="R1134" s="53"/>
      <c r="S1134" s="53"/>
      <c r="T1134" s="53"/>
      <c r="U1134" s="53"/>
      <c r="V1134" s="53"/>
      <c r="W1134" s="53"/>
    </row>
    <row r="1135" spans="1:23" x14ac:dyDescent="0.25">
      <c r="A1135" s="58" t="str">
        <f t="shared" si="44"/>
        <v>XII TKJ 222</v>
      </c>
      <c r="B1135" s="171">
        <f>COUNTIF(H$2:H1135,H1135)</f>
        <v>22</v>
      </c>
      <c r="C1135" s="195">
        <v>102319085</v>
      </c>
      <c r="D1135" s="5" t="s">
        <v>3727</v>
      </c>
      <c r="E1135" s="5" t="str">
        <f t="shared" si="43"/>
        <v>102319085 / 0077885142</v>
      </c>
      <c r="F1135" s="59" t="s">
        <v>3728</v>
      </c>
      <c r="G1135" s="57" t="s">
        <v>379</v>
      </c>
      <c r="H1135" s="150" t="s">
        <v>846</v>
      </c>
      <c r="I1135" s="5" t="s">
        <v>5518</v>
      </c>
      <c r="J1135" s="5" t="s">
        <v>4671</v>
      </c>
      <c r="K1135" s="5" t="str">
        <f t="shared" si="42"/>
        <v>LTKJ</v>
      </c>
      <c r="L1135" s="53"/>
      <c r="M1135" s="53"/>
      <c r="N1135" s="53"/>
      <c r="O1135" s="53"/>
      <c r="P1135" s="53"/>
      <c r="Q1135" s="53"/>
      <c r="R1135" s="53"/>
      <c r="S1135" s="53"/>
      <c r="T1135" s="53"/>
      <c r="U1135" s="53"/>
      <c r="V1135" s="53"/>
      <c r="W1135" s="53"/>
    </row>
    <row r="1136" spans="1:23" x14ac:dyDescent="0.25">
      <c r="A1136" s="58" t="str">
        <f t="shared" si="44"/>
        <v>XII TKJ 223</v>
      </c>
      <c r="B1136" s="171">
        <f>COUNTIF(H$2:H1136,H1136)</f>
        <v>23</v>
      </c>
      <c r="C1136" s="195">
        <v>102319086</v>
      </c>
      <c r="D1136" s="5" t="s">
        <v>3729</v>
      </c>
      <c r="E1136" s="5" t="str">
        <f t="shared" si="43"/>
        <v>102319086 / 0074137257</v>
      </c>
      <c r="F1136" s="59" t="s">
        <v>3730</v>
      </c>
      <c r="G1136" s="57" t="s">
        <v>379</v>
      </c>
      <c r="H1136" s="150" t="s">
        <v>846</v>
      </c>
      <c r="I1136" s="5" t="s">
        <v>5518</v>
      </c>
      <c r="J1136" s="5" t="s">
        <v>4671</v>
      </c>
      <c r="K1136" s="5" t="str">
        <f t="shared" ref="K1136:K1177" si="45">G1136&amp;J1136</f>
        <v>LTKJ</v>
      </c>
      <c r="L1136" s="53"/>
      <c r="M1136" s="53"/>
      <c r="N1136" s="53"/>
      <c r="O1136" s="53"/>
      <c r="P1136" s="53"/>
      <c r="Q1136" s="53"/>
      <c r="R1136" s="53"/>
      <c r="S1136" s="53"/>
      <c r="T1136" s="53"/>
      <c r="U1136" s="53"/>
      <c r="V1136" s="53"/>
      <c r="W1136" s="53"/>
    </row>
    <row r="1137" spans="1:23" x14ac:dyDescent="0.25">
      <c r="A1137" s="58" t="str">
        <f t="shared" si="44"/>
        <v>XII TKJ 224</v>
      </c>
      <c r="B1137" s="171">
        <f>COUNTIF(H$2:H1137,H1137)</f>
        <v>24</v>
      </c>
      <c r="C1137" s="195">
        <v>102319087</v>
      </c>
      <c r="D1137" s="5" t="s">
        <v>3731</v>
      </c>
      <c r="E1137" s="5" t="str">
        <f t="shared" si="43"/>
        <v>102319087 / 0075586236</v>
      </c>
      <c r="F1137" s="59" t="s">
        <v>3732</v>
      </c>
      <c r="G1137" s="57" t="s">
        <v>379</v>
      </c>
      <c r="H1137" s="150" t="s">
        <v>846</v>
      </c>
      <c r="I1137" s="5" t="s">
        <v>5518</v>
      </c>
      <c r="J1137" s="5" t="s">
        <v>4671</v>
      </c>
      <c r="K1137" s="5" t="str">
        <f t="shared" si="45"/>
        <v>LTKJ</v>
      </c>
      <c r="L1137" s="53"/>
      <c r="M1137" s="53"/>
      <c r="N1137" s="53"/>
      <c r="O1137" s="53"/>
      <c r="P1137" s="53"/>
      <c r="Q1137" s="53"/>
      <c r="R1137" s="53"/>
      <c r="S1137" s="53"/>
      <c r="T1137" s="53"/>
      <c r="U1137" s="53"/>
      <c r="V1137" s="53"/>
      <c r="W1137" s="53"/>
    </row>
    <row r="1138" spans="1:23" x14ac:dyDescent="0.25">
      <c r="A1138" s="58" t="str">
        <f t="shared" si="44"/>
        <v>XII TKJ 225</v>
      </c>
      <c r="B1138" s="171">
        <f>COUNTIF(H$2:H1138,H1138)</f>
        <v>25</v>
      </c>
      <c r="C1138" s="195">
        <v>102319088</v>
      </c>
      <c r="D1138" s="5" t="s">
        <v>3733</v>
      </c>
      <c r="E1138" s="5" t="str">
        <f t="shared" si="43"/>
        <v>102319088 / 0071848231</v>
      </c>
      <c r="F1138" s="59" t="s">
        <v>3734</v>
      </c>
      <c r="G1138" s="57" t="s">
        <v>381</v>
      </c>
      <c r="H1138" s="150" t="s">
        <v>846</v>
      </c>
      <c r="I1138" s="5" t="s">
        <v>5518</v>
      </c>
      <c r="J1138" s="5" t="s">
        <v>4671</v>
      </c>
      <c r="K1138" s="5" t="str">
        <f t="shared" si="45"/>
        <v>PTKJ</v>
      </c>
      <c r="L1138" s="53"/>
      <c r="M1138" s="53"/>
      <c r="N1138" s="53"/>
      <c r="O1138" s="53"/>
      <c r="P1138" s="53"/>
      <c r="Q1138" s="53"/>
      <c r="R1138" s="53"/>
      <c r="S1138" s="53"/>
      <c r="T1138" s="53"/>
      <c r="U1138" s="53"/>
      <c r="V1138" s="53"/>
      <c r="W1138" s="53"/>
    </row>
    <row r="1139" spans="1:23" x14ac:dyDescent="0.25">
      <c r="A1139" s="58" t="str">
        <f t="shared" si="44"/>
        <v>XII TKJ 226</v>
      </c>
      <c r="B1139" s="171">
        <f>COUNTIF(H$2:H1139,H1139)</f>
        <v>26</v>
      </c>
      <c r="C1139" s="195">
        <v>102319089</v>
      </c>
      <c r="D1139" s="5" t="s">
        <v>3737</v>
      </c>
      <c r="E1139" s="5" t="str">
        <f t="shared" si="43"/>
        <v>102319089 / 0078307040</v>
      </c>
      <c r="F1139" s="59" t="s">
        <v>3738</v>
      </c>
      <c r="G1139" s="57" t="s">
        <v>379</v>
      </c>
      <c r="H1139" s="150" t="s">
        <v>846</v>
      </c>
      <c r="I1139" s="5" t="s">
        <v>5518</v>
      </c>
      <c r="J1139" s="5" t="s">
        <v>4671</v>
      </c>
      <c r="K1139" s="5" t="str">
        <f t="shared" si="45"/>
        <v>LTKJ</v>
      </c>
      <c r="L1139" s="53"/>
      <c r="M1139" s="53"/>
      <c r="N1139" s="53"/>
      <c r="O1139" s="53"/>
      <c r="P1139" s="53"/>
      <c r="Q1139" s="53"/>
      <c r="R1139" s="53"/>
      <c r="S1139" s="53"/>
      <c r="T1139" s="53"/>
      <c r="U1139" s="53"/>
      <c r="V1139" s="53"/>
      <c r="W1139" s="53"/>
    </row>
    <row r="1140" spans="1:23" x14ac:dyDescent="0.25">
      <c r="A1140" s="58" t="str">
        <f t="shared" si="44"/>
        <v>XII TKJ 227</v>
      </c>
      <c r="B1140" s="171">
        <f>COUNTIF(H$2:H1140,H1140)</f>
        <v>27</v>
      </c>
      <c r="C1140" s="195">
        <v>102319090</v>
      </c>
      <c r="D1140" s="5" t="s">
        <v>3739</v>
      </c>
      <c r="E1140" s="5" t="str">
        <f t="shared" si="43"/>
        <v>102319090 / 0074911724</v>
      </c>
      <c r="F1140" s="59" t="s">
        <v>3740</v>
      </c>
      <c r="G1140" s="57" t="s">
        <v>379</v>
      </c>
      <c r="H1140" s="150" t="s">
        <v>846</v>
      </c>
      <c r="I1140" s="5" t="s">
        <v>5518</v>
      </c>
      <c r="J1140" s="5" t="s">
        <v>4671</v>
      </c>
      <c r="K1140" s="5" t="str">
        <f t="shared" si="45"/>
        <v>LTKJ</v>
      </c>
      <c r="L1140" s="53"/>
      <c r="M1140" s="53"/>
      <c r="N1140" s="53"/>
      <c r="O1140" s="53"/>
      <c r="P1140" s="53"/>
      <c r="Q1140" s="53"/>
      <c r="R1140" s="53"/>
      <c r="S1140" s="53"/>
      <c r="T1140" s="53"/>
      <c r="U1140" s="53"/>
      <c r="V1140" s="53"/>
      <c r="W1140" s="53"/>
    </row>
    <row r="1141" spans="1:23" x14ac:dyDescent="0.25">
      <c r="A1141" s="58" t="str">
        <f t="shared" si="44"/>
        <v>XII TKJ 228</v>
      </c>
      <c r="B1141" s="171">
        <f>COUNTIF(H$2:H1141,H1141)</f>
        <v>28</v>
      </c>
      <c r="C1141" s="195">
        <v>102319091</v>
      </c>
      <c r="D1141" s="5" t="s">
        <v>3741</v>
      </c>
      <c r="E1141" s="5" t="str">
        <f t="shared" si="43"/>
        <v>102319091 / 0072673710</v>
      </c>
      <c r="F1141" s="59" t="s">
        <v>3742</v>
      </c>
      <c r="G1141" s="57" t="s">
        <v>379</v>
      </c>
      <c r="H1141" s="150" t="s">
        <v>846</v>
      </c>
      <c r="I1141" s="5" t="s">
        <v>5518</v>
      </c>
      <c r="J1141" s="5" t="s">
        <v>4671</v>
      </c>
      <c r="K1141" s="5" t="str">
        <f t="shared" si="45"/>
        <v>LTKJ</v>
      </c>
      <c r="L1141" s="53"/>
      <c r="M1141" s="53"/>
      <c r="N1141" s="53"/>
      <c r="O1141" s="53"/>
      <c r="P1141" s="53"/>
      <c r="Q1141" s="53"/>
      <c r="R1141" s="53"/>
      <c r="S1141" s="53"/>
      <c r="T1141" s="53"/>
      <c r="U1141" s="53"/>
      <c r="V1141" s="53"/>
      <c r="W1141" s="53"/>
    </row>
    <row r="1142" spans="1:23" x14ac:dyDescent="0.25">
      <c r="A1142" s="58" t="str">
        <f t="shared" si="44"/>
        <v>XII TKJ 229</v>
      </c>
      <c r="B1142" s="171">
        <f>COUNTIF(H$2:H1142,H1142)</f>
        <v>29</v>
      </c>
      <c r="C1142" s="195">
        <v>102319092</v>
      </c>
      <c r="D1142" s="5" t="s">
        <v>3743</v>
      </c>
      <c r="E1142" s="5" t="str">
        <f t="shared" si="43"/>
        <v>102319092 / 0078058614</v>
      </c>
      <c r="F1142" s="59" t="s">
        <v>3744</v>
      </c>
      <c r="G1142" s="57" t="s">
        <v>379</v>
      </c>
      <c r="H1142" s="150" t="s">
        <v>846</v>
      </c>
      <c r="I1142" s="5" t="s">
        <v>5518</v>
      </c>
      <c r="J1142" s="5" t="s">
        <v>4671</v>
      </c>
      <c r="K1142" s="5" t="str">
        <f t="shared" si="45"/>
        <v>LTKJ</v>
      </c>
      <c r="L1142" s="53"/>
      <c r="M1142" s="53"/>
      <c r="N1142" s="53"/>
      <c r="O1142" s="53"/>
      <c r="P1142" s="53"/>
      <c r="Q1142" s="53"/>
      <c r="R1142" s="53"/>
      <c r="S1142" s="53"/>
      <c r="T1142" s="53"/>
      <c r="U1142" s="53"/>
      <c r="V1142" s="53"/>
      <c r="W1142" s="53"/>
    </row>
    <row r="1143" spans="1:23" x14ac:dyDescent="0.25">
      <c r="A1143" s="58" t="str">
        <f t="shared" si="44"/>
        <v>XII TKJ 230</v>
      </c>
      <c r="B1143" s="171">
        <f>COUNTIF(H$2:H1143,H1143)</f>
        <v>30</v>
      </c>
      <c r="C1143" s="195">
        <v>102319093</v>
      </c>
      <c r="D1143" s="5" t="s">
        <v>3745</v>
      </c>
      <c r="E1143" s="5" t="str">
        <f t="shared" si="43"/>
        <v>102319093 / 0086772171</v>
      </c>
      <c r="F1143" s="59" t="s">
        <v>3746</v>
      </c>
      <c r="G1143" s="57" t="s">
        <v>379</v>
      </c>
      <c r="H1143" s="150" t="s">
        <v>846</v>
      </c>
      <c r="I1143" s="5" t="s">
        <v>5518</v>
      </c>
      <c r="J1143" s="5" t="s">
        <v>4671</v>
      </c>
      <c r="K1143" s="5" t="str">
        <f t="shared" si="45"/>
        <v>LTKJ</v>
      </c>
      <c r="L1143" s="53"/>
      <c r="M1143" s="53"/>
      <c r="N1143" s="53"/>
      <c r="O1143" s="53"/>
      <c r="P1143" s="53"/>
      <c r="Q1143" s="53"/>
      <c r="R1143" s="53"/>
      <c r="S1143" s="53"/>
      <c r="T1143" s="53"/>
      <c r="U1143" s="53"/>
      <c r="V1143" s="53"/>
      <c r="W1143" s="53"/>
    </row>
    <row r="1144" spans="1:23" x14ac:dyDescent="0.25">
      <c r="A1144" s="58" t="str">
        <f t="shared" si="44"/>
        <v>XII TKJ 231</v>
      </c>
      <c r="B1144" s="171">
        <f>COUNTIF(H$2:H1144,H1144)</f>
        <v>31</v>
      </c>
      <c r="C1144" s="195">
        <v>102319094</v>
      </c>
      <c r="D1144" s="5" t="s">
        <v>3747</v>
      </c>
      <c r="E1144" s="5" t="str">
        <f t="shared" si="43"/>
        <v>102319094 / 0071100442</v>
      </c>
      <c r="F1144" s="59" t="s">
        <v>3748</v>
      </c>
      <c r="G1144" s="57" t="s">
        <v>381</v>
      </c>
      <c r="H1144" s="150" t="s">
        <v>846</v>
      </c>
      <c r="I1144" s="5" t="s">
        <v>5518</v>
      </c>
      <c r="J1144" s="5" t="s">
        <v>4671</v>
      </c>
      <c r="K1144" s="5" t="str">
        <f t="shared" si="45"/>
        <v>PTKJ</v>
      </c>
      <c r="L1144" s="53"/>
      <c r="M1144" s="53"/>
      <c r="N1144" s="53"/>
      <c r="O1144" s="53"/>
      <c r="P1144" s="53"/>
      <c r="Q1144" s="53"/>
      <c r="R1144" s="53"/>
      <c r="S1144" s="53"/>
      <c r="T1144" s="53"/>
      <c r="U1144" s="53"/>
      <c r="V1144" s="53"/>
      <c r="W1144" s="53"/>
    </row>
    <row r="1145" spans="1:23" x14ac:dyDescent="0.25">
      <c r="A1145" s="58" t="str">
        <f t="shared" si="44"/>
        <v>XII TKJ 232</v>
      </c>
      <c r="B1145" s="171">
        <f>COUNTIF(H$2:H1145,H1145)</f>
        <v>32</v>
      </c>
      <c r="C1145" s="195">
        <v>102319095</v>
      </c>
      <c r="D1145" s="5" t="s">
        <v>3749</v>
      </c>
      <c r="E1145" s="5" t="str">
        <f t="shared" si="43"/>
        <v>102319095 / 0085141692</v>
      </c>
      <c r="F1145" s="59" t="s">
        <v>3750</v>
      </c>
      <c r="G1145" s="57" t="s">
        <v>381</v>
      </c>
      <c r="H1145" s="150" t="s">
        <v>846</v>
      </c>
      <c r="I1145" s="5" t="s">
        <v>5518</v>
      </c>
      <c r="J1145" s="5" t="s">
        <v>4671</v>
      </c>
      <c r="K1145" s="5" t="str">
        <f t="shared" si="45"/>
        <v>PTKJ</v>
      </c>
      <c r="L1145" s="53"/>
      <c r="M1145" s="53"/>
      <c r="N1145" s="53"/>
      <c r="O1145" s="53"/>
      <c r="P1145" s="53"/>
      <c r="Q1145" s="53"/>
      <c r="R1145" s="53"/>
      <c r="S1145" s="53"/>
      <c r="T1145" s="53"/>
      <c r="U1145" s="53"/>
      <c r="V1145" s="53"/>
      <c r="W1145" s="53"/>
    </row>
    <row r="1146" spans="1:23" x14ac:dyDescent="0.25">
      <c r="A1146" s="58" t="str">
        <f t="shared" si="44"/>
        <v>XII TKJ 233</v>
      </c>
      <c r="B1146" s="171">
        <f>COUNTIF(H$2:H1146,H1146)</f>
        <v>33</v>
      </c>
      <c r="C1146" s="195">
        <v>102319096</v>
      </c>
      <c r="D1146" s="5" t="s">
        <v>3751</v>
      </c>
      <c r="E1146" s="5" t="str">
        <f t="shared" si="43"/>
        <v>102319096 / 0086836055</v>
      </c>
      <c r="F1146" s="59" t="s">
        <v>3752</v>
      </c>
      <c r="G1146" s="57" t="s">
        <v>379</v>
      </c>
      <c r="H1146" s="150" t="s">
        <v>846</v>
      </c>
      <c r="I1146" s="5" t="s">
        <v>5518</v>
      </c>
      <c r="J1146" s="5" t="s">
        <v>4671</v>
      </c>
      <c r="K1146" s="5" t="str">
        <f t="shared" si="45"/>
        <v>LTKJ</v>
      </c>
      <c r="L1146" s="53"/>
      <c r="M1146" s="53"/>
      <c r="N1146" s="53"/>
      <c r="O1146" s="53"/>
      <c r="P1146" s="53"/>
      <c r="Q1146" s="53"/>
      <c r="R1146" s="53"/>
      <c r="S1146" s="53"/>
      <c r="T1146" s="53"/>
      <c r="U1146" s="53"/>
      <c r="V1146" s="53"/>
      <c r="W1146" s="53"/>
    </row>
    <row r="1147" spans="1:23" x14ac:dyDescent="0.25">
      <c r="A1147" s="58" t="str">
        <f t="shared" si="44"/>
        <v>XII TKJ 234</v>
      </c>
      <c r="B1147" s="171">
        <f>COUNTIF(H$2:H1147,H1147)</f>
        <v>34</v>
      </c>
      <c r="C1147" s="195">
        <v>102319098</v>
      </c>
      <c r="D1147" s="5" t="s">
        <v>3753</v>
      </c>
      <c r="E1147" s="5" t="str">
        <f t="shared" si="43"/>
        <v>102319098 / 0081386473</v>
      </c>
      <c r="F1147" s="59" t="s">
        <v>3754</v>
      </c>
      <c r="G1147" s="57" t="s">
        <v>379</v>
      </c>
      <c r="H1147" s="150" t="s">
        <v>846</v>
      </c>
      <c r="I1147" s="5" t="s">
        <v>5518</v>
      </c>
      <c r="J1147" s="5" t="s">
        <v>4671</v>
      </c>
      <c r="K1147" s="5" t="str">
        <f t="shared" si="45"/>
        <v>LTKJ</v>
      </c>
      <c r="L1147" s="53"/>
      <c r="M1147" s="53"/>
      <c r="N1147" s="53"/>
      <c r="O1147" s="53"/>
      <c r="P1147" s="53"/>
      <c r="Q1147" s="53"/>
      <c r="R1147" s="53"/>
      <c r="S1147" s="53"/>
      <c r="T1147" s="53"/>
      <c r="U1147" s="53"/>
      <c r="V1147" s="53"/>
      <c r="W1147" s="53"/>
    </row>
    <row r="1148" spans="1:23" x14ac:dyDescent="0.25">
      <c r="A1148" s="58" t="str">
        <f t="shared" si="44"/>
        <v>XII TKJ 31</v>
      </c>
      <c r="B1148" s="171">
        <f>COUNTIF(H$2:H1148,H1148)</f>
        <v>1</v>
      </c>
      <c r="C1148" s="195">
        <v>102319100</v>
      </c>
      <c r="D1148" s="5" t="s">
        <v>3756</v>
      </c>
      <c r="E1148" s="5" t="str">
        <f t="shared" si="43"/>
        <v>102319100 / 0089667071</v>
      </c>
      <c r="F1148" s="59" t="s">
        <v>3757</v>
      </c>
      <c r="G1148" s="57" t="s">
        <v>379</v>
      </c>
      <c r="H1148" s="150" t="s">
        <v>863</v>
      </c>
      <c r="I1148" s="5" t="s">
        <v>5518</v>
      </c>
      <c r="J1148" s="5" t="s">
        <v>4671</v>
      </c>
      <c r="K1148" s="5" t="str">
        <f t="shared" si="45"/>
        <v>LTKJ</v>
      </c>
      <c r="L1148" s="53"/>
      <c r="M1148" s="53"/>
      <c r="N1148" s="53"/>
      <c r="O1148" s="53"/>
      <c r="P1148" s="53"/>
      <c r="Q1148" s="53"/>
      <c r="R1148" s="53"/>
      <c r="S1148" s="53"/>
      <c r="T1148" s="53"/>
      <c r="U1148" s="53"/>
      <c r="V1148" s="53"/>
      <c r="W1148" s="53"/>
    </row>
    <row r="1149" spans="1:23" x14ac:dyDescent="0.25">
      <c r="A1149" s="58" t="str">
        <f t="shared" si="44"/>
        <v>XII TKJ 32</v>
      </c>
      <c r="B1149" s="171">
        <f>COUNTIF(H$2:H1149,H1149)</f>
        <v>2</v>
      </c>
      <c r="C1149" s="195">
        <v>102319101</v>
      </c>
      <c r="D1149" s="5" t="s">
        <v>3758</v>
      </c>
      <c r="E1149" s="5" t="str">
        <f t="shared" si="43"/>
        <v>102319101 / 0088713038</v>
      </c>
      <c r="F1149" s="59" t="s">
        <v>3759</v>
      </c>
      <c r="G1149" s="57" t="s">
        <v>379</v>
      </c>
      <c r="H1149" s="150" t="s">
        <v>863</v>
      </c>
      <c r="I1149" s="5" t="s">
        <v>5518</v>
      </c>
      <c r="J1149" s="5" t="s">
        <v>4671</v>
      </c>
      <c r="K1149" s="5" t="str">
        <f t="shared" si="45"/>
        <v>LTKJ</v>
      </c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</row>
    <row r="1150" spans="1:23" x14ac:dyDescent="0.25">
      <c r="A1150" s="58" t="str">
        <f t="shared" si="44"/>
        <v>XII TKJ 33</v>
      </c>
      <c r="B1150" s="171">
        <f>COUNTIF(H$2:H1150,H1150)</f>
        <v>3</v>
      </c>
      <c r="C1150" s="195">
        <v>102319102</v>
      </c>
      <c r="D1150" s="5" t="s">
        <v>3760</v>
      </c>
      <c r="E1150" s="5" t="str">
        <f t="shared" si="43"/>
        <v>102319102 / 0072254343</v>
      </c>
      <c r="F1150" s="59" t="s">
        <v>3761</v>
      </c>
      <c r="G1150" s="57" t="s">
        <v>379</v>
      </c>
      <c r="H1150" s="150" t="s">
        <v>863</v>
      </c>
      <c r="I1150" s="5" t="s">
        <v>5518</v>
      </c>
      <c r="J1150" s="5" t="s">
        <v>4671</v>
      </c>
      <c r="K1150" s="5" t="str">
        <f t="shared" si="45"/>
        <v>LTKJ</v>
      </c>
      <c r="L1150" s="53"/>
      <c r="M1150" s="53"/>
      <c r="N1150" s="53"/>
      <c r="O1150" s="53"/>
      <c r="P1150" s="53"/>
      <c r="Q1150" s="53"/>
      <c r="R1150" s="53"/>
      <c r="S1150" s="53"/>
      <c r="T1150" s="53"/>
      <c r="U1150" s="53"/>
      <c r="V1150" s="53"/>
      <c r="W1150" s="53"/>
    </row>
    <row r="1151" spans="1:23" x14ac:dyDescent="0.25">
      <c r="A1151" s="58" t="str">
        <f t="shared" si="44"/>
        <v>XII TKJ 34</v>
      </c>
      <c r="B1151" s="171">
        <f>COUNTIF(H$2:H1151,H1151)</f>
        <v>4</v>
      </c>
      <c r="C1151" s="195">
        <v>102319103</v>
      </c>
      <c r="D1151" s="5" t="s">
        <v>3762</v>
      </c>
      <c r="E1151" s="5" t="str">
        <f t="shared" si="43"/>
        <v>102319103 / 0078808121</v>
      </c>
      <c r="F1151" s="59" t="s">
        <v>3763</v>
      </c>
      <c r="G1151" s="57" t="s">
        <v>381</v>
      </c>
      <c r="H1151" s="150" t="s">
        <v>863</v>
      </c>
      <c r="I1151" s="5" t="s">
        <v>5518</v>
      </c>
      <c r="J1151" s="5" t="s">
        <v>4671</v>
      </c>
      <c r="K1151" s="5" t="str">
        <f t="shared" si="45"/>
        <v>PTKJ</v>
      </c>
      <c r="L1151" s="53"/>
      <c r="M1151" s="53"/>
      <c r="N1151" s="53"/>
      <c r="O1151" s="53"/>
      <c r="P1151" s="53"/>
      <c r="Q1151" s="53"/>
      <c r="R1151" s="53"/>
      <c r="S1151" s="53"/>
      <c r="T1151" s="53"/>
      <c r="U1151" s="53"/>
      <c r="V1151" s="53"/>
      <c r="W1151" s="53"/>
    </row>
    <row r="1152" spans="1:23" x14ac:dyDescent="0.25">
      <c r="A1152" s="58" t="str">
        <f t="shared" si="44"/>
        <v>XII TKJ 35</v>
      </c>
      <c r="B1152" s="171">
        <f>COUNTIF(H$2:H1152,H1152)</f>
        <v>5</v>
      </c>
      <c r="C1152" s="195">
        <v>102319104</v>
      </c>
      <c r="D1152" s="5" t="s">
        <v>3764</v>
      </c>
      <c r="E1152" s="5" t="str">
        <f t="shared" si="43"/>
        <v>102319104 / 0078780376</v>
      </c>
      <c r="F1152" s="59" t="s">
        <v>3765</v>
      </c>
      <c r="G1152" s="57" t="s">
        <v>379</v>
      </c>
      <c r="H1152" s="150" t="s">
        <v>863</v>
      </c>
      <c r="I1152" s="5" t="s">
        <v>5518</v>
      </c>
      <c r="J1152" s="5" t="s">
        <v>4671</v>
      </c>
      <c r="K1152" s="5" t="str">
        <f t="shared" si="45"/>
        <v>LTKJ</v>
      </c>
      <c r="L1152" s="53"/>
      <c r="M1152" s="53"/>
      <c r="N1152" s="53"/>
      <c r="O1152" s="53"/>
      <c r="P1152" s="53"/>
      <c r="Q1152" s="53"/>
      <c r="R1152" s="53"/>
      <c r="S1152" s="53"/>
      <c r="T1152" s="53"/>
      <c r="U1152" s="53"/>
      <c r="V1152" s="53"/>
      <c r="W1152" s="53"/>
    </row>
    <row r="1153" spans="1:23" x14ac:dyDescent="0.25">
      <c r="A1153" s="58" t="str">
        <f t="shared" si="44"/>
        <v>XII TKJ 36</v>
      </c>
      <c r="B1153" s="171">
        <f>COUNTIF(H$2:H1153,H1153)</f>
        <v>6</v>
      </c>
      <c r="C1153" s="195">
        <v>102319105</v>
      </c>
      <c r="D1153" s="5" t="s">
        <v>3766</v>
      </c>
      <c r="E1153" s="5" t="str">
        <f t="shared" si="43"/>
        <v>102319105 / 0089531076</v>
      </c>
      <c r="F1153" s="59" t="s">
        <v>3767</v>
      </c>
      <c r="G1153" s="57" t="s">
        <v>379</v>
      </c>
      <c r="H1153" s="150" t="s">
        <v>863</v>
      </c>
      <c r="I1153" s="5" t="s">
        <v>5518</v>
      </c>
      <c r="J1153" s="5" t="s">
        <v>4671</v>
      </c>
      <c r="K1153" s="5" t="str">
        <f t="shared" si="45"/>
        <v>LTKJ</v>
      </c>
      <c r="L1153" s="53"/>
      <c r="M1153" s="53"/>
      <c r="N1153" s="53"/>
      <c r="O1153" s="53"/>
      <c r="P1153" s="53"/>
      <c r="Q1153" s="53"/>
      <c r="R1153" s="53"/>
      <c r="S1153" s="53"/>
      <c r="T1153" s="53"/>
      <c r="U1153" s="53"/>
      <c r="V1153" s="53"/>
      <c r="W1153" s="53"/>
    </row>
    <row r="1154" spans="1:23" x14ac:dyDescent="0.25">
      <c r="A1154" s="58" t="str">
        <f t="shared" si="44"/>
        <v>XII TKJ 37</v>
      </c>
      <c r="B1154" s="171">
        <f>COUNTIF(H$2:H1154,H1154)</f>
        <v>7</v>
      </c>
      <c r="C1154" s="195">
        <v>102319106</v>
      </c>
      <c r="D1154" s="5" t="s">
        <v>3768</v>
      </c>
      <c r="E1154" s="5" t="str">
        <f t="shared" si="43"/>
        <v>102319106 / 0087620447</v>
      </c>
      <c r="F1154" s="59" t="s">
        <v>3769</v>
      </c>
      <c r="G1154" s="57" t="s">
        <v>379</v>
      </c>
      <c r="H1154" s="150" t="s">
        <v>863</v>
      </c>
      <c r="I1154" s="5" t="s">
        <v>5518</v>
      </c>
      <c r="J1154" s="5" t="s">
        <v>4671</v>
      </c>
      <c r="K1154" s="5" t="str">
        <f t="shared" si="45"/>
        <v>LTKJ</v>
      </c>
      <c r="L1154" s="53"/>
      <c r="M1154" s="53"/>
      <c r="N1154" s="53"/>
      <c r="O1154" s="53"/>
      <c r="P1154" s="53"/>
      <c r="Q1154" s="53"/>
      <c r="R1154" s="53"/>
      <c r="S1154" s="53"/>
      <c r="T1154" s="53"/>
      <c r="U1154" s="53"/>
      <c r="V1154" s="53"/>
      <c r="W1154" s="53"/>
    </row>
    <row r="1155" spans="1:23" x14ac:dyDescent="0.25">
      <c r="A1155" s="58" t="str">
        <f t="shared" si="44"/>
        <v>XII TKJ 38</v>
      </c>
      <c r="B1155" s="171">
        <f>COUNTIF(H$2:H1155,H1155)</f>
        <v>8</v>
      </c>
      <c r="C1155" s="195">
        <v>102319107</v>
      </c>
      <c r="D1155" s="5" t="s">
        <v>3770</v>
      </c>
      <c r="E1155" s="5" t="str">
        <f t="shared" si="43"/>
        <v>102319107 / 0082051135</v>
      </c>
      <c r="F1155" s="59" t="s">
        <v>3771</v>
      </c>
      <c r="G1155" s="57" t="s">
        <v>379</v>
      </c>
      <c r="H1155" s="150" t="s">
        <v>863</v>
      </c>
      <c r="I1155" s="5" t="s">
        <v>5518</v>
      </c>
      <c r="J1155" s="5" t="s">
        <v>4671</v>
      </c>
      <c r="K1155" s="5" t="str">
        <f t="shared" si="45"/>
        <v>LTKJ</v>
      </c>
      <c r="L1155" s="53"/>
      <c r="M1155" s="53"/>
      <c r="N1155" s="53"/>
      <c r="O1155" s="53"/>
      <c r="P1155" s="53"/>
      <c r="Q1155" s="53"/>
      <c r="R1155" s="53"/>
      <c r="S1155" s="53"/>
      <c r="T1155" s="53"/>
      <c r="U1155" s="53"/>
      <c r="V1155" s="53"/>
      <c r="W1155" s="53"/>
    </row>
    <row r="1156" spans="1:23" x14ac:dyDescent="0.25">
      <c r="A1156" s="58" t="str">
        <f t="shared" si="44"/>
        <v>XII TKJ 39</v>
      </c>
      <c r="B1156" s="171">
        <f>COUNTIF(H$2:H1156,H1156)</f>
        <v>9</v>
      </c>
      <c r="C1156" s="195">
        <v>102319108</v>
      </c>
      <c r="D1156" s="5" t="s">
        <v>3772</v>
      </c>
      <c r="E1156" s="5" t="str">
        <f t="shared" si="43"/>
        <v>102319108 / 0071987104</v>
      </c>
      <c r="F1156" s="59" t="s">
        <v>3773</v>
      </c>
      <c r="G1156" s="57" t="s">
        <v>379</v>
      </c>
      <c r="H1156" s="150" t="s">
        <v>863</v>
      </c>
      <c r="I1156" s="5" t="s">
        <v>5518</v>
      </c>
      <c r="J1156" s="5" t="s">
        <v>4671</v>
      </c>
      <c r="K1156" s="5" t="str">
        <f t="shared" si="45"/>
        <v>LTKJ</v>
      </c>
      <c r="L1156" s="53"/>
      <c r="M1156" s="53"/>
      <c r="N1156" s="53"/>
      <c r="O1156" s="53"/>
      <c r="P1156" s="53"/>
      <c r="Q1156" s="53"/>
      <c r="R1156" s="53"/>
      <c r="S1156" s="53"/>
      <c r="T1156" s="53"/>
      <c r="U1156" s="53"/>
      <c r="V1156" s="53"/>
      <c r="W1156" s="53"/>
    </row>
    <row r="1157" spans="1:23" x14ac:dyDescent="0.25">
      <c r="A1157" s="58" t="str">
        <f t="shared" si="44"/>
        <v>XII TKJ 310</v>
      </c>
      <c r="B1157" s="171">
        <f>COUNTIF(H$2:H1157,H1157)</f>
        <v>10</v>
      </c>
      <c r="C1157" s="195">
        <v>102319109</v>
      </c>
      <c r="D1157" s="5" t="s">
        <v>3774</v>
      </c>
      <c r="E1157" s="5" t="str">
        <f t="shared" si="43"/>
        <v>102319109 / 0072392486</v>
      </c>
      <c r="F1157" s="59" t="s">
        <v>3775</v>
      </c>
      <c r="G1157" s="57" t="s">
        <v>379</v>
      </c>
      <c r="H1157" s="150" t="s">
        <v>863</v>
      </c>
      <c r="I1157" s="5" t="s">
        <v>5518</v>
      </c>
      <c r="J1157" s="5" t="s">
        <v>4671</v>
      </c>
      <c r="K1157" s="5" t="str">
        <f t="shared" si="45"/>
        <v>LTKJ</v>
      </c>
      <c r="L1157" s="53"/>
      <c r="M1157" s="53"/>
      <c r="N1157" s="53"/>
      <c r="O1157" s="53"/>
      <c r="P1157" s="53"/>
      <c r="Q1157" s="53"/>
      <c r="R1157" s="53"/>
      <c r="S1157" s="53"/>
      <c r="T1157" s="53"/>
      <c r="U1157" s="53"/>
      <c r="V1157" s="53"/>
      <c r="W1157" s="53"/>
    </row>
    <row r="1158" spans="1:23" x14ac:dyDescent="0.25">
      <c r="A1158" s="58" t="str">
        <f t="shared" si="44"/>
        <v>XII TKJ 311</v>
      </c>
      <c r="B1158" s="171">
        <f>COUNTIF(H$2:H1158,H1158)</f>
        <v>11</v>
      </c>
      <c r="C1158" s="195">
        <v>102319110</v>
      </c>
      <c r="D1158" s="5" t="s">
        <v>3776</v>
      </c>
      <c r="E1158" s="5" t="str">
        <f t="shared" si="43"/>
        <v>102319110 / 0079621468</v>
      </c>
      <c r="F1158" s="59" t="s">
        <v>3777</v>
      </c>
      <c r="G1158" s="57" t="s">
        <v>379</v>
      </c>
      <c r="H1158" s="150" t="s">
        <v>863</v>
      </c>
      <c r="I1158" s="5" t="s">
        <v>5518</v>
      </c>
      <c r="J1158" s="5" t="s">
        <v>4671</v>
      </c>
      <c r="K1158" s="5" t="str">
        <f t="shared" si="45"/>
        <v>LTKJ</v>
      </c>
      <c r="L1158" s="53"/>
      <c r="M1158" s="53"/>
      <c r="N1158" s="53"/>
      <c r="O1158" s="53"/>
      <c r="P1158" s="53"/>
      <c r="Q1158" s="53"/>
      <c r="R1158" s="53"/>
      <c r="S1158" s="53"/>
      <c r="T1158" s="53"/>
      <c r="U1158" s="53"/>
      <c r="V1158" s="53"/>
      <c r="W1158" s="53"/>
    </row>
    <row r="1159" spans="1:23" x14ac:dyDescent="0.25">
      <c r="A1159" s="58" t="str">
        <f t="shared" si="44"/>
        <v>XII TKJ 312</v>
      </c>
      <c r="B1159" s="171">
        <f>COUNTIF(H$2:H1159,H1159)</f>
        <v>12</v>
      </c>
      <c r="C1159" s="195">
        <v>102319111</v>
      </c>
      <c r="D1159" s="5" t="s">
        <v>3778</v>
      </c>
      <c r="E1159" s="5" t="str">
        <f t="shared" si="43"/>
        <v>102319111 / 0085722366</v>
      </c>
      <c r="F1159" s="59" t="s">
        <v>3779</v>
      </c>
      <c r="G1159" s="57" t="s">
        <v>381</v>
      </c>
      <c r="H1159" s="150" t="s">
        <v>863</v>
      </c>
      <c r="I1159" s="5" t="s">
        <v>5518</v>
      </c>
      <c r="J1159" s="5" t="s">
        <v>4671</v>
      </c>
      <c r="K1159" s="5" t="str">
        <f t="shared" si="45"/>
        <v>PTKJ</v>
      </c>
      <c r="L1159" s="70" t="s">
        <v>429</v>
      </c>
      <c r="M1159" s="53"/>
      <c r="N1159" s="53"/>
      <c r="O1159" s="53"/>
      <c r="P1159" s="53"/>
      <c r="Q1159" s="53"/>
      <c r="R1159" s="53"/>
      <c r="S1159" s="53"/>
      <c r="T1159" s="53"/>
      <c r="U1159" s="53"/>
      <c r="V1159" s="53"/>
      <c r="W1159" s="53"/>
    </row>
    <row r="1160" spans="1:23" x14ac:dyDescent="0.25">
      <c r="A1160" s="58" t="str">
        <f t="shared" si="44"/>
        <v>XII TKJ 313</v>
      </c>
      <c r="B1160" s="171">
        <f>COUNTIF(H$2:H1160,H1160)</f>
        <v>13</v>
      </c>
      <c r="C1160" s="195">
        <v>102319113</v>
      </c>
      <c r="D1160" s="5" t="s">
        <v>3781</v>
      </c>
      <c r="E1160" s="5" t="str">
        <f t="shared" si="43"/>
        <v>102319113 / 0078023199</v>
      </c>
      <c r="F1160" s="59" t="s">
        <v>3782</v>
      </c>
      <c r="G1160" s="57" t="s">
        <v>381</v>
      </c>
      <c r="H1160" s="150" t="s">
        <v>863</v>
      </c>
      <c r="I1160" s="5" t="s">
        <v>5518</v>
      </c>
      <c r="J1160" s="5" t="s">
        <v>4671</v>
      </c>
      <c r="K1160" s="5" t="str">
        <f t="shared" si="45"/>
        <v>PTKJ</v>
      </c>
      <c r="L1160" s="53"/>
      <c r="M1160" s="53"/>
      <c r="N1160" s="53"/>
      <c r="O1160" s="53"/>
      <c r="P1160" s="53"/>
      <c r="Q1160" s="53"/>
      <c r="R1160" s="53"/>
      <c r="S1160" s="53"/>
      <c r="T1160" s="53"/>
      <c r="U1160" s="53"/>
      <c r="V1160" s="53"/>
      <c r="W1160" s="53"/>
    </row>
    <row r="1161" spans="1:23" x14ac:dyDescent="0.25">
      <c r="A1161" s="58" t="str">
        <f t="shared" si="44"/>
        <v>XII TKJ 314</v>
      </c>
      <c r="B1161" s="171">
        <f>COUNTIF(H$2:H1161,H1161)</f>
        <v>14</v>
      </c>
      <c r="C1161" s="195">
        <v>102319114</v>
      </c>
      <c r="D1161" s="5" t="s">
        <v>3783</v>
      </c>
      <c r="E1161" s="5" t="str">
        <f t="shared" si="43"/>
        <v>102319114 / 0077077836</v>
      </c>
      <c r="F1161" s="59" t="s">
        <v>3784</v>
      </c>
      <c r="G1161" s="57" t="s">
        <v>379</v>
      </c>
      <c r="H1161" s="150" t="s">
        <v>863</v>
      </c>
      <c r="I1161" s="5" t="s">
        <v>5518</v>
      </c>
      <c r="J1161" s="5" t="s">
        <v>4671</v>
      </c>
      <c r="K1161" s="5" t="str">
        <f t="shared" si="45"/>
        <v>LTKJ</v>
      </c>
      <c r="L1161" s="53"/>
      <c r="M1161" s="53"/>
      <c r="N1161" s="53"/>
      <c r="O1161" s="53"/>
      <c r="P1161" s="53"/>
      <c r="Q1161" s="53"/>
      <c r="R1161" s="53"/>
      <c r="S1161" s="53"/>
      <c r="T1161" s="53"/>
      <c r="U1161" s="53"/>
      <c r="V1161" s="53"/>
      <c r="W1161" s="53"/>
    </row>
    <row r="1162" spans="1:23" x14ac:dyDescent="0.25">
      <c r="A1162" s="58" t="str">
        <f t="shared" si="44"/>
        <v>XII TKJ 315</v>
      </c>
      <c r="B1162" s="171">
        <f>COUNTIF(H$2:H1162,H1162)</f>
        <v>15</v>
      </c>
      <c r="C1162" s="195">
        <v>102319115</v>
      </c>
      <c r="D1162" s="5" t="s">
        <v>3785</v>
      </c>
      <c r="E1162" s="5" t="str">
        <f t="shared" si="43"/>
        <v>102319115 / 0075243125</v>
      </c>
      <c r="F1162" s="59" t="s">
        <v>3786</v>
      </c>
      <c r="G1162" s="57" t="s">
        <v>379</v>
      </c>
      <c r="H1162" s="150" t="s">
        <v>863</v>
      </c>
      <c r="I1162" s="5" t="s">
        <v>5518</v>
      </c>
      <c r="J1162" s="5" t="s">
        <v>4671</v>
      </c>
      <c r="K1162" s="5" t="str">
        <f t="shared" si="45"/>
        <v>LTKJ</v>
      </c>
      <c r="L1162" s="53"/>
      <c r="M1162" s="53"/>
      <c r="N1162" s="53"/>
      <c r="O1162" s="53"/>
      <c r="P1162" s="53"/>
      <c r="Q1162" s="53"/>
      <c r="R1162" s="53"/>
      <c r="S1162" s="53"/>
      <c r="T1162" s="53"/>
      <c r="U1162" s="53"/>
      <c r="V1162" s="53"/>
      <c r="W1162" s="53"/>
    </row>
    <row r="1163" spans="1:23" x14ac:dyDescent="0.25">
      <c r="A1163" s="58" t="str">
        <f t="shared" si="44"/>
        <v>XII TKJ 316</v>
      </c>
      <c r="B1163" s="171">
        <f>COUNTIF(H$2:H1163,H1163)</f>
        <v>16</v>
      </c>
      <c r="C1163" s="195">
        <v>102319116</v>
      </c>
      <c r="D1163" s="5" t="s">
        <v>3787</v>
      </c>
      <c r="E1163" s="5" t="str">
        <f t="shared" si="43"/>
        <v>102319116 / 0077184290</v>
      </c>
      <c r="F1163" s="59" t="s">
        <v>3788</v>
      </c>
      <c r="G1163" s="57" t="s">
        <v>379</v>
      </c>
      <c r="H1163" s="150" t="s">
        <v>863</v>
      </c>
      <c r="I1163" s="5" t="s">
        <v>5518</v>
      </c>
      <c r="J1163" s="5" t="s">
        <v>4671</v>
      </c>
      <c r="K1163" s="5" t="str">
        <f t="shared" si="45"/>
        <v>LTKJ</v>
      </c>
      <c r="L1163" s="53"/>
      <c r="M1163" s="53"/>
      <c r="N1163" s="53"/>
      <c r="O1163" s="53"/>
      <c r="P1163" s="53"/>
      <c r="Q1163" s="53"/>
      <c r="R1163" s="53"/>
      <c r="S1163" s="53"/>
      <c r="T1163" s="53"/>
      <c r="U1163" s="53"/>
      <c r="V1163" s="53"/>
      <c r="W1163" s="53"/>
    </row>
    <row r="1164" spans="1:23" x14ac:dyDescent="0.25">
      <c r="A1164" s="58" t="str">
        <f t="shared" si="44"/>
        <v>XII TKJ 317</v>
      </c>
      <c r="B1164" s="171">
        <f>COUNTIF(H$2:H1164,H1164)</f>
        <v>17</v>
      </c>
      <c r="C1164" s="195">
        <v>102319117</v>
      </c>
      <c r="D1164" s="5" t="s">
        <v>3789</v>
      </c>
      <c r="E1164" s="5" t="str">
        <f t="shared" si="43"/>
        <v>102319117 / 0083056153</v>
      </c>
      <c r="F1164" s="59" t="s">
        <v>3790</v>
      </c>
      <c r="G1164" s="57" t="s">
        <v>379</v>
      </c>
      <c r="H1164" s="150" t="s">
        <v>863</v>
      </c>
      <c r="I1164" s="5" t="s">
        <v>5518</v>
      </c>
      <c r="J1164" s="5" t="s">
        <v>4671</v>
      </c>
      <c r="K1164" s="5" t="str">
        <f t="shared" si="45"/>
        <v>LTKJ</v>
      </c>
      <c r="L1164" s="53"/>
      <c r="M1164" s="53"/>
      <c r="N1164" s="53"/>
      <c r="O1164" s="53"/>
      <c r="P1164" s="53"/>
      <c r="Q1164" s="53"/>
      <c r="R1164" s="53"/>
      <c r="S1164" s="53"/>
      <c r="T1164" s="53"/>
      <c r="U1164" s="53"/>
      <c r="V1164" s="53"/>
      <c r="W1164" s="53"/>
    </row>
    <row r="1165" spans="1:23" x14ac:dyDescent="0.25">
      <c r="A1165" s="58" t="str">
        <f t="shared" si="44"/>
        <v>XII TKJ 318</v>
      </c>
      <c r="B1165" s="171">
        <f>COUNTIF(H$2:H1165,H1165)</f>
        <v>18</v>
      </c>
      <c r="C1165" s="195">
        <v>102319118</v>
      </c>
      <c r="D1165" s="5" t="s">
        <v>3791</v>
      </c>
      <c r="E1165" s="5" t="str">
        <f t="shared" si="43"/>
        <v>102319118 / 0078665272</v>
      </c>
      <c r="F1165" s="59" t="s">
        <v>3792</v>
      </c>
      <c r="G1165" s="57" t="s">
        <v>379</v>
      </c>
      <c r="H1165" s="150" t="s">
        <v>863</v>
      </c>
      <c r="I1165" s="5" t="s">
        <v>5518</v>
      </c>
      <c r="J1165" s="5" t="s">
        <v>4671</v>
      </c>
      <c r="K1165" s="5" t="str">
        <f t="shared" si="45"/>
        <v>LTKJ</v>
      </c>
      <c r="L1165" s="53"/>
      <c r="M1165" s="53"/>
      <c r="N1165" s="53"/>
      <c r="O1165" s="53"/>
      <c r="P1165" s="53"/>
      <c r="Q1165" s="53"/>
      <c r="R1165" s="53"/>
      <c r="S1165" s="53"/>
      <c r="T1165" s="53"/>
      <c r="U1165" s="53"/>
      <c r="V1165" s="53"/>
      <c r="W1165" s="53"/>
    </row>
    <row r="1166" spans="1:23" x14ac:dyDescent="0.25">
      <c r="A1166" s="58" t="str">
        <f t="shared" si="44"/>
        <v>XII TKJ 319</v>
      </c>
      <c r="B1166" s="171">
        <f>COUNTIF(H$2:H1166,H1166)</f>
        <v>19</v>
      </c>
      <c r="C1166" s="195">
        <v>102319120</v>
      </c>
      <c r="D1166" s="5" t="s">
        <v>3793</v>
      </c>
      <c r="E1166" s="5" t="str">
        <f t="shared" si="43"/>
        <v>102319120 / 0076074619</v>
      </c>
      <c r="F1166" s="59" t="s">
        <v>3794</v>
      </c>
      <c r="G1166" s="57" t="s">
        <v>379</v>
      </c>
      <c r="H1166" s="150" t="s">
        <v>863</v>
      </c>
      <c r="I1166" s="5" t="s">
        <v>5518</v>
      </c>
      <c r="J1166" s="5" t="s">
        <v>4671</v>
      </c>
      <c r="K1166" s="5" t="str">
        <f t="shared" si="45"/>
        <v>LTKJ</v>
      </c>
      <c r="L1166" s="53"/>
      <c r="M1166" s="53"/>
      <c r="N1166" s="53"/>
      <c r="O1166" s="53"/>
      <c r="P1166" s="53"/>
      <c r="Q1166" s="53"/>
      <c r="R1166" s="53"/>
      <c r="S1166" s="53"/>
      <c r="T1166" s="53"/>
      <c r="U1166" s="53"/>
      <c r="V1166" s="53"/>
      <c r="W1166" s="53"/>
    </row>
    <row r="1167" spans="1:23" x14ac:dyDescent="0.25">
      <c r="A1167" s="58" t="str">
        <f t="shared" si="44"/>
        <v>XII TKJ 320</v>
      </c>
      <c r="B1167" s="171">
        <f>COUNTIF(H$2:H1167,H1167)</f>
        <v>20</v>
      </c>
      <c r="C1167" s="195">
        <v>102318793</v>
      </c>
      <c r="D1167" s="5" t="s">
        <v>3795</v>
      </c>
      <c r="E1167" s="5" t="str">
        <f t="shared" si="43"/>
        <v>102318793 / 0063725246</v>
      </c>
      <c r="F1167" s="59" t="s">
        <v>3796</v>
      </c>
      <c r="G1167" s="57" t="s">
        <v>379</v>
      </c>
      <c r="H1167" s="150" t="s">
        <v>863</v>
      </c>
      <c r="I1167" s="5" t="s">
        <v>5518</v>
      </c>
      <c r="J1167" s="5" t="s">
        <v>4671</v>
      </c>
      <c r="K1167" s="5" t="str">
        <f t="shared" si="45"/>
        <v>LTKJ</v>
      </c>
      <c r="L1167" s="53"/>
      <c r="M1167" s="53"/>
      <c r="N1167" s="53"/>
      <c r="O1167" s="53"/>
      <c r="P1167" s="53"/>
      <c r="Q1167" s="53"/>
      <c r="R1167" s="53"/>
      <c r="S1167" s="53"/>
      <c r="T1167" s="53"/>
      <c r="U1167" s="53"/>
      <c r="V1167" s="53"/>
      <c r="W1167" s="53"/>
    </row>
    <row r="1168" spans="1:23" x14ac:dyDescent="0.25">
      <c r="A1168" s="58" t="str">
        <f t="shared" si="44"/>
        <v>XII TKJ 321</v>
      </c>
      <c r="B1168" s="171">
        <f>COUNTIF(H$2:H1168,H1168)</f>
        <v>21</v>
      </c>
      <c r="C1168" s="195">
        <v>102319121</v>
      </c>
      <c r="D1168" s="5" t="s">
        <v>3797</v>
      </c>
      <c r="E1168" s="5" t="str">
        <f t="shared" si="43"/>
        <v>102319121 / 3087024329</v>
      </c>
      <c r="F1168" s="59" t="s">
        <v>3798</v>
      </c>
      <c r="G1168" s="57" t="s">
        <v>381</v>
      </c>
      <c r="H1168" s="150" t="s">
        <v>863</v>
      </c>
      <c r="I1168" s="5" t="s">
        <v>5518</v>
      </c>
      <c r="J1168" s="5" t="s">
        <v>4671</v>
      </c>
      <c r="K1168" s="5" t="str">
        <f t="shared" si="45"/>
        <v>PTKJ</v>
      </c>
      <c r="L1168" s="53"/>
      <c r="M1168" s="53"/>
      <c r="N1168" s="53"/>
      <c r="O1168" s="53"/>
      <c r="P1168" s="53"/>
      <c r="Q1168" s="53"/>
      <c r="R1168" s="53"/>
      <c r="S1168" s="53"/>
      <c r="T1168" s="53"/>
      <c r="U1168" s="53"/>
      <c r="V1168" s="53"/>
      <c r="W1168" s="53"/>
    </row>
    <row r="1169" spans="1:29" x14ac:dyDescent="0.25">
      <c r="A1169" s="58" t="str">
        <f t="shared" si="44"/>
        <v>XII TKJ 322</v>
      </c>
      <c r="B1169" s="171">
        <f>COUNTIF(H$2:H1169,H1169)</f>
        <v>22</v>
      </c>
      <c r="C1169" s="195">
        <v>102319123</v>
      </c>
      <c r="D1169" s="5" t="s">
        <v>3800</v>
      </c>
      <c r="E1169" s="5" t="str">
        <f t="shared" si="43"/>
        <v>102319123 / 0075675961</v>
      </c>
      <c r="F1169" s="59" t="s">
        <v>3801</v>
      </c>
      <c r="G1169" s="57" t="s">
        <v>379</v>
      </c>
      <c r="H1169" s="150" t="s">
        <v>863</v>
      </c>
      <c r="I1169" s="5" t="s">
        <v>5518</v>
      </c>
      <c r="J1169" s="5" t="s">
        <v>4671</v>
      </c>
      <c r="K1169" s="5" t="str">
        <f t="shared" si="45"/>
        <v>LTKJ</v>
      </c>
      <c r="L1169" s="53"/>
      <c r="M1169" s="53"/>
      <c r="N1169" s="53"/>
      <c r="O1169" s="53"/>
      <c r="P1169" s="53"/>
      <c r="Q1169" s="53"/>
      <c r="R1169" s="53"/>
      <c r="S1169" s="53"/>
      <c r="T1169" s="53"/>
      <c r="U1169" s="53"/>
      <c r="V1169" s="53"/>
      <c r="W1169" s="53"/>
    </row>
    <row r="1170" spans="1:29" x14ac:dyDescent="0.25">
      <c r="A1170" s="58" t="str">
        <f t="shared" si="44"/>
        <v>XII TKJ 323</v>
      </c>
      <c r="B1170" s="171">
        <f>COUNTIF(H$2:H1170,H1170)</f>
        <v>23</v>
      </c>
      <c r="C1170" s="195">
        <v>102319125</v>
      </c>
      <c r="D1170" s="5" t="s">
        <v>3802</v>
      </c>
      <c r="E1170" s="5" t="str">
        <f t="shared" si="43"/>
        <v>102319125 / 0086595764</v>
      </c>
      <c r="F1170" s="59" t="s">
        <v>3803</v>
      </c>
      <c r="G1170" s="57" t="s">
        <v>379</v>
      </c>
      <c r="H1170" s="150" t="s">
        <v>863</v>
      </c>
      <c r="I1170" s="5" t="s">
        <v>5518</v>
      </c>
      <c r="J1170" s="5" t="s">
        <v>4671</v>
      </c>
      <c r="K1170" s="5" t="str">
        <f t="shared" si="45"/>
        <v>LTKJ</v>
      </c>
      <c r="L1170" s="53"/>
      <c r="M1170" s="53"/>
      <c r="N1170" s="53"/>
      <c r="O1170" s="53"/>
      <c r="P1170" s="53"/>
      <c r="Q1170" s="53"/>
      <c r="R1170" s="53"/>
      <c r="S1170" s="53"/>
      <c r="T1170" s="53"/>
      <c r="U1170" s="53"/>
      <c r="V1170" s="53"/>
      <c r="W1170" s="53"/>
    </row>
    <row r="1171" spans="1:29" x14ac:dyDescent="0.25">
      <c r="A1171" s="58" t="str">
        <f t="shared" si="44"/>
        <v>XII TKJ 324</v>
      </c>
      <c r="B1171" s="171">
        <f>COUNTIF(H$2:H1171,H1171)</f>
        <v>24</v>
      </c>
      <c r="C1171" s="195">
        <v>102319126</v>
      </c>
      <c r="D1171" s="5" t="s">
        <v>3804</v>
      </c>
      <c r="E1171" s="5" t="str">
        <f t="shared" si="43"/>
        <v>102319126 / 0078318546</v>
      </c>
      <c r="F1171" s="59" t="s">
        <v>3805</v>
      </c>
      <c r="G1171" s="57" t="s">
        <v>379</v>
      </c>
      <c r="H1171" s="150" t="s">
        <v>863</v>
      </c>
      <c r="I1171" s="5" t="s">
        <v>5518</v>
      </c>
      <c r="J1171" s="5" t="s">
        <v>4671</v>
      </c>
      <c r="K1171" s="5" t="str">
        <f t="shared" si="45"/>
        <v>LTKJ</v>
      </c>
      <c r="L1171" s="53"/>
      <c r="M1171" s="53"/>
      <c r="N1171" s="53"/>
      <c r="O1171" s="53"/>
      <c r="P1171" s="53"/>
      <c r="Q1171" s="53"/>
      <c r="R1171" s="53"/>
      <c r="S1171" s="53"/>
      <c r="T1171" s="53"/>
      <c r="U1171" s="53"/>
      <c r="V1171" s="53"/>
      <c r="W1171" s="53"/>
    </row>
    <row r="1172" spans="1:29" x14ac:dyDescent="0.25">
      <c r="A1172" s="58" t="str">
        <f t="shared" si="44"/>
        <v>XII TKJ 325</v>
      </c>
      <c r="B1172" s="171">
        <f>COUNTIF(H$2:H1172,H1172)</f>
        <v>25</v>
      </c>
      <c r="C1172" s="195">
        <v>102319127</v>
      </c>
      <c r="D1172" s="5" t="s">
        <v>3806</v>
      </c>
      <c r="E1172" s="5" t="str">
        <f t="shared" si="43"/>
        <v>102319127 / 0088799076</v>
      </c>
      <c r="F1172" s="59" t="s">
        <v>3807</v>
      </c>
      <c r="G1172" s="57" t="s">
        <v>379</v>
      </c>
      <c r="H1172" s="150" t="s">
        <v>863</v>
      </c>
      <c r="I1172" s="5" t="s">
        <v>5518</v>
      </c>
      <c r="J1172" s="5" t="s">
        <v>4671</v>
      </c>
      <c r="K1172" s="5" t="str">
        <f t="shared" si="45"/>
        <v>LTKJ</v>
      </c>
      <c r="L1172" s="53"/>
      <c r="M1172" s="53"/>
      <c r="N1172" s="53"/>
      <c r="O1172" s="53"/>
      <c r="P1172" s="53"/>
      <c r="Q1172" s="53"/>
      <c r="R1172" s="53"/>
      <c r="S1172" s="53"/>
      <c r="T1172" s="53"/>
      <c r="U1172" s="53"/>
      <c r="V1172" s="53"/>
      <c r="W1172" s="53"/>
    </row>
    <row r="1173" spans="1:29" x14ac:dyDescent="0.25">
      <c r="A1173" s="58" t="str">
        <f t="shared" si="44"/>
        <v>XII TKJ 326</v>
      </c>
      <c r="B1173" s="171">
        <f>COUNTIF(H$2:H1173,H1173)</f>
        <v>26</v>
      </c>
      <c r="C1173" s="195">
        <v>102319128</v>
      </c>
      <c r="D1173" s="5" t="s">
        <v>3808</v>
      </c>
      <c r="E1173" s="5" t="str">
        <f t="shared" si="43"/>
        <v>102319128 / 0075791606</v>
      </c>
      <c r="F1173" s="59" t="s">
        <v>3809</v>
      </c>
      <c r="G1173" s="57" t="s">
        <v>379</v>
      </c>
      <c r="H1173" s="150" t="s">
        <v>863</v>
      </c>
      <c r="I1173" s="5" t="s">
        <v>5518</v>
      </c>
      <c r="J1173" s="5" t="s">
        <v>4671</v>
      </c>
      <c r="K1173" s="5" t="str">
        <f t="shared" si="45"/>
        <v>LTKJ</v>
      </c>
      <c r="L1173" s="53"/>
      <c r="M1173" s="53"/>
      <c r="N1173" s="53"/>
      <c r="O1173" s="53"/>
      <c r="P1173" s="53"/>
      <c r="Q1173" s="53"/>
      <c r="R1173" s="53"/>
      <c r="S1173" s="53"/>
      <c r="T1173" s="53"/>
      <c r="U1173" s="53"/>
      <c r="V1173" s="53"/>
      <c r="W1173" s="53"/>
    </row>
    <row r="1174" spans="1:29" x14ac:dyDescent="0.25">
      <c r="A1174" s="58" t="str">
        <f t="shared" si="44"/>
        <v>XII TKJ 327</v>
      </c>
      <c r="B1174" s="171">
        <f>COUNTIF(H$2:H1174,H1174)</f>
        <v>27</v>
      </c>
      <c r="C1174" s="195">
        <v>102319129</v>
      </c>
      <c r="D1174" s="5" t="s">
        <v>3810</v>
      </c>
      <c r="E1174" s="5" t="str">
        <f t="shared" si="43"/>
        <v>102319129 / 0071253626</v>
      </c>
      <c r="F1174" s="59" t="s">
        <v>3811</v>
      </c>
      <c r="G1174" s="57" t="s">
        <v>379</v>
      </c>
      <c r="H1174" s="150" t="s">
        <v>863</v>
      </c>
      <c r="I1174" s="5" t="s">
        <v>5518</v>
      </c>
      <c r="J1174" s="5" t="s">
        <v>4671</v>
      </c>
      <c r="K1174" s="5" t="str">
        <f t="shared" si="45"/>
        <v>LTKJ</v>
      </c>
      <c r="L1174" s="70"/>
      <c r="M1174" s="53"/>
      <c r="N1174" s="53"/>
      <c r="O1174" s="53"/>
      <c r="P1174" s="53"/>
      <c r="Q1174" s="53"/>
      <c r="R1174" s="53"/>
      <c r="S1174" s="53"/>
      <c r="T1174" s="53"/>
      <c r="U1174" s="53"/>
      <c r="V1174" s="53"/>
      <c r="W1174" s="53"/>
    </row>
    <row r="1175" spans="1:29" x14ac:dyDescent="0.25">
      <c r="A1175" s="58" t="str">
        <f t="shared" si="44"/>
        <v>XII TKJ 328</v>
      </c>
      <c r="B1175" s="171">
        <f>COUNTIF(H$2:H1175,H1175)</f>
        <v>28</v>
      </c>
      <c r="C1175" s="195">
        <v>102319130</v>
      </c>
      <c r="D1175" s="5" t="s">
        <v>3812</v>
      </c>
      <c r="E1175" s="5" t="str">
        <f t="shared" si="43"/>
        <v>102319130 / 0072498929</v>
      </c>
      <c r="F1175" s="59" t="s">
        <v>3813</v>
      </c>
      <c r="G1175" s="57" t="s">
        <v>379</v>
      </c>
      <c r="H1175" s="150" t="s">
        <v>863</v>
      </c>
      <c r="I1175" s="5" t="s">
        <v>5518</v>
      </c>
      <c r="J1175" s="5" t="s">
        <v>4671</v>
      </c>
      <c r="K1175" s="5" t="str">
        <f t="shared" si="45"/>
        <v>LTKJ</v>
      </c>
      <c r="L1175" s="53"/>
      <c r="M1175" s="53"/>
      <c r="N1175" s="53"/>
      <c r="O1175" s="53"/>
      <c r="P1175" s="53"/>
      <c r="Q1175" s="53"/>
      <c r="R1175" s="53"/>
      <c r="S1175" s="53"/>
      <c r="T1175" s="53"/>
      <c r="U1175" s="53"/>
      <c r="V1175" s="53"/>
      <c r="W1175" s="53"/>
    </row>
    <row r="1176" spans="1:29" x14ac:dyDescent="0.25">
      <c r="A1176" s="58" t="str">
        <f t="shared" si="44"/>
        <v>XII TKJ 329</v>
      </c>
      <c r="B1176" s="171">
        <f>COUNTIF(H$2:H1176,H1176)</f>
        <v>29</v>
      </c>
      <c r="C1176" s="195">
        <v>102319131</v>
      </c>
      <c r="D1176" s="5" t="s">
        <v>3814</v>
      </c>
      <c r="E1176" s="5" t="str">
        <f t="shared" si="43"/>
        <v>102319131 / 0088718943</v>
      </c>
      <c r="F1176" s="59" t="s">
        <v>3815</v>
      </c>
      <c r="G1176" s="57" t="s">
        <v>379</v>
      </c>
      <c r="H1176" s="150" t="s">
        <v>863</v>
      </c>
      <c r="I1176" s="5" t="s">
        <v>5518</v>
      </c>
      <c r="J1176" s="5" t="s">
        <v>4671</v>
      </c>
      <c r="K1176" s="5" t="str">
        <f t="shared" si="45"/>
        <v>LTKJ</v>
      </c>
      <c r="L1176" s="53"/>
      <c r="M1176" s="53"/>
      <c r="N1176" s="53"/>
      <c r="O1176" s="53"/>
      <c r="P1176" s="53"/>
      <c r="Q1176" s="53"/>
      <c r="R1176" s="53"/>
      <c r="S1176" s="53"/>
      <c r="T1176" s="53"/>
      <c r="U1176" s="53"/>
      <c r="V1176" s="53"/>
      <c r="W1176" s="53"/>
      <c r="AA1176" s="49">
        <v>396</v>
      </c>
    </row>
    <row r="1177" spans="1:29" x14ac:dyDescent="0.25">
      <c r="A1177" s="58" t="str">
        <f t="shared" si="44"/>
        <v>XII TKJ 330</v>
      </c>
      <c r="B1177" s="171">
        <f>COUNTIF(H$2:H1177,H1177)</f>
        <v>30</v>
      </c>
      <c r="C1177" s="195">
        <v>102319132</v>
      </c>
      <c r="D1177" s="5" t="s">
        <v>3816</v>
      </c>
      <c r="E1177" s="5" t="str">
        <f t="shared" si="43"/>
        <v>102319132 / 0083334829</v>
      </c>
      <c r="F1177" s="59" t="s">
        <v>3817</v>
      </c>
      <c r="G1177" s="57" t="s">
        <v>379</v>
      </c>
      <c r="H1177" s="150" t="s">
        <v>863</v>
      </c>
      <c r="I1177" s="5" t="s">
        <v>5518</v>
      </c>
      <c r="J1177" s="5" t="s">
        <v>4671</v>
      </c>
      <c r="K1177" s="5" t="str">
        <f t="shared" si="45"/>
        <v>LTKJ</v>
      </c>
      <c r="L1177" s="53"/>
      <c r="M1177" s="53"/>
      <c r="N1177" s="53"/>
      <c r="O1177" s="53"/>
      <c r="P1177" s="53"/>
      <c r="Q1177" s="53"/>
      <c r="R1177" s="53"/>
      <c r="S1177" s="53"/>
      <c r="T1177" s="53"/>
      <c r="U1177" s="53"/>
      <c r="V1177" s="53"/>
      <c r="W1177" s="53"/>
      <c r="AC1177" s="53"/>
    </row>
    <row r="1178" spans="1:29" x14ac:dyDescent="0.25">
      <c r="A1178" s="58" t="str">
        <f t="shared" si="44"/>
        <v>XII TKJ 331</v>
      </c>
      <c r="B1178" s="171">
        <f>COUNTIF(H$2:H1178,H1178)</f>
        <v>31</v>
      </c>
      <c r="C1178" s="195">
        <v>102319133</v>
      </c>
      <c r="D1178" s="5" t="s">
        <v>3818</v>
      </c>
      <c r="E1178" s="5" t="str">
        <f t="shared" si="43"/>
        <v>102319133 / 0066133611</v>
      </c>
      <c r="F1178" s="59" t="s">
        <v>3819</v>
      </c>
      <c r="G1178" s="57" t="s">
        <v>379</v>
      </c>
      <c r="H1178" s="150" t="s">
        <v>863</v>
      </c>
      <c r="I1178" s="5" t="s">
        <v>5518</v>
      </c>
      <c r="J1178" s="5" t="s">
        <v>4671</v>
      </c>
      <c r="K1178" s="5" t="str">
        <f t="shared" ref="K1178:K1234" si="46">G1178&amp;J1178</f>
        <v>LTKJ</v>
      </c>
      <c r="L1178" s="53"/>
      <c r="M1178" s="53"/>
      <c r="N1178" s="53"/>
      <c r="O1178" s="53"/>
      <c r="P1178" s="53"/>
      <c r="Q1178" s="53"/>
      <c r="R1178" s="53"/>
      <c r="S1178" s="53"/>
      <c r="T1178" s="53"/>
      <c r="U1178" s="53"/>
      <c r="V1178" s="53"/>
      <c r="W1178" s="53"/>
      <c r="AC1178" s="53"/>
    </row>
    <row r="1179" spans="1:29" x14ac:dyDescent="0.25">
      <c r="A1179" s="58" t="str">
        <f t="shared" si="44"/>
        <v>XIII KA 11</v>
      </c>
      <c r="B1179" s="171">
        <f>COUNTIF(H$2:H1179,H1179)</f>
        <v>1</v>
      </c>
      <c r="C1179" s="5">
        <v>102218343</v>
      </c>
      <c r="D1179" s="5" t="s">
        <v>307</v>
      </c>
      <c r="E1179" s="5" t="str">
        <f t="shared" ref="E1179:E1187" si="47">C1179&amp; " / "&amp; D1179</f>
        <v>102218343 / 0061254430</v>
      </c>
      <c r="F1179" s="58" t="s">
        <v>308</v>
      </c>
      <c r="G1179" s="57" t="s">
        <v>379</v>
      </c>
      <c r="H1179" s="72" t="s">
        <v>4252</v>
      </c>
      <c r="I1179" s="186" t="s">
        <v>5676</v>
      </c>
      <c r="J1179" s="149" t="s">
        <v>5673</v>
      </c>
      <c r="K1179" s="5" t="str">
        <f t="shared" si="46"/>
        <v>LKA</v>
      </c>
      <c r="AC1179" s="53"/>
    </row>
    <row r="1180" spans="1:29" ht="15" customHeight="1" x14ac:dyDescent="0.25">
      <c r="A1180" s="58" t="str">
        <f t="shared" si="44"/>
        <v>XIII KA 12</v>
      </c>
      <c r="B1180" s="171">
        <f>COUNTIF(H$2:H1180,H1180)</f>
        <v>2</v>
      </c>
      <c r="C1180" s="5">
        <v>102218344</v>
      </c>
      <c r="D1180" s="5" t="s">
        <v>29</v>
      </c>
      <c r="E1180" s="5" t="str">
        <f t="shared" si="47"/>
        <v>102218344 / 0062122603</v>
      </c>
      <c r="F1180" s="58" t="s">
        <v>30</v>
      </c>
      <c r="G1180" s="57" t="s">
        <v>381</v>
      </c>
      <c r="H1180" s="72" t="s">
        <v>4252</v>
      </c>
      <c r="I1180" s="186" t="s">
        <v>5676</v>
      </c>
      <c r="J1180" s="5" t="s">
        <v>5673</v>
      </c>
      <c r="K1180" s="5" t="str">
        <f t="shared" si="46"/>
        <v>PKA</v>
      </c>
      <c r="AC1180" s="53"/>
    </row>
    <row r="1181" spans="1:29" ht="15" customHeight="1" x14ac:dyDescent="0.25">
      <c r="A1181" s="58" t="str">
        <f t="shared" si="44"/>
        <v>XIII KA 13</v>
      </c>
      <c r="B1181" s="171">
        <f>COUNTIF(H$2:H1181,H1181)</f>
        <v>3</v>
      </c>
      <c r="C1181" s="5">
        <v>102218345</v>
      </c>
      <c r="D1181" s="5" t="s">
        <v>325</v>
      </c>
      <c r="E1181" s="5" t="str">
        <f t="shared" si="47"/>
        <v>102218345 / 0073872879</v>
      </c>
      <c r="F1181" s="58" t="s">
        <v>326</v>
      </c>
      <c r="G1181" s="57" t="s">
        <v>379</v>
      </c>
      <c r="H1181" s="72" t="s">
        <v>4252</v>
      </c>
      <c r="I1181" s="186" t="s">
        <v>5676</v>
      </c>
      <c r="J1181" s="5" t="s">
        <v>5673</v>
      </c>
      <c r="K1181" s="5" t="str">
        <f t="shared" si="46"/>
        <v>LKA</v>
      </c>
      <c r="AC1181" s="53"/>
    </row>
    <row r="1182" spans="1:29" ht="15" customHeight="1" x14ac:dyDescent="0.25">
      <c r="A1182" s="58" t="str">
        <f t="shared" si="44"/>
        <v>XIII KA 14</v>
      </c>
      <c r="B1182" s="171">
        <f>COUNTIF(H$2:H1182,H1182)</f>
        <v>4</v>
      </c>
      <c r="C1182" s="5">
        <v>102218346</v>
      </c>
      <c r="D1182" s="5" t="s">
        <v>327</v>
      </c>
      <c r="E1182" s="5" t="str">
        <f t="shared" si="47"/>
        <v>102218346 / 0064715200</v>
      </c>
      <c r="F1182" s="58" t="s">
        <v>328</v>
      </c>
      <c r="G1182" s="57" t="s">
        <v>379</v>
      </c>
      <c r="H1182" s="72" t="s">
        <v>4252</v>
      </c>
      <c r="I1182" s="186" t="s">
        <v>5676</v>
      </c>
      <c r="J1182" s="5" t="s">
        <v>5673</v>
      </c>
      <c r="K1182" s="5" t="str">
        <f t="shared" si="46"/>
        <v>LKA</v>
      </c>
      <c r="AC1182" s="53"/>
    </row>
    <row r="1183" spans="1:29" ht="15" customHeight="1" x14ac:dyDescent="0.25">
      <c r="A1183" s="58" t="str">
        <f t="shared" si="44"/>
        <v>XIII KA 15</v>
      </c>
      <c r="B1183" s="171">
        <f>COUNTIF(H$2:H1183,H1183)</f>
        <v>5</v>
      </c>
      <c r="C1183" s="5">
        <v>102218347</v>
      </c>
      <c r="D1183" s="5" t="s">
        <v>44</v>
      </c>
      <c r="E1183" s="5" t="str">
        <f t="shared" si="47"/>
        <v>102218347 / 0061121582</v>
      </c>
      <c r="F1183" s="58" t="s">
        <v>45</v>
      </c>
      <c r="G1183" s="57" t="s">
        <v>381</v>
      </c>
      <c r="H1183" s="72" t="s">
        <v>4252</v>
      </c>
      <c r="I1183" s="186" t="s">
        <v>5676</v>
      </c>
      <c r="J1183" s="5" t="s">
        <v>5673</v>
      </c>
      <c r="K1183" s="5" t="str">
        <f t="shared" si="46"/>
        <v>PKA</v>
      </c>
      <c r="AC1183" s="53"/>
    </row>
    <row r="1184" spans="1:29" ht="15" customHeight="1" x14ac:dyDescent="0.25">
      <c r="A1184" s="58" t="str">
        <f t="shared" si="44"/>
        <v>XIII KA 16</v>
      </c>
      <c r="B1184" s="171">
        <f>COUNTIF(H$2:H1184,H1184)</f>
        <v>6</v>
      </c>
      <c r="C1184" s="5">
        <v>102218348</v>
      </c>
      <c r="D1184" s="5" t="s">
        <v>287</v>
      </c>
      <c r="E1184" s="5" t="str">
        <f t="shared" si="47"/>
        <v>102218348 / 0067080957</v>
      </c>
      <c r="F1184" s="58" t="s">
        <v>288</v>
      </c>
      <c r="G1184" s="57" t="s">
        <v>381</v>
      </c>
      <c r="H1184" s="72" t="s">
        <v>4252</v>
      </c>
      <c r="I1184" s="186" t="s">
        <v>5676</v>
      </c>
      <c r="J1184" s="5" t="s">
        <v>5673</v>
      </c>
      <c r="K1184" s="5" t="str">
        <f t="shared" si="46"/>
        <v>PKA</v>
      </c>
      <c r="AC1184" s="53"/>
    </row>
    <row r="1185" spans="1:29" ht="15" customHeight="1" x14ac:dyDescent="0.25">
      <c r="A1185" s="58" t="str">
        <f t="shared" si="44"/>
        <v>XIII KA 17</v>
      </c>
      <c r="B1185" s="171">
        <f>COUNTIF(H$2:H1185,H1185)</f>
        <v>7</v>
      </c>
      <c r="C1185" s="5">
        <v>102218349</v>
      </c>
      <c r="D1185" s="5" t="s">
        <v>48</v>
      </c>
      <c r="E1185" s="5" t="str">
        <f t="shared" si="47"/>
        <v>102218349 / 0061440453</v>
      </c>
      <c r="F1185" s="58" t="s">
        <v>49</v>
      </c>
      <c r="G1185" s="57" t="s">
        <v>381</v>
      </c>
      <c r="H1185" s="72" t="s">
        <v>4252</v>
      </c>
      <c r="I1185" s="186" t="s">
        <v>5676</v>
      </c>
      <c r="J1185" s="5" t="s">
        <v>5673</v>
      </c>
      <c r="K1185" s="5" t="str">
        <f t="shared" si="46"/>
        <v>PKA</v>
      </c>
      <c r="AC1185" s="53"/>
    </row>
    <row r="1186" spans="1:29" ht="15" customHeight="1" x14ac:dyDescent="0.25">
      <c r="A1186" s="58" t="str">
        <f t="shared" si="44"/>
        <v>XIII KA 18</v>
      </c>
      <c r="B1186" s="171">
        <f>COUNTIF(H$2:H1186,H1186)</f>
        <v>8</v>
      </c>
      <c r="C1186" s="5">
        <v>102218350</v>
      </c>
      <c r="D1186" s="5" t="s">
        <v>382</v>
      </c>
      <c r="E1186" s="5" t="str">
        <f t="shared" si="47"/>
        <v>102218350 / 0061578805</v>
      </c>
      <c r="F1186" s="58" t="s">
        <v>383</v>
      </c>
      <c r="G1186" s="57" t="s">
        <v>379</v>
      </c>
      <c r="H1186" s="72" t="s">
        <v>4252</v>
      </c>
      <c r="I1186" s="186" t="s">
        <v>5676</v>
      </c>
      <c r="J1186" s="5" t="s">
        <v>5673</v>
      </c>
      <c r="K1186" s="5" t="str">
        <f t="shared" si="46"/>
        <v>LKA</v>
      </c>
      <c r="AC1186" s="53"/>
    </row>
    <row r="1187" spans="1:29" ht="15" customHeight="1" x14ac:dyDescent="0.25">
      <c r="A1187" s="58" t="str">
        <f t="shared" si="44"/>
        <v>XIII KA 19</v>
      </c>
      <c r="B1187" s="171">
        <f>COUNTIF(H$2:H1187,H1187)</f>
        <v>9</v>
      </c>
      <c r="C1187" s="5">
        <v>102218351</v>
      </c>
      <c r="D1187" s="5" t="s">
        <v>257</v>
      </c>
      <c r="E1187" s="5" t="str">
        <f t="shared" si="47"/>
        <v>102218351 / 0072890072</v>
      </c>
      <c r="F1187" s="58" t="s">
        <v>258</v>
      </c>
      <c r="G1187" s="57" t="s">
        <v>381</v>
      </c>
      <c r="H1187" s="72" t="s">
        <v>4252</v>
      </c>
      <c r="I1187" s="186" t="s">
        <v>5676</v>
      </c>
      <c r="J1187" s="5" t="s">
        <v>5673</v>
      </c>
      <c r="K1187" s="5" t="str">
        <f t="shared" si="46"/>
        <v>PKA</v>
      </c>
      <c r="AC1187" s="53"/>
    </row>
    <row r="1188" spans="1:29" ht="15" customHeight="1" x14ac:dyDescent="0.25">
      <c r="A1188" s="58" t="str">
        <f t="shared" si="44"/>
        <v>XIII KA 110</v>
      </c>
      <c r="B1188" s="171">
        <f>COUNTIF(H$2:H1188,H1188)</f>
        <v>10</v>
      </c>
      <c r="C1188" s="5">
        <v>102218352</v>
      </c>
      <c r="D1188" s="5" t="s">
        <v>277</v>
      </c>
      <c r="E1188" s="5" t="str">
        <f t="shared" ref="E1188:E1250" si="48">C1188&amp; " / "&amp; D1188</f>
        <v>102218352 / 3063482441</v>
      </c>
      <c r="F1188" s="58" t="s">
        <v>278</v>
      </c>
      <c r="G1188" s="57" t="s">
        <v>379</v>
      </c>
      <c r="H1188" s="72" t="s">
        <v>4252</v>
      </c>
      <c r="I1188" s="186" t="s">
        <v>5676</v>
      </c>
      <c r="J1188" s="5" t="s">
        <v>5673</v>
      </c>
      <c r="K1188" s="5" t="str">
        <f t="shared" si="46"/>
        <v>LKA</v>
      </c>
      <c r="AC1188" s="53"/>
    </row>
    <row r="1189" spans="1:29" ht="15" customHeight="1" x14ac:dyDescent="0.25">
      <c r="A1189" s="58" t="str">
        <f t="shared" si="44"/>
        <v>XIII KA 111</v>
      </c>
      <c r="B1189" s="171">
        <f>COUNTIF(H$2:H1189,H1189)</f>
        <v>11</v>
      </c>
      <c r="C1189" s="5">
        <v>102218353</v>
      </c>
      <c r="D1189" s="5" t="s">
        <v>33</v>
      </c>
      <c r="E1189" s="5" t="str">
        <f t="shared" si="48"/>
        <v>102218353 / 0067583120</v>
      </c>
      <c r="F1189" s="58" t="s">
        <v>34</v>
      </c>
      <c r="G1189" s="57" t="s">
        <v>381</v>
      </c>
      <c r="H1189" s="72" t="s">
        <v>4252</v>
      </c>
      <c r="I1189" s="186" t="s">
        <v>5676</v>
      </c>
      <c r="J1189" s="5" t="s">
        <v>5673</v>
      </c>
      <c r="K1189" s="5" t="str">
        <f t="shared" si="46"/>
        <v>PKA</v>
      </c>
      <c r="AC1189" s="53"/>
    </row>
    <row r="1190" spans="1:29" ht="15" customHeight="1" x14ac:dyDescent="0.25">
      <c r="A1190" s="58" t="str">
        <f t="shared" si="44"/>
        <v>XIII KA 112</v>
      </c>
      <c r="B1190" s="171">
        <f>COUNTIF(H$2:H1190,H1190)</f>
        <v>12</v>
      </c>
      <c r="C1190" s="5">
        <v>102218354</v>
      </c>
      <c r="D1190" s="5" t="s">
        <v>42</v>
      </c>
      <c r="E1190" s="5" t="str">
        <f t="shared" si="48"/>
        <v>102218354 / 0068551036</v>
      </c>
      <c r="F1190" s="58" t="s">
        <v>43</v>
      </c>
      <c r="G1190" s="57" t="s">
        <v>379</v>
      </c>
      <c r="H1190" s="72" t="s">
        <v>4252</v>
      </c>
      <c r="I1190" s="186" t="s">
        <v>5676</v>
      </c>
      <c r="J1190" s="5" t="s">
        <v>5673</v>
      </c>
      <c r="K1190" s="5" t="str">
        <f t="shared" si="46"/>
        <v>LKA</v>
      </c>
      <c r="AC1190" s="53"/>
    </row>
    <row r="1191" spans="1:29" ht="15" customHeight="1" x14ac:dyDescent="0.25">
      <c r="A1191" s="58" t="str">
        <f t="shared" si="44"/>
        <v>XIII KA 113</v>
      </c>
      <c r="B1191" s="171">
        <f>COUNTIF(H$2:H1191,H1191)</f>
        <v>13</v>
      </c>
      <c r="C1191" s="5">
        <v>102218355</v>
      </c>
      <c r="D1191" s="5" t="s">
        <v>301</v>
      </c>
      <c r="E1191" s="5" t="str">
        <f t="shared" si="48"/>
        <v>102218355 / 0077107632</v>
      </c>
      <c r="F1191" s="58" t="s">
        <v>302</v>
      </c>
      <c r="G1191" s="57" t="s">
        <v>381</v>
      </c>
      <c r="H1191" s="72" t="s">
        <v>4252</v>
      </c>
      <c r="I1191" s="186" t="s">
        <v>5676</v>
      </c>
      <c r="J1191" s="5" t="s">
        <v>5673</v>
      </c>
      <c r="K1191" s="5" t="str">
        <f t="shared" si="46"/>
        <v>PKA</v>
      </c>
      <c r="AC1191" s="53"/>
    </row>
    <row r="1192" spans="1:29" ht="15" customHeight="1" x14ac:dyDescent="0.25">
      <c r="A1192" s="58" t="str">
        <f t="shared" si="44"/>
        <v>XIII KA 114</v>
      </c>
      <c r="B1192" s="171">
        <f>COUNTIF(H$2:H1192,H1192)</f>
        <v>14</v>
      </c>
      <c r="C1192" s="5">
        <v>102218356</v>
      </c>
      <c r="D1192" s="5" t="s">
        <v>181</v>
      </c>
      <c r="E1192" s="5" t="str">
        <f t="shared" si="48"/>
        <v>102218356 / 0067354362</v>
      </c>
      <c r="F1192" s="88" t="s">
        <v>182</v>
      </c>
      <c r="G1192" s="5" t="s">
        <v>381</v>
      </c>
      <c r="H1192" s="72" t="s">
        <v>4252</v>
      </c>
      <c r="I1192" s="186" t="s">
        <v>5676</v>
      </c>
      <c r="J1192" s="5" t="s">
        <v>5673</v>
      </c>
      <c r="K1192" s="5" t="str">
        <f t="shared" si="46"/>
        <v>PKA</v>
      </c>
      <c r="AC1192" s="53"/>
    </row>
    <row r="1193" spans="1:29" ht="15" customHeight="1" x14ac:dyDescent="0.25">
      <c r="A1193" s="58" t="str">
        <f t="shared" si="44"/>
        <v>XIII KA 115</v>
      </c>
      <c r="B1193" s="171">
        <f>COUNTIF(H$2:H1193,H1193)</f>
        <v>15</v>
      </c>
      <c r="C1193" s="5">
        <v>102218357</v>
      </c>
      <c r="D1193" s="5" t="s">
        <v>271</v>
      </c>
      <c r="E1193" s="5" t="str">
        <f t="shared" si="48"/>
        <v>102218357 / 0064242841</v>
      </c>
      <c r="F1193" s="88" t="s">
        <v>272</v>
      </c>
      <c r="G1193" s="5" t="s">
        <v>381</v>
      </c>
      <c r="H1193" s="72" t="s">
        <v>4252</v>
      </c>
      <c r="I1193" s="186" t="s">
        <v>5676</v>
      </c>
      <c r="J1193" s="5" t="s">
        <v>5673</v>
      </c>
      <c r="K1193" s="5" t="str">
        <f t="shared" si="46"/>
        <v>PKA</v>
      </c>
      <c r="AC1193" s="53"/>
    </row>
    <row r="1194" spans="1:29" ht="15" customHeight="1" x14ac:dyDescent="0.25">
      <c r="A1194" s="58" t="str">
        <f t="shared" si="44"/>
        <v>XIII KA 116</v>
      </c>
      <c r="B1194" s="171">
        <f>COUNTIF(H$2:H1194,H1194)</f>
        <v>16</v>
      </c>
      <c r="C1194" s="5">
        <v>102218358</v>
      </c>
      <c r="D1194" s="5" t="s">
        <v>341</v>
      </c>
      <c r="E1194" s="5" t="str">
        <f t="shared" si="48"/>
        <v>102218358 / 0078104551</v>
      </c>
      <c r="F1194" s="88" t="s">
        <v>342</v>
      </c>
      <c r="G1194" s="5" t="s">
        <v>381</v>
      </c>
      <c r="H1194" s="72" t="s">
        <v>4252</v>
      </c>
      <c r="I1194" s="186" t="s">
        <v>5676</v>
      </c>
      <c r="J1194" s="5" t="s">
        <v>5673</v>
      </c>
      <c r="K1194" s="5" t="str">
        <f t="shared" si="46"/>
        <v>PKA</v>
      </c>
      <c r="AC1194" s="53"/>
    </row>
    <row r="1195" spans="1:29" ht="15" customHeight="1" x14ac:dyDescent="0.25">
      <c r="A1195" s="58" t="str">
        <f t="shared" ref="A1195:A1257" si="49">H1195&amp;B1195</f>
        <v>XIII KA 117</v>
      </c>
      <c r="B1195" s="171">
        <f>COUNTIF(H$2:H1195,H1195)</f>
        <v>17</v>
      </c>
      <c r="C1195" s="5">
        <v>102218359</v>
      </c>
      <c r="D1195" s="5" t="s">
        <v>80</v>
      </c>
      <c r="E1195" s="5" t="str">
        <f t="shared" si="48"/>
        <v>102218359 / 0063443152</v>
      </c>
      <c r="F1195" s="88" t="s">
        <v>81</v>
      </c>
      <c r="G1195" s="5" t="s">
        <v>381</v>
      </c>
      <c r="H1195" s="72" t="s">
        <v>4252</v>
      </c>
      <c r="I1195" s="186" t="s">
        <v>5676</v>
      </c>
      <c r="J1195" s="5" t="s">
        <v>5673</v>
      </c>
      <c r="K1195" s="5" t="str">
        <f t="shared" si="46"/>
        <v>PKA</v>
      </c>
      <c r="AC1195" s="53"/>
    </row>
    <row r="1196" spans="1:29" ht="15" customHeight="1" x14ac:dyDescent="0.25">
      <c r="A1196" s="58" t="str">
        <f t="shared" si="49"/>
        <v>XIII KA 118</v>
      </c>
      <c r="B1196" s="171">
        <f>COUNTIF(H$2:H1196,H1196)</f>
        <v>18</v>
      </c>
      <c r="C1196" s="5">
        <v>102218360</v>
      </c>
      <c r="D1196" s="5" t="s">
        <v>291</v>
      </c>
      <c r="E1196" s="5" t="str">
        <f t="shared" si="48"/>
        <v>102218360 / 0063921818</v>
      </c>
      <c r="F1196" s="88" t="s">
        <v>292</v>
      </c>
      <c r="G1196" s="5" t="s">
        <v>381</v>
      </c>
      <c r="H1196" s="72" t="s">
        <v>4252</v>
      </c>
      <c r="I1196" s="186" t="s">
        <v>5676</v>
      </c>
      <c r="J1196" s="5" t="s">
        <v>5673</v>
      </c>
      <c r="K1196" s="5" t="str">
        <f t="shared" si="46"/>
        <v>PKA</v>
      </c>
      <c r="AC1196" s="53"/>
    </row>
    <row r="1197" spans="1:29" ht="15" customHeight="1" x14ac:dyDescent="0.25">
      <c r="A1197" s="58" t="str">
        <f t="shared" si="49"/>
        <v>XIII KA 119</v>
      </c>
      <c r="B1197" s="171">
        <f>COUNTIF(H$2:H1197,H1197)</f>
        <v>19</v>
      </c>
      <c r="C1197" s="5">
        <v>102218361</v>
      </c>
      <c r="D1197" s="5" t="s">
        <v>46</v>
      </c>
      <c r="E1197" s="5" t="str">
        <f t="shared" si="48"/>
        <v>102218361 / 0064738084</v>
      </c>
      <c r="F1197" s="88" t="s">
        <v>47</v>
      </c>
      <c r="G1197" s="5" t="s">
        <v>381</v>
      </c>
      <c r="H1197" s="72" t="s">
        <v>4252</v>
      </c>
      <c r="I1197" s="186" t="s">
        <v>5676</v>
      </c>
      <c r="J1197" s="5" t="s">
        <v>5673</v>
      </c>
      <c r="K1197" s="5" t="str">
        <f t="shared" si="46"/>
        <v>PKA</v>
      </c>
      <c r="AC1197" s="53"/>
    </row>
    <row r="1198" spans="1:29" ht="15" customHeight="1" x14ac:dyDescent="0.25">
      <c r="A1198" s="58" t="str">
        <f t="shared" si="49"/>
        <v>XIII KA 120</v>
      </c>
      <c r="B1198" s="171">
        <f>COUNTIF(H$2:H1198,H1198)</f>
        <v>20</v>
      </c>
      <c r="C1198" s="5">
        <v>102218362</v>
      </c>
      <c r="D1198" s="5" t="s">
        <v>158</v>
      </c>
      <c r="E1198" s="5" t="str">
        <f t="shared" si="48"/>
        <v>102218362 / 0078676589</v>
      </c>
      <c r="F1198" s="88" t="s">
        <v>159</v>
      </c>
      <c r="G1198" s="5" t="s">
        <v>379</v>
      </c>
      <c r="H1198" s="72" t="s">
        <v>4252</v>
      </c>
      <c r="I1198" s="186" t="s">
        <v>5676</v>
      </c>
      <c r="J1198" s="5" t="s">
        <v>5673</v>
      </c>
      <c r="K1198" s="5" t="str">
        <f t="shared" si="46"/>
        <v>LKA</v>
      </c>
      <c r="AC1198" s="53"/>
    </row>
    <row r="1199" spans="1:29" ht="15" customHeight="1" x14ac:dyDescent="0.25">
      <c r="A1199" s="58" t="str">
        <f t="shared" si="49"/>
        <v>XIII KA 121</v>
      </c>
      <c r="B1199" s="171">
        <f>COUNTIF(H$2:H1199,H1199)</f>
        <v>21</v>
      </c>
      <c r="C1199" s="5">
        <v>102218363</v>
      </c>
      <c r="D1199" s="5" t="s">
        <v>293</v>
      </c>
      <c r="E1199" s="5" t="str">
        <f t="shared" si="48"/>
        <v>102218363 / 3077052403</v>
      </c>
      <c r="F1199" s="88" t="s">
        <v>294</v>
      </c>
      <c r="G1199" s="5" t="s">
        <v>379</v>
      </c>
      <c r="H1199" s="72" t="s">
        <v>4252</v>
      </c>
      <c r="I1199" s="186" t="s">
        <v>5676</v>
      </c>
      <c r="J1199" s="5" t="s">
        <v>5673</v>
      </c>
      <c r="K1199" s="5" t="str">
        <f t="shared" si="46"/>
        <v>LKA</v>
      </c>
      <c r="AC1199" s="53"/>
    </row>
    <row r="1200" spans="1:29" ht="15" customHeight="1" x14ac:dyDescent="0.25">
      <c r="A1200" s="58" t="str">
        <f t="shared" si="49"/>
        <v>XIII KA 122</v>
      </c>
      <c r="B1200" s="171">
        <f>COUNTIF(H$2:H1200,H1200)</f>
        <v>22</v>
      </c>
      <c r="C1200" s="5">
        <v>102218364</v>
      </c>
      <c r="D1200" s="5" t="s">
        <v>265</v>
      </c>
      <c r="E1200" s="5" t="str">
        <f t="shared" si="48"/>
        <v>102218364 / 0068603569</v>
      </c>
      <c r="F1200" s="88" t="s">
        <v>266</v>
      </c>
      <c r="G1200" s="5" t="s">
        <v>379</v>
      </c>
      <c r="H1200" s="72" t="s">
        <v>4252</v>
      </c>
      <c r="I1200" s="186" t="s">
        <v>5676</v>
      </c>
      <c r="J1200" s="5" t="s">
        <v>5673</v>
      </c>
      <c r="K1200" s="5" t="str">
        <f t="shared" si="46"/>
        <v>LKA</v>
      </c>
      <c r="AC1200" s="53"/>
    </row>
    <row r="1201" spans="1:29" ht="15" customHeight="1" x14ac:dyDescent="0.25">
      <c r="A1201" s="58" t="str">
        <f t="shared" si="49"/>
        <v>XIII KA 123</v>
      </c>
      <c r="B1201" s="171">
        <f>COUNTIF(H$2:H1201,H1201)</f>
        <v>23</v>
      </c>
      <c r="C1201" s="5">
        <v>102218365</v>
      </c>
      <c r="D1201" s="5" t="s">
        <v>124</v>
      </c>
      <c r="E1201" s="5" t="str">
        <f t="shared" si="48"/>
        <v>102218365 / 0076711818</v>
      </c>
      <c r="F1201" s="88" t="s">
        <v>125</v>
      </c>
      <c r="G1201" s="5" t="s">
        <v>381</v>
      </c>
      <c r="H1201" s="72" t="s">
        <v>4252</v>
      </c>
      <c r="I1201" s="186" t="s">
        <v>5676</v>
      </c>
      <c r="J1201" s="5" t="s">
        <v>5673</v>
      </c>
      <c r="K1201" s="5" t="str">
        <f t="shared" si="46"/>
        <v>PKA</v>
      </c>
      <c r="AC1201" s="53"/>
    </row>
    <row r="1202" spans="1:29" ht="15" customHeight="1" x14ac:dyDescent="0.25">
      <c r="A1202" s="58" t="str">
        <f t="shared" si="49"/>
        <v>XIII KA 124</v>
      </c>
      <c r="B1202" s="171">
        <f>COUNTIF(H$2:H1202,H1202)</f>
        <v>24</v>
      </c>
      <c r="C1202" s="5">
        <v>102218366</v>
      </c>
      <c r="D1202" s="5" t="s">
        <v>339</v>
      </c>
      <c r="E1202" s="5" t="str">
        <f t="shared" si="48"/>
        <v>102218366 / 0072371254</v>
      </c>
      <c r="F1202" s="88" t="s">
        <v>340</v>
      </c>
      <c r="G1202" s="5" t="s">
        <v>379</v>
      </c>
      <c r="H1202" s="72" t="s">
        <v>4252</v>
      </c>
      <c r="I1202" s="186" t="s">
        <v>5676</v>
      </c>
      <c r="J1202" s="5" t="s">
        <v>5673</v>
      </c>
      <c r="K1202" s="5" t="str">
        <f t="shared" si="46"/>
        <v>LKA</v>
      </c>
      <c r="AC1202" s="53"/>
    </row>
    <row r="1203" spans="1:29" ht="15" customHeight="1" x14ac:dyDescent="0.25">
      <c r="A1203" s="58" t="str">
        <f t="shared" si="49"/>
        <v>XIII KA 125</v>
      </c>
      <c r="B1203" s="171">
        <f>COUNTIF(H$2:H1203,H1203)</f>
        <v>25</v>
      </c>
      <c r="C1203" s="5">
        <v>102218367</v>
      </c>
      <c r="D1203" s="197" t="s">
        <v>4673</v>
      </c>
      <c r="E1203" s="5" t="str">
        <f t="shared" si="48"/>
        <v>102218367 / 0067061275</v>
      </c>
      <c r="F1203" s="88" t="s">
        <v>41</v>
      </c>
      <c r="G1203" s="5" t="s">
        <v>381</v>
      </c>
      <c r="H1203" s="72" t="s">
        <v>4252</v>
      </c>
      <c r="I1203" s="186" t="s">
        <v>5676</v>
      </c>
      <c r="J1203" s="5" t="s">
        <v>5673</v>
      </c>
      <c r="K1203" s="5" t="str">
        <f t="shared" si="46"/>
        <v>PKA</v>
      </c>
      <c r="AC1203" s="53"/>
    </row>
    <row r="1204" spans="1:29" ht="15" customHeight="1" x14ac:dyDescent="0.25">
      <c r="A1204" s="58" t="str">
        <f t="shared" si="49"/>
        <v>XIII KA 126</v>
      </c>
      <c r="B1204" s="171">
        <f>COUNTIF(H$2:H1204,H1204)</f>
        <v>26</v>
      </c>
      <c r="C1204" s="5">
        <v>102218368</v>
      </c>
      <c r="D1204" s="5" t="s">
        <v>37</v>
      </c>
      <c r="E1204" s="5" t="str">
        <f t="shared" si="48"/>
        <v>102218368 / 0083732226</v>
      </c>
      <c r="F1204" s="88" t="s">
        <v>38</v>
      </c>
      <c r="G1204" s="5" t="s">
        <v>381</v>
      </c>
      <c r="H1204" s="72" t="s">
        <v>4252</v>
      </c>
      <c r="I1204" s="186" t="s">
        <v>5676</v>
      </c>
      <c r="J1204" s="5" t="s">
        <v>5673</v>
      </c>
      <c r="K1204" s="5" t="str">
        <f t="shared" si="46"/>
        <v>PKA</v>
      </c>
      <c r="AC1204" s="53"/>
    </row>
    <row r="1205" spans="1:29" ht="15" customHeight="1" x14ac:dyDescent="0.25">
      <c r="A1205" s="58" t="str">
        <f t="shared" si="49"/>
        <v>XIII KA 127</v>
      </c>
      <c r="B1205" s="171">
        <f>COUNTIF(H$2:H1205,H1205)</f>
        <v>27</v>
      </c>
      <c r="C1205" s="5">
        <v>102218370</v>
      </c>
      <c r="D1205" s="5" t="s">
        <v>309</v>
      </c>
      <c r="E1205" s="5" t="str">
        <f t="shared" si="48"/>
        <v>102218370 / 0076518471</v>
      </c>
      <c r="F1205" s="88" t="s">
        <v>310</v>
      </c>
      <c r="G1205" s="5" t="s">
        <v>381</v>
      </c>
      <c r="H1205" s="72" t="s">
        <v>4252</v>
      </c>
      <c r="I1205" s="186" t="s">
        <v>5676</v>
      </c>
      <c r="J1205" s="5" t="s">
        <v>5673</v>
      </c>
      <c r="K1205" s="5" t="str">
        <f t="shared" si="46"/>
        <v>PKA</v>
      </c>
      <c r="AC1205" s="53"/>
    </row>
    <row r="1206" spans="1:29" ht="15" customHeight="1" x14ac:dyDescent="0.25">
      <c r="A1206" s="58" t="str">
        <f t="shared" si="49"/>
        <v>XIII KA 128</v>
      </c>
      <c r="B1206" s="171">
        <f>COUNTIF(H$2:H1206,H1206)</f>
        <v>28</v>
      </c>
      <c r="C1206" s="5">
        <v>102218371</v>
      </c>
      <c r="D1206" s="5" t="s">
        <v>31</v>
      </c>
      <c r="E1206" s="5" t="str">
        <f t="shared" si="48"/>
        <v>102218371 / 0071790855</v>
      </c>
      <c r="F1206" s="88" t="s">
        <v>32</v>
      </c>
      <c r="G1206" s="5" t="s">
        <v>381</v>
      </c>
      <c r="H1206" s="72" t="s">
        <v>4252</v>
      </c>
      <c r="I1206" s="186" t="s">
        <v>5676</v>
      </c>
      <c r="J1206" s="5" t="s">
        <v>5673</v>
      </c>
      <c r="K1206" s="5" t="str">
        <f t="shared" si="46"/>
        <v>PKA</v>
      </c>
      <c r="AC1206" s="53"/>
    </row>
    <row r="1207" spans="1:29" ht="15" customHeight="1" x14ac:dyDescent="0.25">
      <c r="A1207" s="58" t="str">
        <f t="shared" si="49"/>
        <v>XIII KA 129</v>
      </c>
      <c r="B1207" s="171">
        <f>COUNTIF(H$2:H1207,H1207)</f>
        <v>29</v>
      </c>
      <c r="C1207" s="5">
        <v>102218372</v>
      </c>
      <c r="D1207" s="5" t="s">
        <v>170</v>
      </c>
      <c r="E1207" s="5" t="str">
        <f t="shared" si="48"/>
        <v>102218372 / 0069394339</v>
      </c>
      <c r="F1207" s="88" t="s">
        <v>171</v>
      </c>
      <c r="G1207" s="5" t="s">
        <v>379</v>
      </c>
      <c r="H1207" s="72" t="s">
        <v>4252</v>
      </c>
      <c r="I1207" s="186" t="s">
        <v>5676</v>
      </c>
      <c r="J1207" s="5" t="s">
        <v>5673</v>
      </c>
      <c r="K1207" s="5" t="str">
        <f t="shared" si="46"/>
        <v>LKA</v>
      </c>
      <c r="AC1207" s="53"/>
    </row>
    <row r="1208" spans="1:29" ht="15" customHeight="1" x14ac:dyDescent="0.25">
      <c r="A1208" s="58" t="str">
        <f t="shared" si="49"/>
        <v>XIII KA 130</v>
      </c>
      <c r="B1208" s="171">
        <f>COUNTIF(H$2:H1208,H1208)</f>
        <v>30</v>
      </c>
      <c r="C1208" s="5">
        <v>102218373</v>
      </c>
      <c r="D1208" s="5" t="s">
        <v>295</v>
      </c>
      <c r="E1208" s="5" t="str">
        <f t="shared" si="48"/>
        <v>102218373 / 0074788212</v>
      </c>
      <c r="F1208" s="88" t="s">
        <v>296</v>
      </c>
      <c r="G1208" s="5" t="s">
        <v>381</v>
      </c>
      <c r="H1208" s="72" t="s">
        <v>4252</v>
      </c>
      <c r="I1208" s="186" t="s">
        <v>5676</v>
      </c>
      <c r="J1208" s="5" t="s">
        <v>5673</v>
      </c>
      <c r="K1208" s="5" t="str">
        <f t="shared" si="46"/>
        <v>PKA</v>
      </c>
      <c r="AC1208" s="53"/>
    </row>
    <row r="1209" spans="1:29" ht="15" customHeight="1" x14ac:dyDescent="0.25">
      <c r="A1209" s="58" t="str">
        <f t="shared" si="49"/>
        <v>XIII KA 131</v>
      </c>
      <c r="B1209" s="171">
        <f>COUNTIF(H$2:H1209,H1209)</f>
        <v>31</v>
      </c>
      <c r="C1209" s="5">
        <v>102218374</v>
      </c>
      <c r="D1209" s="5" t="s">
        <v>191</v>
      </c>
      <c r="E1209" s="5" t="str">
        <f t="shared" si="48"/>
        <v>102218374 / 0065061996</v>
      </c>
      <c r="F1209" s="88" t="s">
        <v>192</v>
      </c>
      <c r="G1209" s="5" t="s">
        <v>381</v>
      </c>
      <c r="H1209" s="72" t="s">
        <v>4252</v>
      </c>
      <c r="I1209" s="186" t="s">
        <v>5676</v>
      </c>
      <c r="J1209" s="5" t="s">
        <v>5673</v>
      </c>
      <c r="K1209" s="5" t="str">
        <f t="shared" si="46"/>
        <v>PKA</v>
      </c>
      <c r="AC1209" s="53"/>
    </row>
    <row r="1210" spans="1:29" ht="15" customHeight="1" x14ac:dyDescent="0.25">
      <c r="A1210" s="58" t="str">
        <f t="shared" si="49"/>
        <v>XIII KA 132</v>
      </c>
      <c r="B1210" s="171">
        <f>COUNTIF(H$2:H1210,H1210)</f>
        <v>32</v>
      </c>
      <c r="C1210" s="5">
        <v>102218375</v>
      </c>
      <c r="D1210" s="5" t="s">
        <v>39</v>
      </c>
      <c r="E1210" s="5" t="str">
        <f t="shared" si="48"/>
        <v>102218375 / 0079008600</v>
      </c>
      <c r="F1210" s="88" t="s">
        <v>40</v>
      </c>
      <c r="G1210" s="5" t="s">
        <v>381</v>
      </c>
      <c r="H1210" s="72" t="s">
        <v>4252</v>
      </c>
      <c r="I1210" s="186" t="s">
        <v>5676</v>
      </c>
      <c r="J1210" s="5" t="s">
        <v>5673</v>
      </c>
      <c r="K1210" s="5" t="str">
        <f t="shared" si="46"/>
        <v>PKA</v>
      </c>
      <c r="AC1210" s="53"/>
    </row>
    <row r="1211" spans="1:29" ht="15" customHeight="1" x14ac:dyDescent="0.25">
      <c r="A1211" s="58" t="str">
        <f t="shared" si="49"/>
        <v>XIII KA 133</v>
      </c>
      <c r="B1211" s="171">
        <f>COUNTIF(H$2:H1211,H1211)</f>
        <v>33</v>
      </c>
      <c r="C1211" s="5">
        <v>102218377</v>
      </c>
      <c r="D1211" s="5" t="s">
        <v>60</v>
      </c>
      <c r="E1211" s="5" t="str">
        <f t="shared" si="48"/>
        <v>102218377 / 0073767434</v>
      </c>
      <c r="F1211" s="88" t="s">
        <v>61</v>
      </c>
      <c r="G1211" s="5" t="s">
        <v>381</v>
      </c>
      <c r="H1211" s="72" t="s">
        <v>4252</v>
      </c>
      <c r="I1211" s="186" t="s">
        <v>5676</v>
      </c>
      <c r="J1211" s="5" t="s">
        <v>5673</v>
      </c>
      <c r="K1211" s="5" t="str">
        <f t="shared" si="46"/>
        <v>PKA</v>
      </c>
      <c r="AC1211" s="53"/>
    </row>
    <row r="1212" spans="1:29" ht="15" customHeight="1" x14ac:dyDescent="0.25">
      <c r="A1212" s="58" t="str">
        <f t="shared" si="49"/>
        <v>XIII KA 134</v>
      </c>
      <c r="B1212" s="171">
        <f>COUNTIF(H$2:H1212,H1212)</f>
        <v>34</v>
      </c>
      <c r="C1212" s="5">
        <v>102218378</v>
      </c>
      <c r="D1212" s="5" t="s">
        <v>283</v>
      </c>
      <c r="E1212" s="5" t="str">
        <f t="shared" si="48"/>
        <v>102218378 / 0073496361</v>
      </c>
      <c r="F1212" s="88" t="s">
        <v>284</v>
      </c>
      <c r="G1212" s="5" t="s">
        <v>381</v>
      </c>
      <c r="H1212" s="72" t="s">
        <v>4252</v>
      </c>
      <c r="I1212" s="186" t="s">
        <v>5676</v>
      </c>
      <c r="J1212" s="5" t="s">
        <v>5673</v>
      </c>
      <c r="K1212" s="5" t="str">
        <f t="shared" si="46"/>
        <v>PKA</v>
      </c>
      <c r="AC1212" s="53"/>
    </row>
    <row r="1213" spans="1:29" ht="15" customHeight="1" x14ac:dyDescent="0.25">
      <c r="A1213" s="58" t="str">
        <f t="shared" si="49"/>
        <v>XIII KA 21</v>
      </c>
      <c r="B1213" s="171">
        <f>COUNTIF(H$2:H1213,H1213)</f>
        <v>1</v>
      </c>
      <c r="C1213" s="5">
        <v>102218379</v>
      </c>
      <c r="D1213" s="5" t="s">
        <v>337</v>
      </c>
      <c r="E1213" s="5" t="str">
        <f t="shared" si="48"/>
        <v>102218379 / 0073112526</v>
      </c>
      <c r="F1213" s="88" t="s">
        <v>338</v>
      </c>
      <c r="G1213" s="5" t="s">
        <v>381</v>
      </c>
      <c r="H1213" s="72" t="s">
        <v>4253</v>
      </c>
      <c r="I1213" s="186" t="s">
        <v>5676</v>
      </c>
      <c r="J1213" s="5" t="s">
        <v>5673</v>
      </c>
      <c r="K1213" s="5" t="str">
        <f t="shared" si="46"/>
        <v>PKA</v>
      </c>
      <c r="AC1213" s="53"/>
    </row>
    <row r="1214" spans="1:29" ht="15" customHeight="1" x14ac:dyDescent="0.25">
      <c r="A1214" s="58" t="str">
        <f t="shared" si="49"/>
        <v>XIII KA 22</v>
      </c>
      <c r="B1214" s="171">
        <f>COUNTIF(H$2:H1214,H1214)</f>
        <v>2</v>
      </c>
      <c r="C1214" s="5">
        <v>102218381</v>
      </c>
      <c r="D1214" s="5" t="s">
        <v>317</v>
      </c>
      <c r="E1214" s="5" t="str">
        <f t="shared" si="48"/>
        <v>102218381 / 0077862663</v>
      </c>
      <c r="F1214" s="88" t="s">
        <v>318</v>
      </c>
      <c r="G1214" s="5" t="s">
        <v>379</v>
      </c>
      <c r="H1214" s="72" t="s">
        <v>4253</v>
      </c>
      <c r="I1214" s="186" t="s">
        <v>5676</v>
      </c>
      <c r="J1214" s="5" t="s">
        <v>5673</v>
      </c>
      <c r="K1214" s="5" t="str">
        <f t="shared" si="46"/>
        <v>LKA</v>
      </c>
      <c r="AC1214" s="53"/>
    </row>
    <row r="1215" spans="1:29" ht="15" customHeight="1" x14ac:dyDescent="0.25">
      <c r="A1215" s="58" t="str">
        <f t="shared" si="49"/>
        <v>XIII KA 23</v>
      </c>
      <c r="B1215" s="171">
        <f>COUNTIF(H$2:H1215,H1215)</f>
        <v>3</v>
      </c>
      <c r="C1215" s="5">
        <v>102218382</v>
      </c>
      <c r="D1215" s="5" t="s">
        <v>68</v>
      </c>
      <c r="E1215" s="5" t="str">
        <f t="shared" si="48"/>
        <v>102218382 / 0075293552</v>
      </c>
      <c r="F1215" s="88" t="s">
        <v>69</v>
      </c>
      <c r="G1215" s="5" t="s">
        <v>381</v>
      </c>
      <c r="H1215" s="72" t="s">
        <v>4253</v>
      </c>
      <c r="I1215" s="186" t="s">
        <v>5676</v>
      </c>
      <c r="J1215" s="5" t="s">
        <v>5673</v>
      </c>
      <c r="K1215" s="5" t="str">
        <f t="shared" si="46"/>
        <v>PKA</v>
      </c>
      <c r="AC1215" s="53"/>
    </row>
    <row r="1216" spans="1:29" ht="15" customHeight="1" x14ac:dyDescent="0.25">
      <c r="A1216" s="58" t="str">
        <f t="shared" si="49"/>
        <v>XIII KA 24</v>
      </c>
      <c r="B1216" s="171">
        <f>COUNTIF(H$2:H1216,H1216)</f>
        <v>4</v>
      </c>
      <c r="C1216" s="5">
        <v>102218383</v>
      </c>
      <c r="D1216" s="5" t="s">
        <v>62</v>
      </c>
      <c r="E1216" s="5" t="str">
        <f t="shared" si="48"/>
        <v>102218383 / 0075354711</v>
      </c>
      <c r="F1216" s="88" t="s">
        <v>63</v>
      </c>
      <c r="G1216" s="5" t="s">
        <v>381</v>
      </c>
      <c r="H1216" s="72" t="s">
        <v>4253</v>
      </c>
      <c r="I1216" s="186" t="s">
        <v>5676</v>
      </c>
      <c r="J1216" s="5" t="s">
        <v>5673</v>
      </c>
      <c r="K1216" s="5" t="str">
        <f t="shared" si="46"/>
        <v>PKA</v>
      </c>
      <c r="AC1216" s="53"/>
    </row>
    <row r="1217" spans="1:29" ht="15" customHeight="1" x14ac:dyDescent="0.25">
      <c r="A1217" s="58" t="str">
        <f t="shared" si="49"/>
        <v>XIII KA 25</v>
      </c>
      <c r="B1217" s="171">
        <f>COUNTIF(H$2:H1217,H1217)</f>
        <v>5</v>
      </c>
      <c r="C1217" s="5">
        <v>102218385</v>
      </c>
      <c r="D1217" s="5" t="s">
        <v>315</v>
      </c>
      <c r="E1217" s="5" t="str">
        <f t="shared" si="48"/>
        <v>102218385 / 0069233900</v>
      </c>
      <c r="F1217" s="88" t="s">
        <v>316</v>
      </c>
      <c r="G1217" s="5" t="s">
        <v>381</v>
      </c>
      <c r="H1217" s="72" t="s">
        <v>4253</v>
      </c>
      <c r="I1217" s="186" t="s">
        <v>5676</v>
      </c>
      <c r="J1217" s="5" t="s">
        <v>5673</v>
      </c>
      <c r="K1217" s="5" t="str">
        <f t="shared" si="46"/>
        <v>PKA</v>
      </c>
      <c r="AC1217" s="53"/>
    </row>
    <row r="1218" spans="1:29" ht="15" customHeight="1" x14ac:dyDescent="0.25">
      <c r="A1218" s="58" t="str">
        <f t="shared" si="49"/>
        <v>XIII KA 26</v>
      </c>
      <c r="B1218" s="171">
        <f>COUNTIF(H$2:H1218,H1218)</f>
        <v>6</v>
      </c>
      <c r="C1218" s="5">
        <v>102218386</v>
      </c>
      <c r="D1218" s="5" t="s">
        <v>56</v>
      </c>
      <c r="E1218" s="5" t="str">
        <f t="shared" si="48"/>
        <v>102218386 / 0071513010</v>
      </c>
      <c r="F1218" s="88" t="s">
        <v>57</v>
      </c>
      <c r="G1218" s="5" t="s">
        <v>381</v>
      </c>
      <c r="H1218" s="72" t="s">
        <v>4253</v>
      </c>
      <c r="I1218" s="186" t="s">
        <v>5676</v>
      </c>
      <c r="J1218" s="5" t="s">
        <v>5673</v>
      </c>
      <c r="K1218" s="5" t="str">
        <f t="shared" si="46"/>
        <v>PKA</v>
      </c>
      <c r="AC1218" s="53"/>
    </row>
    <row r="1219" spans="1:29" ht="15" customHeight="1" x14ac:dyDescent="0.25">
      <c r="A1219" s="58" t="str">
        <f t="shared" si="49"/>
        <v>XIII KA 27</v>
      </c>
      <c r="B1219" s="171">
        <f>COUNTIF(H$2:H1219,H1219)</f>
        <v>7</v>
      </c>
      <c r="C1219" s="5">
        <v>102218387</v>
      </c>
      <c r="D1219" s="5" t="s">
        <v>329</v>
      </c>
      <c r="E1219" s="5" t="str">
        <f t="shared" si="48"/>
        <v>102218387 / 0072923627</v>
      </c>
      <c r="F1219" s="88" t="s">
        <v>330</v>
      </c>
      <c r="G1219" s="5" t="s">
        <v>379</v>
      </c>
      <c r="H1219" s="72" t="s">
        <v>4253</v>
      </c>
      <c r="I1219" s="186" t="s">
        <v>5676</v>
      </c>
      <c r="J1219" s="5" t="s">
        <v>5673</v>
      </c>
      <c r="K1219" s="5" t="str">
        <f t="shared" si="46"/>
        <v>LKA</v>
      </c>
      <c r="AC1219" s="53"/>
    </row>
    <row r="1220" spans="1:29" ht="15" customHeight="1" x14ac:dyDescent="0.25">
      <c r="A1220" s="58" t="str">
        <f t="shared" si="49"/>
        <v>XIII KA 28</v>
      </c>
      <c r="B1220" s="171">
        <f>COUNTIF(H$2:H1220,H1220)</f>
        <v>8</v>
      </c>
      <c r="C1220" s="5">
        <v>102218388</v>
      </c>
      <c r="D1220" s="5" t="s">
        <v>76</v>
      </c>
      <c r="E1220" s="5" t="str">
        <f t="shared" si="48"/>
        <v>102218388 / 0076518346</v>
      </c>
      <c r="F1220" s="88" t="s">
        <v>77</v>
      </c>
      <c r="G1220" s="5" t="s">
        <v>379</v>
      </c>
      <c r="H1220" s="72" t="s">
        <v>4253</v>
      </c>
      <c r="I1220" s="186" t="s">
        <v>5676</v>
      </c>
      <c r="J1220" s="5" t="s">
        <v>5673</v>
      </c>
      <c r="K1220" s="5" t="str">
        <f t="shared" si="46"/>
        <v>LKA</v>
      </c>
      <c r="AC1220" s="53"/>
    </row>
    <row r="1221" spans="1:29" ht="15" customHeight="1" x14ac:dyDescent="0.25">
      <c r="A1221" s="58" t="str">
        <f t="shared" si="49"/>
        <v>XIII KA 29</v>
      </c>
      <c r="B1221" s="171">
        <f>COUNTIF(H$2:H1221,H1221)</f>
        <v>9</v>
      </c>
      <c r="C1221" s="5">
        <v>102218389</v>
      </c>
      <c r="D1221" s="5" t="s">
        <v>321</v>
      </c>
      <c r="E1221" s="5" t="str">
        <f t="shared" si="48"/>
        <v>102218389 / 0061028704</v>
      </c>
      <c r="F1221" s="88" t="s">
        <v>322</v>
      </c>
      <c r="G1221" s="5" t="s">
        <v>381</v>
      </c>
      <c r="H1221" s="72" t="s">
        <v>4253</v>
      </c>
      <c r="I1221" s="186" t="s">
        <v>5676</v>
      </c>
      <c r="J1221" s="5" t="s">
        <v>5673</v>
      </c>
      <c r="K1221" s="5" t="str">
        <f t="shared" si="46"/>
        <v>PKA</v>
      </c>
      <c r="AC1221" s="53"/>
    </row>
    <row r="1222" spans="1:29" ht="15" customHeight="1" x14ac:dyDescent="0.25">
      <c r="A1222" s="58" t="str">
        <f t="shared" si="49"/>
        <v>XIII KA 210</v>
      </c>
      <c r="B1222" s="171">
        <f>COUNTIF(H$2:H1222,H1222)</f>
        <v>10</v>
      </c>
      <c r="C1222" s="5">
        <v>102218390</v>
      </c>
      <c r="D1222" s="5" t="s">
        <v>74</v>
      </c>
      <c r="E1222" s="5" t="str">
        <f t="shared" si="48"/>
        <v>102218390 / 0064760851</v>
      </c>
      <c r="F1222" s="88" t="s">
        <v>75</v>
      </c>
      <c r="G1222" s="5" t="s">
        <v>381</v>
      </c>
      <c r="H1222" s="72" t="s">
        <v>4253</v>
      </c>
      <c r="I1222" s="186" t="s">
        <v>5676</v>
      </c>
      <c r="J1222" s="5" t="s">
        <v>5673</v>
      </c>
      <c r="K1222" s="5" t="str">
        <f t="shared" si="46"/>
        <v>PKA</v>
      </c>
      <c r="AC1222" s="53"/>
    </row>
    <row r="1223" spans="1:29" ht="15" customHeight="1" x14ac:dyDescent="0.25">
      <c r="A1223" s="58" t="str">
        <f t="shared" si="49"/>
        <v>XIII KA 211</v>
      </c>
      <c r="B1223" s="171">
        <f>COUNTIF(H$2:H1223,H1223)</f>
        <v>11</v>
      </c>
      <c r="C1223" s="5">
        <v>102218391</v>
      </c>
      <c r="D1223" s="5" t="s">
        <v>50</v>
      </c>
      <c r="E1223" s="5" t="str">
        <f t="shared" si="48"/>
        <v>102218391 / 0064902533</v>
      </c>
      <c r="F1223" s="88" t="s">
        <v>51</v>
      </c>
      <c r="G1223" s="5" t="s">
        <v>381</v>
      </c>
      <c r="H1223" s="72" t="s">
        <v>4253</v>
      </c>
      <c r="I1223" s="186" t="s">
        <v>5676</v>
      </c>
      <c r="J1223" s="5" t="s">
        <v>5673</v>
      </c>
      <c r="K1223" s="5" t="str">
        <f t="shared" si="46"/>
        <v>PKA</v>
      </c>
      <c r="AC1223" s="53"/>
    </row>
    <row r="1224" spans="1:29" ht="15" customHeight="1" x14ac:dyDescent="0.25">
      <c r="A1224" s="58" t="str">
        <f t="shared" si="49"/>
        <v>XIII KA 212</v>
      </c>
      <c r="B1224" s="171">
        <f>COUNTIF(H$2:H1224,H1224)</f>
        <v>12</v>
      </c>
      <c r="C1224" s="5">
        <v>102218393</v>
      </c>
      <c r="D1224" s="5" t="s">
        <v>130</v>
      </c>
      <c r="E1224" s="5" t="str">
        <f t="shared" si="48"/>
        <v>102218393 / 0072109042</v>
      </c>
      <c r="F1224" s="88" t="s">
        <v>131</v>
      </c>
      <c r="G1224" s="5" t="s">
        <v>381</v>
      </c>
      <c r="H1224" s="72" t="s">
        <v>4253</v>
      </c>
      <c r="I1224" s="186" t="s">
        <v>5676</v>
      </c>
      <c r="J1224" s="5" t="s">
        <v>5673</v>
      </c>
      <c r="K1224" s="5" t="str">
        <f t="shared" si="46"/>
        <v>PKA</v>
      </c>
      <c r="AC1224" s="53"/>
    </row>
    <row r="1225" spans="1:29" ht="15" customHeight="1" x14ac:dyDescent="0.25">
      <c r="A1225" s="58" t="str">
        <f t="shared" si="49"/>
        <v>XIII KA 213</v>
      </c>
      <c r="B1225" s="171">
        <f>COUNTIF(H$2:H1225,H1225)</f>
        <v>13</v>
      </c>
      <c r="C1225" s="5">
        <v>102218394</v>
      </c>
      <c r="D1225" s="5" t="s">
        <v>385</v>
      </c>
      <c r="E1225" s="5" t="str">
        <f t="shared" si="48"/>
        <v>102218394 / 0068616252</v>
      </c>
      <c r="F1225" s="88" t="s">
        <v>386</v>
      </c>
      <c r="G1225" s="5" t="s">
        <v>379</v>
      </c>
      <c r="H1225" s="72" t="s">
        <v>4253</v>
      </c>
      <c r="I1225" s="186" t="s">
        <v>5676</v>
      </c>
      <c r="J1225" s="5" t="s">
        <v>5673</v>
      </c>
      <c r="K1225" s="5" t="str">
        <f t="shared" si="46"/>
        <v>LKA</v>
      </c>
      <c r="AC1225" s="53"/>
    </row>
    <row r="1226" spans="1:29" ht="15" customHeight="1" x14ac:dyDescent="0.25">
      <c r="A1226" s="58" t="str">
        <f t="shared" si="49"/>
        <v>XIII KA 214</v>
      </c>
      <c r="B1226" s="171">
        <f>COUNTIF(H$2:H1226,H1226)</f>
        <v>14</v>
      </c>
      <c r="C1226" s="5">
        <v>102218395</v>
      </c>
      <c r="D1226" s="5" t="s">
        <v>367</v>
      </c>
      <c r="E1226" s="5" t="str">
        <f t="shared" si="48"/>
        <v>102218395 / 0077517349</v>
      </c>
      <c r="F1226" s="88" t="s">
        <v>368</v>
      </c>
      <c r="G1226" s="5" t="s">
        <v>381</v>
      </c>
      <c r="H1226" s="72" t="s">
        <v>4253</v>
      </c>
      <c r="I1226" s="186" t="s">
        <v>5676</v>
      </c>
      <c r="J1226" s="5" t="s">
        <v>5673</v>
      </c>
      <c r="K1226" s="5" t="str">
        <f t="shared" si="46"/>
        <v>PKA</v>
      </c>
      <c r="AC1226" s="53"/>
    </row>
    <row r="1227" spans="1:29" ht="15" customHeight="1" x14ac:dyDescent="0.25">
      <c r="A1227" s="58" t="str">
        <f t="shared" si="49"/>
        <v>XIII KA 215</v>
      </c>
      <c r="B1227" s="171">
        <f>COUNTIF(H$2:H1227,H1227)</f>
        <v>15</v>
      </c>
      <c r="C1227" s="5">
        <v>102218396</v>
      </c>
      <c r="D1227" s="5" t="s">
        <v>323</v>
      </c>
      <c r="E1227" s="5" t="str">
        <f t="shared" si="48"/>
        <v>102218396 / 0064587375</v>
      </c>
      <c r="F1227" s="88" t="s">
        <v>324</v>
      </c>
      <c r="G1227" s="5" t="s">
        <v>381</v>
      </c>
      <c r="H1227" s="72" t="s">
        <v>4253</v>
      </c>
      <c r="I1227" s="186" t="s">
        <v>5676</v>
      </c>
      <c r="J1227" s="5" t="s">
        <v>5673</v>
      </c>
      <c r="K1227" s="5" t="str">
        <f t="shared" si="46"/>
        <v>PKA</v>
      </c>
      <c r="AC1227" s="53"/>
    </row>
    <row r="1228" spans="1:29" ht="15" customHeight="1" x14ac:dyDescent="0.25">
      <c r="A1228" s="58" t="str">
        <f t="shared" si="49"/>
        <v>XIII KA 216</v>
      </c>
      <c r="B1228" s="171">
        <f>COUNTIF(H$2:H1228,H1228)</f>
        <v>16</v>
      </c>
      <c r="C1228" s="5">
        <v>102218397</v>
      </c>
      <c r="D1228" s="5" t="s">
        <v>164</v>
      </c>
      <c r="E1228" s="5" t="str">
        <f t="shared" si="48"/>
        <v>102218397 / 0075679516</v>
      </c>
      <c r="F1228" s="88" t="s">
        <v>165</v>
      </c>
      <c r="G1228" s="5" t="s">
        <v>381</v>
      </c>
      <c r="H1228" s="72" t="s">
        <v>4253</v>
      </c>
      <c r="I1228" s="186" t="s">
        <v>5676</v>
      </c>
      <c r="J1228" s="5" t="s">
        <v>5673</v>
      </c>
      <c r="K1228" s="5" t="str">
        <f t="shared" si="46"/>
        <v>PKA</v>
      </c>
      <c r="AC1228" s="53"/>
    </row>
    <row r="1229" spans="1:29" ht="15" customHeight="1" x14ac:dyDescent="0.25">
      <c r="A1229" s="58" t="str">
        <f t="shared" si="49"/>
        <v>XIII KA 217</v>
      </c>
      <c r="B1229" s="171">
        <f>COUNTIF(H$2:H1229,H1229)</f>
        <v>17</v>
      </c>
      <c r="C1229" s="5">
        <v>102218399</v>
      </c>
      <c r="D1229" s="5" t="s">
        <v>303</v>
      </c>
      <c r="E1229" s="5" t="str">
        <f t="shared" si="48"/>
        <v>102218399 / 0069250935</v>
      </c>
      <c r="F1229" s="88" t="s">
        <v>304</v>
      </c>
      <c r="G1229" s="5" t="s">
        <v>379</v>
      </c>
      <c r="H1229" s="72" t="s">
        <v>4253</v>
      </c>
      <c r="I1229" s="186" t="s">
        <v>5676</v>
      </c>
      <c r="J1229" s="5" t="s">
        <v>5673</v>
      </c>
      <c r="K1229" s="5" t="str">
        <f t="shared" si="46"/>
        <v>LKA</v>
      </c>
      <c r="AC1229" s="53"/>
    </row>
    <row r="1230" spans="1:29" ht="15" customHeight="1" x14ac:dyDescent="0.25">
      <c r="A1230" s="58" t="str">
        <f t="shared" si="49"/>
        <v>XIII KA 218</v>
      </c>
      <c r="B1230" s="171">
        <f>COUNTIF(H$2:H1230,H1230)</f>
        <v>18</v>
      </c>
      <c r="C1230" s="5">
        <v>102218401</v>
      </c>
      <c r="D1230" s="5" t="s">
        <v>279</v>
      </c>
      <c r="E1230" s="5" t="str">
        <f t="shared" si="48"/>
        <v>102218401 / 0076431691</v>
      </c>
      <c r="F1230" s="88" t="s">
        <v>280</v>
      </c>
      <c r="G1230" s="5" t="s">
        <v>381</v>
      </c>
      <c r="H1230" s="72" t="s">
        <v>4253</v>
      </c>
      <c r="I1230" s="186" t="s">
        <v>5676</v>
      </c>
      <c r="J1230" s="5" t="s">
        <v>5673</v>
      </c>
      <c r="K1230" s="5" t="str">
        <f t="shared" si="46"/>
        <v>PKA</v>
      </c>
      <c r="AC1230" s="53"/>
    </row>
    <row r="1231" spans="1:29" ht="15" customHeight="1" x14ac:dyDescent="0.25">
      <c r="A1231" s="58" t="str">
        <f t="shared" si="49"/>
        <v>XIII KA 219</v>
      </c>
      <c r="B1231" s="171">
        <f>COUNTIF(H$2:H1231,H1231)</f>
        <v>19</v>
      </c>
      <c r="C1231" s="5">
        <v>102218402</v>
      </c>
      <c r="D1231" s="5" t="s">
        <v>72</v>
      </c>
      <c r="E1231" s="5" t="str">
        <f t="shared" si="48"/>
        <v>102218402 / 3063843651</v>
      </c>
      <c r="F1231" s="88" t="s">
        <v>73</v>
      </c>
      <c r="G1231" s="5" t="s">
        <v>381</v>
      </c>
      <c r="H1231" s="72" t="s">
        <v>4253</v>
      </c>
      <c r="I1231" s="186" t="s">
        <v>5676</v>
      </c>
      <c r="J1231" s="5" t="s">
        <v>5673</v>
      </c>
      <c r="K1231" s="5" t="str">
        <f t="shared" si="46"/>
        <v>PKA</v>
      </c>
      <c r="AC1231" s="53"/>
    </row>
    <row r="1232" spans="1:29" ht="15" customHeight="1" x14ac:dyDescent="0.25">
      <c r="A1232" s="58" t="str">
        <f t="shared" si="49"/>
        <v>XIII KA 220</v>
      </c>
      <c r="B1232" s="171">
        <f>COUNTIF(H$2:H1232,H1232)</f>
        <v>20</v>
      </c>
      <c r="C1232" s="5">
        <v>102218404</v>
      </c>
      <c r="D1232" s="5" t="s">
        <v>132</v>
      </c>
      <c r="E1232" s="5" t="str">
        <f t="shared" si="48"/>
        <v>102218404 / 0069534857</v>
      </c>
      <c r="F1232" s="88" t="s">
        <v>133</v>
      </c>
      <c r="G1232" s="5" t="s">
        <v>381</v>
      </c>
      <c r="H1232" s="72" t="s">
        <v>4253</v>
      </c>
      <c r="I1232" s="186" t="s">
        <v>5676</v>
      </c>
      <c r="J1232" s="5" t="s">
        <v>5673</v>
      </c>
      <c r="K1232" s="5" t="str">
        <f t="shared" si="46"/>
        <v>PKA</v>
      </c>
      <c r="AC1232" s="53"/>
    </row>
    <row r="1233" spans="1:29" ht="15" customHeight="1" x14ac:dyDescent="0.25">
      <c r="A1233" s="58" t="str">
        <f t="shared" si="49"/>
        <v>XIII KA 221</v>
      </c>
      <c r="B1233" s="171">
        <f>COUNTIF(H$2:H1233,H1233)</f>
        <v>21</v>
      </c>
      <c r="C1233" s="5">
        <v>102218405</v>
      </c>
      <c r="D1233" s="5" t="s">
        <v>305</v>
      </c>
      <c r="E1233" s="5" t="str">
        <f t="shared" si="48"/>
        <v>102218405 / 0071996126</v>
      </c>
      <c r="F1233" s="88" t="s">
        <v>306</v>
      </c>
      <c r="G1233" s="5" t="s">
        <v>381</v>
      </c>
      <c r="H1233" s="72" t="s">
        <v>4253</v>
      </c>
      <c r="I1233" s="186" t="s">
        <v>5676</v>
      </c>
      <c r="J1233" s="5" t="s">
        <v>5673</v>
      </c>
      <c r="K1233" s="5" t="str">
        <f t="shared" si="46"/>
        <v>PKA</v>
      </c>
      <c r="AC1233" s="53"/>
    </row>
    <row r="1234" spans="1:29" ht="15" customHeight="1" x14ac:dyDescent="0.25">
      <c r="A1234" s="58" t="str">
        <f t="shared" si="49"/>
        <v>XIII KA 222</v>
      </c>
      <c r="B1234" s="171">
        <f>COUNTIF(H$2:H1234,H1234)</f>
        <v>22</v>
      </c>
      <c r="C1234" s="5">
        <v>102218406</v>
      </c>
      <c r="D1234" s="5" t="s">
        <v>54</v>
      </c>
      <c r="E1234" s="5" t="str">
        <f t="shared" si="48"/>
        <v>102218406 / 0063353817</v>
      </c>
      <c r="F1234" s="88" t="s">
        <v>55</v>
      </c>
      <c r="G1234" s="5" t="s">
        <v>381</v>
      </c>
      <c r="H1234" s="72" t="s">
        <v>4253</v>
      </c>
      <c r="I1234" s="186" t="s">
        <v>5676</v>
      </c>
      <c r="J1234" s="5" t="s">
        <v>5673</v>
      </c>
      <c r="K1234" s="5" t="str">
        <f t="shared" si="46"/>
        <v>PKA</v>
      </c>
      <c r="AC1234" s="53"/>
    </row>
    <row r="1235" spans="1:29" ht="15" customHeight="1" x14ac:dyDescent="0.25">
      <c r="A1235" s="58" t="str">
        <f t="shared" si="49"/>
        <v>XIII KA 223</v>
      </c>
      <c r="B1235" s="171">
        <f>COUNTIF(H$2:H1235,H1235)</f>
        <v>23</v>
      </c>
      <c r="C1235" s="5">
        <v>102218407</v>
      </c>
      <c r="D1235" s="5" t="s">
        <v>58</v>
      </c>
      <c r="E1235" s="5" t="str">
        <f t="shared" si="48"/>
        <v>102218407 / 0074115915</v>
      </c>
      <c r="F1235" s="88" t="s">
        <v>59</v>
      </c>
      <c r="G1235" s="5" t="s">
        <v>379</v>
      </c>
      <c r="H1235" s="72" t="s">
        <v>4253</v>
      </c>
      <c r="I1235" s="186" t="s">
        <v>5676</v>
      </c>
      <c r="J1235" s="5" t="s">
        <v>5673</v>
      </c>
      <c r="K1235" s="5" t="str">
        <f t="shared" ref="K1235:K1294" si="50">G1235&amp;J1235</f>
        <v>LKA</v>
      </c>
      <c r="AC1235" s="53"/>
    </row>
    <row r="1236" spans="1:29" ht="15" customHeight="1" x14ac:dyDescent="0.25">
      <c r="A1236" s="58" t="str">
        <f t="shared" si="49"/>
        <v>XIII KA 224</v>
      </c>
      <c r="B1236" s="171">
        <f>COUNTIF(H$2:H1236,H1236)</f>
        <v>24</v>
      </c>
      <c r="C1236" s="5">
        <v>102218408</v>
      </c>
      <c r="D1236" s="5" t="s">
        <v>70</v>
      </c>
      <c r="E1236" s="5" t="str">
        <f t="shared" si="48"/>
        <v>102218408 / 0069723046</v>
      </c>
      <c r="F1236" s="88" t="s">
        <v>71</v>
      </c>
      <c r="G1236" s="5" t="s">
        <v>381</v>
      </c>
      <c r="H1236" s="72" t="s">
        <v>4253</v>
      </c>
      <c r="I1236" s="186" t="s">
        <v>5676</v>
      </c>
      <c r="J1236" s="5" t="s">
        <v>5673</v>
      </c>
      <c r="K1236" s="5" t="str">
        <f t="shared" si="50"/>
        <v>PKA</v>
      </c>
      <c r="AC1236" s="53"/>
    </row>
    <row r="1237" spans="1:29" ht="15" customHeight="1" x14ac:dyDescent="0.25">
      <c r="A1237" s="58" t="str">
        <f t="shared" si="49"/>
        <v>XIII KA 225</v>
      </c>
      <c r="B1237" s="171">
        <f>COUNTIF(H$2:H1237,H1237)</f>
        <v>25</v>
      </c>
      <c r="C1237" s="5">
        <v>102218409</v>
      </c>
      <c r="D1237" s="5" t="s">
        <v>52</v>
      </c>
      <c r="E1237" s="5" t="str">
        <f t="shared" si="48"/>
        <v>102218409 / 0071494999</v>
      </c>
      <c r="F1237" s="88" t="s">
        <v>53</v>
      </c>
      <c r="G1237" s="5" t="s">
        <v>381</v>
      </c>
      <c r="H1237" s="72" t="s">
        <v>4253</v>
      </c>
      <c r="I1237" s="186" t="s">
        <v>5676</v>
      </c>
      <c r="J1237" s="5" t="s">
        <v>5673</v>
      </c>
      <c r="K1237" s="5" t="str">
        <f t="shared" si="50"/>
        <v>PKA</v>
      </c>
      <c r="AC1237" s="53"/>
    </row>
    <row r="1238" spans="1:29" ht="15" customHeight="1" x14ac:dyDescent="0.25">
      <c r="A1238" s="58" t="str">
        <f t="shared" si="49"/>
        <v>XIII KA 226</v>
      </c>
      <c r="B1238" s="171">
        <f>COUNTIF(H$2:H1238,H1238)</f>
        <v>26</v>
      </c>
      <c r="C1238" s="5">
        <v>102218410</v>
      </c>
      <c r="D1238" s="5" t="s">
        <v>311</v>
      </c>
      <c r="E1238" s="5" t="str">
        <f t="shared" si="48"/>
        <v>102218410 / 0077374469</v>
      </c>
      <c r="F1238" s="88" t="s">
        <v>312</v>
      </c>
      <c r="G1238" s="5" t="s">
        <v>381</v>
      </c>
      <c r="H1238" s="72" t="s">
        <v>4253</v>
      </c>
      <c r="I1238" s="186" t="s">
        <v>5676</v>
      </c>
      <c r="J1238" s="5" t="s">
        <v>5673</v>
      </c>
      <c r="K1238" s="5" t="str">
        <f t="shared" si="50"/>
        <v>PKA</v>
      </c>
      <c r="AC1238" s="53"/>
    </row>
    <row r="1239" spans="1:29" ht="15" customHeight="1" x14ac:dyDescent="0.25">
      <c r="A1239" s="58" t="str">
        <f t="shared" si="49"/>
        <v>XIII KA 227</v>
      </c>
      <c r="B1239" s="171">
        <f>COUNTIF(H$2:H1239,H1239)</f>
        <v>27</v>
      </c>
      <c r="C1239" s="5">
        <v>102218411</v>
      </c>
      <c r="D1239" s="5" t="s">
        <v>331</v>
      </c>
      <c r="E1239" s="5" t="str">
        <f t="shared" si="48"/>
        <v>102218411 / 0065729578</v>
      </c>
      <c r="F1239" s="88" t="s">
        <v>332</v>
      </c>
      <c r="G1239" s="5" t="s">
        <v>381</v>
      </c>
      <c r="H1239" s="72" t="s">
        <v>4253</v>
      </c>
      <c r="I1239" s="186" t="s">
        <v>5676</v>
      </c>
      <c r="J1239" s="5" t="s">
        <v>5673</v>
      </c>
      <c r="K1239" s="5" t="str">
        <f t="shared" si="50"/>
        <v>PKA</v>
      </c>
      <c r="AC1239" s="53"/>
    </row>
    <row r="1240" spans="1:29" ht="15" customHeight="1" x14ac:dyDescent="0.25">
      <c r="A1240" s="58" t="str">
        <f t="shared" si="49"/>
        <v>XIII KA 228</v>
      </c>
      <c r="B1240" s="171">
        <f>COUNTIF(H$2:H1240,H1240)</f>
        <v>28</v>
      </c>
      <c r="C1240" s="5">
        <v>102218412</v>
      </c>
      <c r="D1240" s="5" t="s">
        <v>82</v>
      </c>
      <c r="E1240" s="5" t="str">
        <f t="shared" si="48"/>
        <v>102218412 / 3074726855</v>
      </c>
      <c r="F1240" s="88" t="s">
        <v>83</v>
      </c>
      <c r="G1240" s="5" t="s">
        <v>381</v>
      </c>
      <c r="H1240" s="72" t="s">
        <v>4253</v>
      </c>
      <c r="I1240" s="186" t="s">
        <v>5676</v>
      </c>
      <c r="J1240" s="5" t="s">
        <v>5673</v>
      </c>
      <c r="K1240" s="5" t="str">
        <f t="shared" si="50"/>
        <v>PKA</v>
      </c>
      <c r="AC1240" s="53"/>
    </row>
    <row r="1241" spans="1:29" ht="15" customHeight="1" x14ac:dyDescent="0.25">
      <c r="A1241" s="58" t="str">
        <f t="shared" si="49"/>
        <v>XIII KA 229</v>
      </c>
      <c r="B1241" s="171">
        <f>COUNTIF(H$2:H1241,H1241)</f>
        <v>29</v>
      </c>
      <c r="C1241" s="5">
        <v>102218413</v>
      </c>
      <c r="D1241" s="5" t="s">
        <v>335</v>
      </c>
      <c r="E1241" s="5" t="str">
        <f t="shared" si="48"/>
        <v>102218413 / 0066894523</v>
      </c>
      <c r="F1241" s="88" t="s">
        <v>336</v>
      </c>
      <c r="G1241" s="5" t="s">
        <v>381</v>
      </c>
      <c r="H1241" s="72" t="s">
        <v>4253</v>
      </c>
      <c r="I1241" s="186" t="s">
        <v>5676</v>
      </c>
      <c r="J1241" s="5" t="s">
        <v>5673</v>
      </c>
      <c r="K1241" s="5" t="str">
        <f t="shared" si="50"/>
        <v>PKA</v>
      </c>
      <c r="AC1241" s="53"/>
    </row>
    <row r="1242" spans="1:29" ht="15" customHeight="1" x14ac:dyDescent="0.25">
      <c r="A1242" s="58" t="str">
        <f t="shared" si="49"/>
        <v>XIII KA 230</v>
      </c>
      <c r="B1242" s="171">
        <f>COUNTIF(H$2:H1242,H1242)</f>
        <v>30</v>
      </c>
      <c r="C1242" s="5">
        <v>102218414</v>
      </c>
      <c r="D1242" s="5" t="s">
        <v>64</v>
      </c>
      <c r="E1242" s="5" t="str">
        <f t="shared" si="48"/>
        <v>102218414 / 0074878143</v>
      </c>
      <c r="F1242" s="88" t="s">
        <v>65</v>
      </c>
      <c r="G1242" s="5" t="s">
        <v>381</v>
      </c>
      <c r="H1242" s="72" t="s">
        <v>4253</v>
      </c>
      <c r="I1242" s="186" t="s">
        <v>5676</v>
      </c>
      <c r="J1242" s="5" t="s">
        <v>5673</v>
      </c>
      <c r="K1242" s="5" t="str">
        <f t="shared" si="50"/>
        <v>PKA</v>
      </c>
      <c r="AC1242" s="53"/>
    </row>
    <row r="1243" spans="1:29" ht="15" customHeight="1" x14ac:dyDescent="0.25">
      <c r="A1243" s="58" t="str">
        <f t="shared" si="49"/>
        <v>XIII KA 31</v>
      </c>
      <c r="B1243" s="171">
        <f>COUNTIF(H$2:H1243,H1243)</f>
        <v>1</v>
      </c>
      <c r="C1243" s="5">
        <v>102218415</v>
      </c>
      <c r="D1243" s="5" t="s">
        <v>373</v>
      </c>
      <c r="E1243" s="5" t="str">
        <f t="shared" si="48"/>
        <v>102218415 / 0065267141</v>
      </c>
      <c r="F1243" s="88" t="s">
        <v>374</v>
      </c>
      <c r="G1243" s="5" t="s">
        <v>379</v>
      </c>
      <c r="H1243" s="72" t="s">
        <v>4254</v>
      </c>
      <c r="I1243" s="186" t="s">
        <v>5676</v>
      </c>
      <c r="J1243" s="5" t="s">
        <v>5673</v>
      </c>
      <c r="K1243" s="5" t="str">
        <f t="shared" si="50"/>
        <v>LKA</v>
      </c>
      <c r="AC1243" s="53"/>
    </row>
    <row r="1244" spans="1:29" ht="15" customHeight="1" x14ac:dyDescent="0.25">
      <c r="A1244" s="58" t="str">
        <f t="shared" si="49"/>
        <v>XIII KA 32</v>
      </c>
      <c r="B1244" s="171">
        <f>COUNTIF(H$2:H1244,H1244)</f>
        <v>2</v>
      </c>
      <c r="C1244" s="5">
        <v>102218416</v>
      </c>
      <c r="D1244" s="5" t="s">
        <v>169</v>
      </c>
      <c r="E1244" s="5" t="str">
        <f t="shared" si="48"/>
        <v>102218416 / 0062788475</v>
      </c>
      <c r="F1244" s="88" t="s">
        <v>427</v>
      </c>
      <c r="G1244" s="5" t="s">
        <v>379</v>
      </c>
      <c r="H1244" s="72" t="s">
        <v>4254</v>
      </c>
      <c r="I1244" s="186" t="s">
        <v>5676</v>
      </c>
      <c r="J1244" s="5" t="s">
        <v>5673</v>
      </c>
      <c r="K1244" s="5" t="str">
        <f t="shared" si="50"/>
        <v>LKA</v>
      </c>
      <c r="AC1244" s="53"/>
    </row>
    <row r="1245" spans="1:29" ht="15" customHeight="1" x14ac:dyDescent="0.25">
      <c r="A1245" s="58" t="str">
        <f t="shared" si="49"/>
        <v>XIII KA 33</v>
      </c>
      <c r="B1245" s="171">
        <f>COUNTIF(H$2:H1245,H1245)</f>
        <v>3</v>
      </c>
      <c r="C1245" s="5">
        <v>102218419</v>
      </c>
      <c r="D1245" s="5" t="s">
        <v>357</v>
      </c>
      <c r="E1245" s="5" t="str">
        <f t="shared" si="48"/>
        <v>102218419 / 0075147590</v>
      </c>
      <c r="F1245" s="88" t="s">
        <v>358</v>
      </c>
      <c r="G1245" s="5" t="s">
        <v>379</v>
      </c>
      <c r="H1245" s="72" t="s">
        <v>4254</v>
      </c>
      <c r="I1245" s="186" t="s">
        <v>5676</v>
      </c>
      <c r="J1245" s="5" t="s">
        <v>5673</v>
      </c>
      <c r="K1245" s="5" t="str">
        <f t="shared" si="50"/>
        <v>LKA</v>
      </c>
      <c r="AC1245" s="53"/>
    </row>
    <row r="1246" spans="1:29" ht="15" customHeight="1" x14ac:dyDescent="0.25">
      <c r="A1246" s="58" t="str">
        <f t="shared" si="49"/>
        <v>XIII KA 34</v>
      </c>
      <c r="B1246" s="171">
        <f>COUNTIF(H$2:H1246,H1246)</f>
        <v>4</v>
      </c>
      <c r="C1246" s="5">
        <v>102218420</v>
      </c>
      <c r="D1246" s="5" t="s">
        <v>353</v>
      </c>
      <c r="E1246" s="5" t="str">
        <f t="shared" si="48"/>
        <v>102218420 / 0076683600</v>
      </c>
      <c r="F1246" s="88" t="s">
        <v>354</v>
      </c>
      <c r="G1246" s="5" t="s">
        <v>381</v>
      </c>
      <c r="H1246" s="72" t="s">
        <v>4254</v>
      </c>
      <c r="I1246" s="186" t="s">
        <v>5676</v>
      </c>
      <c r="J1246" s="5" t="s">
        <v>5673</v>
      </c>
      <c r="K1246" s="5" t="str">
        <f t="shared" si="50"/>
        <v>PKA</v>
      </c>
      <c r="AC1246" s="53"/>
    </row>
    <row r="1247" spans="1:29" ht="15" customHeight="1" x14ac:dyDescent="0.25">
      <c r="A1247" s="58" t="str">
        <f t="shared" si="49"/>
        <v>XIII KA 35</v>
      </c>
      <c r="B1247" s="171">
        <f>COUNTIF(H$2:H1247,H1247)</f>
        <v>5</v>
      </c>
      <c r="C1247" s="5">
        <v>102218421</v>
      </c>
      <c r="D1247" s="5" t="s">
        <v>359</v>
      </c>
      <c r="E1247" s="5" t="str">
        <f t="shared" si="48"/>
        <v>102218421 / 0071087065</v>
      </c>
      <c r="F1247" s="88" t="s">
        <v>360</v>
      </c>
      <c r="G1247" s="5" t="s">
        <v>379</v>
      </c>
      <c r="H1247" s="72" t="s">
        <v>4254</v>
      </c>
      <c r="I1247" s="186" t="s">
        <v>5676</v>
      </c>
      <c r="J1247" s="5" t="s">
        <v>5673</v>
      </c>
      <c r="K1247" s="5" t="str">
        <f t="shared" si="50"/>
        <v>LKA</v>
      </c>
      <c r="AC1247" s="53"/>
    </row>
    <row r="1248" spans="1:29" ht="15" customHeight="1" x14ac:dyDescent="0.25">
      <c r="A1248" s="58" t="str">
        <f t="shared" si="49"/>
        <v>XIII KA 36</v>
      </c>
      <c r="B1248" s="171">
        <f>COUNTIF(H$2:H1248,H1248)</f>
        <v>6</v>
      </c>
      <c r="C1248" s="5">
        <v>102218422</v>
      </c>
      <c r="D1248" s="5" t="s">
        <v>418</v>
      </c>
      <c r="E1248" s="5" t="str">
        <f t="shared" si="48"/>
        <v>102218422 / 3067142610</v>
      </c>
      <c r="F1248" s="88" t="s">
        <v>388</v>
      </c>
      <c r="G1248" s="5" t="s">
        <v>381</v>
      </c>
      <c r="H1248" s="72" t="s">
        <v>4254</v>
      </c>
      <c r="I1248" s="186" t="s">
        <v>5676</v>
      </c>
      <c r="J1248" s="5" t="s">
        <v>5673</v>
      </c>
      <c r="K1248" s="5" t="str">
        <f t="shared" si="50"/>
        <v>PKA</v>
      </c>
      <c r="AC1248" s="53"/>
    </row>
    <row r="1249" spans="1:29" ht="15" customHeight="1" x14ac:dyDescent="0.25">
      <c r="A1249" s="58" t="str">
        <f t="shared" si="49"/>
        <v>XIII KA 37</v>
      </c>
      <c r="B1249" s="171">
        <f>COUNTIF(H$2:H1249,H1249)</f>
        <v>7</v>
      </c>
      <c r="C1249" s="5">
        <v>102218423</v>
      </c>
      <c r="D1249" s="5" t="s">
        <v>349</v>
      </c>
      <c r="E1249" s="5" t="str">
        <f t="shared" si="48"/>
        <v>102218423 / 0064067144</v>
      </c>
      <c r="F1249" s="88" t="s">
        <v>350</v>
      </c>
      <c r="G1249" s="5" t="s">
        <v>381</v>
      </c>
      <c r="H1249" s="72" t="s">
        <v>4254</v>
      </c>
      <c r="I1249" s="186" t="s">
        <v>5676</v>
      </c>
      <c r="J1249" s="5" t="s">
        <v>5673</v>
      </c>
      <c r="K1249" s="5" t="str">
        <f t="shared" si="50"/>
        <v>PKA</v>
      </c>
      <c r="AC1249" s="53"/>
    </row>
    <row r="1250" spans="1:29" ht="15" customHeight="1" x14ac:dyDescent="0.25">
      <c r="A1250" s="58" t="str">
        <f t="shared" si="49"/>
        <v>XIII KA 38</v>
      </c>
      <c r="B1250" s="171">
        <f>COUNTIF(H$2:H1250,H1250)</f>
        <v>8</v>
      </c>
      <c r="C1250" s="5">
        <v>102218424</v>
      </c>
      <c r="D1250" s="5" t="s">
        <v>120</v>
      </c>
      <c r="E1250" s="5" t="str">
        <f t="shared" si="48"/>
        <v>102218424 / 0064451805</v>
      </c>
      <c r="F1250" s="88" t="s">
        <v>121</v>
      </c>
      <c r="G1250" s="5" t="s">
        <v>379</v>
      </c>
      <c r="H1250" s="72" t="s">
        <v>4254</v>
      </c>
      <c r="I1250" s="186" t="s">
        <v>5676</v>
      </c>
      <c r="J1250" s="5" t="s">
        <v>5673</v>
      </c>
      <c r="K1250" s="5" t="str">
        <f t="shared" si="50"/>
        <v>LKA</v>
      </c>
      <c r="AC1250" s="53"/>
    </row>
    <row r="1251" spans="1:29" ht="15" customHeight="1" x14ac:dyDescent="0.25">
      <c r="A1251" s="58" t="str">
        <f t="shared" si="49"/>
        <v>XIII KA 39</v>
      </c>
      <c r="B1251" s="171">
        <f>COUNTIF(H$2:H1251,H1251)</f>
        <v>9</v>
      </c>
      <c r="C1251" s="5">
        <v>102218425</v>
      </c>
      <c r="D1251" s="5" t="s">
        <v>175</v>
      </c>
      <c r="E1251" s="5" t="str">
        <f t="shared" ref="E1251:E1314" si="51">C1251&amp; " / "&amp; D1251</f>
        <v>102218425 / 0063055801</v>
      </c>
      <c r="F1251" s="88" t="s">
        <v>176</v>
      </c>
      <c r="G1251" s="5" t="s">
        <v>379</v>
      </c>
      <c r="H1251" s="72" t="s">
        <v>4254</v>
      </c>
      <c r="I1251" s="186" t="s">
        <v>5676</v>
      </c>
      <c r="J1251" s="5" t="s">
        <v>5673</v>
      </c>
      <c r="K1251" s="5" t="str">
        <f t="shared" si="50"/>
        <v>LKA</v>
      </c>
      <c r="AC1251" s="53"/>
    </row>
    <row r="1252" spans="1:29" ht="15" customHeight="1" x14ac:dyDescent="0.25">
      <c r="A1252" s="58" t="str">
        <f t="shared" si="49"/>
        <v>XIII KA 310</v>
      </c>
      <c r="B1252" s="171">
        <f>COUNTIF(H$2:H1252,H1252)</f>
        <v>10</v>
      </c>
      <c r="C1252" s="5">
        <v>102218426</v>
      </c>
      <c r="D1252" s="5" t="s">
        <v>361</v>
      </c>
      <c r="E1252" s="5" t="str">
        <f t="shared" si="51"/>
        <v>102218426 / 0068854482</v>
      </c>
      <c r="F1252" s="88" t="s">
        <v>362</v>
      </c>
      <c r="G1252" s="5" t="s">
        <v>379</v>
      </c>
      <c r="H1252" s="72" t="s">
        <v>4254</v>
      </c>
      <c r="I1252" s="186" t="s">
        <v>5676</v>
      </c>
      <c r="J1252" s="5" t="s">
        <v>5673</v>
      </c>
      <c r="K1252" s="5" t="str">
        <f t="shared" si="50"/>
        <v>LKA</v>
      </c>
      <c r="AC1252" s="53"/>
    </row>
    <row r="1253" spans="1:29" ht="15" customHeight="1" x14ac:dyDescent="0.25">
      <c r="A1253" s="58" t="str">
        <f t="shared" si="49"/>
        <v>XIII KA 311</v>
      </c>
      <c r="B1253" s="171">
        <f>COUNTIF(H$2:H1253,H1253)</f>
        <v>11</v>
      </c>
      <c r="C1253" s="5">
        <v>102218428</v>
      </c>
      <c r="D1253" s="5" t="s">
        <v>369</v>
      </c>
      <c r="E1253" s="5" t="str">
        <f t="shared" si="51"/>
        <v>102218428 / 0069831963</v>
      </c>
      <c r="F1253" s="88" t="s">
        <v>370</v>
      </c>
      <c r="G1253" s="5" t="s">
        <v>379</v>
      </c>
      <c r="H1253" s="72" t="s">
        <v>4254</v>
      </c>
      <c r="I1253" s="186" t="s">
        <v>5676</v>
      </c>
      <c r="J1253" s="5" t="s">
        <v>5673</v>
      </c>
      <c r="K1253" s="5" t="str">
        <f t="shared" si="50"/>
        <v>LKA</v>
      </c>
      <c r="AC1253" s="53"/>
    </row>
    <row r="1254" spans="1:29" ht="15" customHeight="1" x14ac:dyDescent="0.25">
      <c r="A1254" s="58" t="str">
        <f t="shared" si="49"/>
        <v>XIII KA 312</v>
      </c>
      <c r="B1254" s="171">
        <f>COUNTIF(H$2:H1254,H1254)</f>
        <v>12</v>
      </c>
      <c r="C1254" s="5">
        <v>102218430</v>
      </c>
      <c r="D1254" s="5" t="s">
        <v>150</v>
      </c>
      <c r="E1254" s="5" t="str">
        <f t="shared" si="51"/>
        <v>102218430 / 0065199809</v>
      </c>
      <c r="F1254" s="88" t="s">
        <v>151</v>
      </c>
      <c r="G1254" s="5" t="s">
        <v>381</v>
      </c>
      <c r="H1254" s="72" t="s">
        <v>4254</v>
      </c>
      <c r="I1254" s="186" t="s">
        <v>5676</v>
      </c>
      <c r="J1254" s="5" t="s">
        <v>5673</v>
      </c>
      <c r="K1254" s="5" t="str">
        <f t="shared" si="50"/>
        <v>PKA</v>
      </c>
      <c r="AC1254" s="53"/>
    </row>
    <row r="1255" spans="1:29" ht="15" customHeight="1" x14ac:dyDescent="0.25">
      <c r="A1255" s="58" t="str">
        <f t="shared" si="49"/>
        <v>XIII KA 313</v>
      </c>
      <c r="B1255" s="171">
        <f>COUNTIF(H$2:H1255,H1255)</f>
        <v>13</v>
      </c>
      <c r="C1255" s="5">
        <v>102218432</v>
      </c>
      <c r="D1255" s="5" t="s">
        <v>126</v>
      </c>
      <c r="E1255" s="5" t="str">
        <f t="shared" si="51"/>
        <v>102218432 / 0072206122</v>
      </c>
      <c r="F1255" s="88" t="s">
        <v>127</v>
      </c>
      <c r="G1255" s="5" t="s">
        <v>381</v>
      </c>
      <c r="H1255" s="72" t="s">
        <v>4254</v>
      </c>
      <c r="I1255" s="186" t="s">
        <v>5676</v>
      </c>
      <c r="J1255" s="5" t="s">
        <v>5673</v>
      </c>
      <c r="K1255" s="5" t="str">
        <f t="shared" si="50"/>
        <v>PKA</v>
      </c>
      <c r="AC1255" s="53"/>
    </row>
    <row r="1256" spans="1:29" ht="15" customHeight="1" x14ac:dyDescent="0.25">
      <c r="A1256" s="58" t="str">
        <f t="shared" si="49"/>
        <v>XIII KA 314</v>
      </c>
      <c r="B1256" s="171">
        <f>COUNTIF(H$2:H1256,H1256)</f>
        <v>14</v>
      </c>
      <c r="C1256" s="5">
        <v>102218433</v>
      </c>
      <c r="D1256" s="5" t="s">
        <v>363</v>
      </c>
      <c r="E1256" s="5" t="str">
        <f t="shared" si="51"/>
        <v>102218433 / 0074790817</v>
      </c>
      <c r="F1256" s="88" t="s">
        <v>364</v>
      </c>
      <c r="G1256" s="5" t="s">
        <v>381</v>
      </c>
      <c r="H1256" s="72" t="s">
        <v>4254</v>
      </c>
      <c r="I1256" s="186" t="s">
        <v>5676</v>
      </c>
      <c r="J1256" s="5" t="s">
        <v>5673</v>
      </c>
      <c r="K1256" s="5" t="str">
        <f t="shared" si="50"/>
        <v>PKA</v>
      </c>
      <c r="AC1256" s="53"/>
    </row>
    <row r="1257" spans="1:29" ht="15" customHeight="1" x14ac:dyDescent="0.25">
      <c r="A1257" s="58" t="str">
        <f t="shared" si="49"/>
        <v>XIII KA 315</v>
      </c>
      <c r="B1257" s="171">
        <f>COUNTIF(H$2:H1257,H1257)</f>
        <v>15</v>
      </c>
      <c r="C1257" s="5">
        <v>102218434</v>
      </c>
      <c r="D1257" s="5" t="s">
        <v>183</v>
      </c>
      <c r="E1257" s="5" t="str">
        <f t="shared" si="51"/>
        <v>102218434 / 0069415344</v>
      </c>
      <c r="F1257" s="88" t="s">
        <v>184</v>
      </c>
      <c r="G1257" s="5" t="s">
        <v>379</v>
      </c>
      <c r="H1257" s="72" t="s">
        <v>4254</v>
      </c>
      <c r="I1257" s="186" t="s">
        <v>5676</v>
      </c>
      <c r="J1257" s="5" t="s">
        <v>5673</v>
      </c>
      <c r="K1257" s="5" t="str">
        <f t="shared" si="50"/>
        <v>LKA</v>
      </c>
      <c r="AC1257" s="53"/>
    </row>
    <row r="1258" spans="1:29" ht="15" customHeight="1" x14ac:dyDescent="0.25">
      <c r="A1258" s="58" t="str">
        <f t="shared" ref="A1258:A1321" si="52">H1258&amp;B1258</f>
        <v>XIII KA 316</v>
      </c>
      <c r="B1258" s="171">
        <f>COUNTIF(H$2:H1258,H1258)</f>
        <v>16</v>
      </c>
      <c r="C1258" s="5">
        <v>102218436</v>
      </c>
      <c r="D1258" s="5" t="s">
        <v>177</v>
      </c>
      <c r="E1258" s="5" t="str">
        <f t="shared" si="51"/>
        <v>102218436 / 0076990322</v>
      </c>
      <c r="F1258" s="88" t="s">
        <v>178</v>
      </c>
      <c r="G1258" s="5" t="s">
        <v>379</v>
      </c>
      <c r="H1258" s="72" t="s">
        <v>4254</v>
      </c>
      <c r="I1258" s="186" t="s">
        <v>5676</v>
      </c>
      <c r="J1258" s="5" t="s">
        <v>5673</v>
      </c>
      <c r="K1258" s="5" t="str">
        <f t="shared" si="50"/>
        <v>LKA</v>
      </c>
      <c r="AC1258" s="53"/>
    </row>
    <row r="1259" spans="1:29" ht="15" customHeight="1" x14ac:dyDescent="0.25">
      <c r="A1259" s="58" t="str">
        <f t="shared" si="52"/>
        <v>XIII KA 317</v>
      </c>
      <c r="B1259" s="171">
        <f>COUNTIF(H$2:H1259,H1259)</f>
        <v>17</v>
      </c>
      <c r="C1259" s="5">
        <v>102218437</v>
      </c>
      <c r="D1259" s="5" t="s">
        <v>166</v>
      </c>
      <c r="E1259" s="5" t="str">
        <f t="shared" si="51"/>
        <v>102218437 / 0075708769</v>
      </c>
      <c r="F1259" s="88" t="s">
        <v>167</v>
      </c>
      <c r="G1259" s="5" t="s">
        <v>379</v>
      </c>
      <c r="H1259" s="72" t="s">
        <v>4254</v>
      </c>
      <c r="I1259" s="186" t="s">
        <v>5676</v>
      </c>
      <c r="J1259" s="5" t="s">
        <v>5673</v>
      </c>
      <c r="K1259" s="5" t="str">
        <f t="shared" si="50"/>
        <v>LKA</v>
      </c>
      <c r="AC1259" s="53"/>
    </row>
    <row r="1260" spans="1:29" ht="15" customHeight="1" x14ac:dyDescent="0.25">
      <c r="A1260" s="58" t="str">
        <f t="shared" si="52"/>
        <v>XIII KA 318</v>
      </c>
      <c r="B1260" s="171">
        <f>COUNTIF(H$2:H1260,H1260)</f>
        <v>18</v>
      </c>
      <c r="C1260" s="5">
        <v>102218438</v>
      </c>
      <c r="D1260" s="5" t="s">
        <v>343</v>
      </c>
      <c r="E1260" s="5" t="str">
        <f t="shared" si="51"/>
        <v>102218438 / 0069021206</v>
      </c>
      <c r="F1260" s="88" t="s">
        <v>344</v>
      </c>
      <c r="G1260" s="5" t="s">
        <v>379</v>
      </c>
      <c r="H1260" s="72" t="s">
        <v>4254</v>
      </c>
      <c r="I1260" s="186" t="s">
        <v>5676</v>
      </c>
      <c r="J1260" s="5" t="s">
        <v>5673</v>
      </c>
      <c r="K1260" s="5" t="str">
        <f t="shared" si="50"/>
        <v>LKA</v>
      </c>
      <c r="AC1260" s="53"/>
    </row>
    <row r="1261" spans="1:29" ht="15" customHeight="1" x14ac:dyDescent="0.25">
      <c r="A1261" s="58" t="str">
        <f t="shared" si="52"/>
        <v>XIII KA 319</v>
      </c>
      <c r="B1261" s="171">
        <f>COUNTIF(H$2:H1261,H1261)</f>
        <v>19</v>
      </c>
      <c r="C1261" s="5">
        <v>102218439</v>
      </c>
      <c r="D1261" s="5" t="s">
        <v>136</v>
      </c>
      <c r="E1261" s="5" t="str">
        <f t="shared" si="51"/>
        <v>102218439 / 0061450282</v>
      </c>
      <c r="F1261" s="88" t="s">
        <v>137</v>
      </c>
      <c r="G1261" s="5" t="s">
        <v>381</v>
      </c>
      <c r="H1261" s="72" t="s">
        <v>4254</v>
      </c>
      <c r="I1261" s="186" t="s">
        <v>5676</v>
      </c>
      <c r="J1261" s="5" t="s">
        <v>5673</v>
      </c>
      <c r="K1261" s="5" t="str">
        <f t="shared" si="50"/>
        <v>PKA</v>
      </c>
      <c r="AC1261" s="53"/>
    </row>
    <row r="1262" spans="1:29" ht="15" customHeight="1" x14ac:dyDescent="0.25">
      <c r="A1262" s="58" t="str">
        <f t="shared" si="52"/>
        <v>XIII KA 320</v>
      </c>
      <c r="B1262" s="171">
        <f>COUNTIF(H$2:H1262,H1262)</f>
        <v>20</v>
      </c>
      <c r="C1262" s="5">
        <v>102218440</v>
      </c>
      <c r="D1262" s="5" t="s">
        <v>375</v>
      </c>
      <c r="E1262" s="5" t="str">
        <f t="shared" si="51"/>
        <v>102218440 / 0065031351</v>
      </c>
      <c r="F1262" s="88" t="s">
        <v>376</v>
      </c>
      <c r="G1262" s="5" t="s">
        <v>381</v>
      </c>
      <c r="H1262" s="72" t="s">
        <v>4254</v>
      </c>
      <c r="I1262" s="186" t="s">
        <v>5676</v>
      </c>
      <c r="J1262" s="5" t="s">
        <v>5673</v>
      </c>
      <c r="K1262" s="5" t="str">
        <f t="shared" si="50"/>
        <v>PKA</v>
      </c>
      <c r="AC1262" s="53"/>
    </row>
    <row r="1263" spans="1:29" ht="15" customHeight="1" x14ac:dyDescent="0.25">
      <c r="A1263" s="58" t="str">
        <f t="shared" si="52"/>
        <v>XIII KA 321</v>
      </c>
      <c r="B1263" s="171">
        <f>COUNTIF(H$2:H1263,H1263)</f>
        <v>21</v>
      </c>
      <c r="C1263" s="5">
        <v>102218441</v>
      </c>
      <c r="D1263" s="5" t="s">
        <v>160</v>
      </c>
      <c r="E1263" s="5" t="str">
        <f t="shared" si="51"/>
        <v>102218441 / 0072330872</v>
      </c>
      <c r="F1263" s="88" t="s">
        <v>161</v>
      </c>
      <c r="G1263" s="5" t="s">
        <v>379</v>
      </c>
      <c r="H1263" s="72" t="s">
        <v>4254</v>
      </c>
      <c r="I1263" s="186" t="s">
        <v>5676</v>
      </c>
      <c r="J1263" s="5" t="s">
        <v>5673</v>
      </c>
      <c r="K1263" s="5" t="str">
        <f t="shared" si="50"/>
        <v>LKA</v>
      </c>
      <c r="AC1263" s="53"/>
    </row>
    <row r="1264" spans="1:29" ht="15" customHeight="1" x14ac:dyDescent="0.25">
      <c r="A1264" s="58" t="str">
        <f t="shared" si="52"/>
        <v>XIII KA 322</v>
      </c>
      <c r="B1264" s="171">
        <f>COUNTIF(H$2:H1264,H1264)</f>
        <v>22</v>
      </c>
      <c r="C1264" s="5">
        <v>102218442</v>
      </c>
      <c r="D1264" s="5" t="s">
        <v>365</v>
      </c>
      <c r="E1264" s="5" t="str">
        <f t="shared" si="51"/>
        <v>102218442 / 0075642187</v>
      </c>
      <c r="F1264" s="88" t="s">
        <v>366</v>
      </c>
      <c r="G1264" s="5" t="s">
        <v>381</v>
      </c>
      <c r="H1264" s="72" t="s">
        <v>4254</v>
      </c>
      <c r="I1264" s="186" t="s">
        <v>5676</v>
      </c>
      <c r="J1264" s="5" t="s">
        <v>5673</v>
      </c>
      <c r="K1264" s="5" t="str">
        <f t="shared" si="50"/>
        <v>PKA</v>
      </c>
      <c r="AC1264" s="53"/>
    </row>
    <row r="1265" spans="1:29" ht="15" customHeight="1" x14ac:dyDescent="0.25">
      <c r="A1265" s="58" t="str">
        <f t="shared" si="52"/>
        <v>XIII KA 323</v>
      </c>
      <c r="B1265" s="171">
        <f>COUNTIF(H$2:H1265,H1265)</f>
        <v>23</v>
      </c>
      <c r="C1265" s="5">
        <v>102218443</v>
      </c>
      <c r="D1265" s="5" t="s">
        <v>122</v>
      </c>
      <c r="E1265" s="5" t="str">
        <f t="shared" si="51"/>
        <v>102218443 / 0073265891</v>
      </c>
      <c r="F1265" s="88" t="s">
        <v>123</v>
      </c>
      <c r="G1265" s="5" t="s">
        <v>381</v>
      </c>
      <c r="H1265" s="72" t="s">
        <v>4254</v>
      </c>
      <c r="I1265" s="186" t="s">
        <v>5676</v>
      </c>
      <c r="J1265" s="5" t="s">
        <v>5673</v>
      </c>
      <c r="K1265" s="5" t="str">
        <f t="shared" si="50"/>
        <v>PKA</v>
      </c>
      <c r="AC1265" s="53"/>
    </row>
    <row r="1266" spans="1:29" ht="15" customHeight="1" x14ac:dyDescent="0.25">
      <c r="A1266" s="58" t="str">
        <f t="shared" si="52"/>
        <v>XIII KA 324</v>
      </c>
      <c r="B1266" s="171">
        <f>COUNTIF(H$2:H1266,H1266)</f>
        <v>24</v>
      </c>
      <c r="C1266" s="5">
        <v>102218444</v>
      </c>
      <c r="D1266" s="5" t="s">
        <v>112</v>
      </c>
      <c r="E1266" s="5" t="str">
        <f t="shared" si="51"/>
        <v>102218444 / 0068803177</v>
      </c>
      <c r="F1266" s="88" t="s">
        <v>113</v>
      </c>
      <c r="G1266" s="5" t="s">
        <v>379</v>
      </c>
      <c r="H1266" s="72" t="s">
        <v>4254</v>
      </c>
      <c r="I1266" s="186" t="s">
        <v>5676</v>
      </c>
      <c r="J1266" s="5" t="s">
        <v>5673</v>
      </c>
      <c r="K1266" s="5" t="str">
        <f t="shared" si="50"/>
        <v>LKA</v>
      </c>
      <c r="AC1266" s="53"/>
    </row>
    <row r="1267" spans="1:29" ht="15" customHeight="1" x14ac:dyDescent="0.25">
      <c r="A1267" s="58" t="str">
        <f t="shared" si="52"/>
        <v>XIII KA 325</v>
      </c>
      <c r="B1267" s="171">
        <f>COUNTIF(H$2:H1267,H1267)</f>
        <v>25</v>
      </c>
      <c r="C1267" s="5">
        <v>102218445</v>
      </c>
      <c r="D1267" s="5" t="s">
        <v>154</v>
      </c>
      <c r="E1267" s="5" t="str">
        <f t="shared" si="51"/>
        <v>102218445 / 0074385845</v>
      </c>
      <c r="F1267" s="88" t="s">
        <v>155</v>
      </c>
      <c r="G1267" s="5" t="s">
        <v>379</v>
      </c>
      <c r="H1267" s="72" t="s">
        <v>4254</v>
      </c>
      <c r="I1267" s="186" t="s">
        <v>5676</v>
      </c>
      <c r="J1267" s="5" t="s">
        <v>5673</v>
      </c>
      <c r="K1267" s="5" t="str">
        <f t="shared" si="50"/>
        <v>LKA</v>
      </c>
      <c r="AC1267" s="53"/>
    </row>
    <row r="1268" spans="1:29" ht="15" customHeight="1" x14ac:dyDescent="0.25">
      <c r="A1268" s="58" t="str">
        <f t="shared" si="52"/>
        <v>XIII KA 326</v>
      </c>
      <c r="B1268" s="171">
        <f>COUNTIF(H$2:H1268,H1268)</f>
        <v>26</v>
      </c>
      <c r="C1268" s="5">
        <v>102218446</v>
      </c>
      <c r="D1268" s="5" t="s">
        <v>389</v>
      </c>
      <c r="E1268" s="5" t="str">
        <f t="shared" si="51"/>
        <v>102218446 / 0073973304</v>
      </c>
      <c r="F1268" s="88" t="s">
        <v>390</v>
      </c>
      <c r="G1268" s="5" t="s">
        <v>381</v>
      </c>
      <c r="H1268" s="72" t="s">
        <v>4254</v>
      </c>
      <c r="I1268" s="186" t="s">
        <v>5676</v>
      </c>
      <c r="J1268" s="5" t="s">
        <v>5673</v>
      </c>
      <c r="K1268" s="5" t="str">
        <f t="shared" si="50"/>
        <v>PKA</v>
      </c>
      <c r="AC1268" s="53"/>
    </row>
    <row r="1269" spans="1:29" ht="15" customHeight="1" x14ac:dyDescent="0.25">
      <c r="A1269" s="58" t="str">
        <f t="shared" si="52"/>
        <v>XIII KA 327</v>
      </c>
      <c r="B1269" s="171">
        <f>COUNTIF(H$2:H1269,H1269)</f>
        <v>27</v>
      </c>
      <c r="C1269" s="5">
        <v>102218447</v>
      </c>
      <c r="D1269" s="5" t="s">
        <v>355</v>
      </c>
      <c r="E1269" s="5" t="str">
        <f t="shared" si="51"/>
        <v>102218447 / 0074524470</v>
      </c>
      <c r="F1269" s="88" t="s">
        <v>356</v>
      </c>
      <c r="G1269" s="5" t="s">
        <v>381</v>
      </c>
      <c r="H1269" s="72" t="s">
        <v>4254</v>
      </c>
      <c r="I1269" s="186" t="s">
        <v>5676</v>
      </c>
      <c r="J1269" s="5" t="s">
        <v>5673</v>
      </c>
      <c r="K1269" s="5" t="str">
        <f t="shared" si="50"/>
        <v>PKA</v>
      </c>
      <c r="AC1269" s="53"/>
    </row>
    <row r="1270" spans="1:29" ht="15" customHeight="1" x14ac:dyDescent="0.25">
      <c r="A1270" s="58" t="str">
        <f t="shared" si="52"/>
        <v>XIII KA 328</v>
      </c>
      <c r="B1270" s="171">
        <f>COUNTIF(H$2:H1270,H1270)</f>
        <v>28</v>
      </c>
      <c r="C1270" s="5">
        <v>102218448</v>
      </c>
      <c r="D1270" s="5" t="s">
        <v>96</v>
      </c>
      <c r="E1270" s="5" t="str">
        <f t="shared" si="51"/>
        <v>102218448 / 0062095372</v>
      </c>
      <c r="F1270" s="88" t="s">
        <v>97</v>
      </c>
      <c r="G1270" s="5" t="s">
        <v>379</v>
      </c>
      <c r="H1270" s="72" t="s">
        <v>4254</v>
      </c>
      <c r="I1270" s="186" t="s">
        <v>5676</v>
      </c>
      <c r="J1270" s="5" t="s">
        <v>5673</v>
      </c>
      <c r="K1270" s="5" t="str">
        <f t="shared" si="50"/>
        <v>LKA</v>
      </c>
      <c r="AC1270" s="53"/>
    </row>
    <row r="1271" spans="1:29" ht="15" customHeight="1" x14ac:dyDescent="0.25">
      <c r="A1271" s="58" t="str">
        <f t="shared" si="52"/>
        <v>XIII KA 329</v>
      </c>
      <c r="B1271" s="171">
        <f>COUNTIF(H$2:H1271,H1271)</f>
        <v>29</v>
      </c>
      <c r="C1271" s="5">
        <v>102218449</v>
      </c>
      <c r="D1271" s="5" t="s">
        <v>345</v>
      </c>
      <c r="E1271" s="5" t="str">
        <f t="shared" si="51"/>
        <v>102218449 / 0072571548</v>
      </c>
      <c r="F1271" s="88" t="s">
        <v>346</v>
      </c>
      <c r="G1271" s="5" t="s">
        <v>381</v>
      </c>
      <c r="H1271" s="72" t="s">
        <v>4254</v>
      </c>
      <c r="I1271" s="186" t="s">
        <v>5676</v>
      </c>
      <c r="J1271" s="5" t="s">
        <v>5673</v>
      </c>
      <c r="K1271" s="5" t="str">
        <f t="shared" si="50"/>
        <v>PKA</v>
      </c>
      <c r="AC1271" s="53"/>
    </row>
    <row r="1272" spans="1:29" ht="15" customHeight="1" x14ac:dyDescent="0.25">
      <c r="A1272" s="58" t="str">
        <f t="shared" si="52"/>
        <v>XIII KA 41</v>
      </c>
      <c r="B1272" s="171">
        <f>COUNTIF(H$2:H1272,H1272)</f>
        <v>1</v>
      </c>
      <c r="C1272" s="5">
        <v>102218451</v>
      </c>
      <c r="D1272" s="5" t="s">
        <v>162</v>
      </c>
      <c r="E1272" s="5" t="str">
        <f t="shared" si="51"/>
        <v>102218451 / 0073307088</v>
      </c>
      <c r="F1272" s="88" t="s">
        <v>163</v>
      </c>
      <c r="G1272" s="5" t="s">
        <v>379</v>
      </c>
      <c r="H1272" s="72" t="s">
        <v>4255</v>
      </c>
      <c r="I1272" s="186" t="s">
        <v>5676</v>
      </c>
      <c r="J1272" s="5" t="s">
        <v>5673</v>
      </c>
      <c r="K1272" s="5" t="str">
        <f t="shared" si="50"/>
        <v>LKA</v>
      </c>
      <c r="AC1272" s="53"/>
    </row>
    <row r="1273" spans="1:29" ht="15" customHeight="1" x14ac:dyDescent="0.25">
      <c r="A1273" s="58" t="str">
        <f t="shared" si="52"/>
        <v>XIII KA 42</v>
      </c>
      <c r="B1273" s="171">
        <f>COUNTIF(H$2:H1273,H1273)</f>
        <v>2</v>
      </c>
      <c r="C1273" s="5">
        <v>102218452</v>
      </c>
      <c r="D1273" s="5" t="s">
        <v>108</v>
      </c>
      <c r="E1273" s="5" t="str">
        <f t="shared" si="51"/>
        <v>102218452 / 0078034264</v>
      </c>
      <c r="F1273" s="88" t="s">
        <v>109</v>
      </c>
      <c r="G1273" s="5" t="s">
        <v>379</v>
      </c>
      <c r="H1273" s="72" t="s">
        <v>4255</v>
      </c>
      <c r="I1273" s="186" t="s">
        <v>5676</v>
      </c>
      <c r="J1273" s="5" t="s">
        <v>5673</v>
      </c>
      <c r="K1273" s="5" t="str">
        <f t="shared" si="50"/>
        <v>LKA</v>
      </c>
      <c r="AC1273" s="53"/>
    </row>
    <row r="1274" spans="1:29" ht="15" customHeight="1" x14ac:dyDescent="0.25">
      <c r="A1274" s="58" t="str">
        <f t="shared" si="52"/>
        <v>XIII KA 43</v>
      </c>
      <c r="B1274" s="171">
        <f>COUNTIF(H$2:H1274,H1274)</f>
        <v>3</v>
      </c>
      <c r="C1274" s="5">
        <v>102218453</v>
      </c>
      <c r="D1274" s="5" t="s">
        <v>66</v>
      </c>
      <c r="E1274" s="5" t="str">
        <f t="shared" si="51"/>
        <v>102218453 / 0063163049</v>
      </c>
      <c r="F1274" s="88" t="s">
        <v>67</v>
      </c>
      <c r="G1274" s="5" t="s">
        <v>379</v>
      </c>
      <c r="H1274" s="72" t="s">
        <v>4255</v>
      </c>
      <c r="I1274" s="186" t="s">
        <v>5676</v>
      </c>
      <c r="J1274" s="5" t="s">
        <v>5673</v>
      </c>
      <c r="K1274" s="5" t="str">
        <f t="shared" si="50"/>
        <v>LKA</v>
      </c>
      <c r="AC1274" s="53"/>
    </row>
    <row r="1275" spans="1:29" ht="15" customHeight="1" x14ac:dyDescent="0.25">
      <c r="A1275" s="58" t="str">
        <f t="shared" si="52"/>
        <v>XIII KA 44</v>
      </c>
      <c r="B1275" s="171">
        <f>COUNTIF(H$2:H1275,H1275)</f>
        <v>4</v>
      </c>
      <c r="C1275" s="5">
        <v>102218454</v>
      </c>
      <c r="D1275" s="5" t="s">
        <v>138</v>
      </c>
      <c r="E1275" s="5" t="str">
        <f t="shared" si="51"/>
        <v>102218454 / 0078451872</v>
      </c>
      <c r="F1275" s="88" t="s">
        <v>139</v>
      </c>
      <c r="G1275" s="5" t="s">
        <v>381</v>
      </c>
      <c r="H1275" s="72" t="s">
        <v>4255</v>
      </c>
      <c r="I1275" s="186" t="s">
        <v>5676</v>
      </c>
      <c r="J1275" s="5" t="s">
        <v>5673</v>
      </c>
      <c r="K1275" s="5" t="str">
        <f t="shared" si="50"/>
        <v>PKA</v>
      </c>
      <c r="AC1275" s="53"/>
    </row>
    <row r="1276" spans="1:29" ht="15" customHeight="1" x14ac:dyDescent="0.25">
      <c r="A1276" s="58" t="str">
        <f t="shared" si="52"/>
        <v>XIII KA 45</v>
      </c>
      <c r="B1276" s="171">
        <f>COUNTIF(H$2:H1276,H1276)</f>
        <v>5</v>
      </c>
      <c r="C1276" s="5">
        <v>102218455</v>
      </c>
      <c r="D1276" s="5" t="s">
        <v>102</v>
      </c>
      <c r="E1276" s="5" t="str">
        <f t="shared" si="51"/>
        <v>102218455 / 0063956915</v>
      </c>
      <c r="F1276" s="88" t="s">
        <v>103</v>
      </c>
      <c r="G1276" s="5" t="s">
        <v>381</v>
      </c>
      <c r="H1276" s="72" t="s">
        <v>4255</v>
      </c>
      <c r="I1276" s="186" t="s">
        <v>5676</v>
      </c>
      <c r="J1276" s="5" t="s">
        <v>5673</v>
      </c>
      <c r="K1276" s="5" t="str">
        <f t="shared" si="50"/>
        <v>PKA</v>
      </c>
      <c r="AC1276" s="53"/>
    </row>
    <row r="1277" spans="1:29" ht="15" customHeight="1" x14ac:dyDescent="0.25">
      <c r="A1277" s="58" t="str">
        <f t="shared" si="52"/>
        <v>XIII KA 46</v>
      </c>
      <c r="B1277" s="171">
        <f>COUNTIF(H$2:H1277,H1277)</f>
        <v>6</v>
      </c>
      <c r="C1277" s="5">
        <v>102218456</v>
      </c>
      <c r="D1277" s="5" t="s">
        <v>94</v>
      </c>
      <c r="E1277" s="5" t="str">
        <f t="shared" si="51"/>
        <v>102218456 / 0078550136</v>
      </c>
      <c r="F1277" s="88" t="s">
        <v>95</v>
      </c>
      <c r="G1277" s="5" t="s">
        <v>379</v>
      </c>
      <c r="H1277" s="72" t="s">
        <v>4255</v>
      </c>
      <c r="I1277" s="186" t="s">
        <v>5676</v>
      </c>
      <c r="J1277" s="5" t="s">
        <v>5673</v>
      </c>
      <c r="K1277" s="5" t="str">
        <f t="shared" si="50"/>
        <v>LKA</v>
      </c>
      <c r="AC1277" s="53"/>
    </row>
    <row r="1278" spans="1:29" ht="15" customHeight="1" x14ac:dyDescent="0.25">
      <c r="A1278" s="58" t="str">
        <f t="shared" si="52"/>
        <v>XIII KA 47</v>
      </c>
      <c r="B1278" s="171">
        <f>COUNTIF(H$2:H1278,H1278)</f>
        <v>7</v>
      </c>
      <c r="C1278" s="5">
        <v>102218457</v>
      </c>
      <c r="D1278" s="5" t="s">
        <v>144</v>
      </c>
      <c r="E1278" s="5" t="str">
        <f t="shared" si="51"/>
        <v>102218457 / 0074134072</v>
      </c>
      <c r="F1278" s="88" t="s">
        <v>145</v>
      </c>
      <c r="G1278" s="5" t="s">
        <v>381</v>
      </c>
      <c r="H1278" s="72" t="s">
        <v>4255</v>
      </c>
      <c r="I1278" s="186" t="s">
        <v>5676</v>
      </c>
      <c r="J1278" s="5" t="s">
        <v>5673</v>
      </c>
      <c r="K1278" s="5" t="str">
        <f t="shared" si="50"/>
        <v>PKA</v>
      </c>
      <c r="AC1278" s="53"/>
    </row>
    <row r="1279" spans="1:29" ht="15" customHeight="1" x14ac:dyDescent="0.25">
      <c r="A1279" s="58" t="str">
        <f t="shared" si="52"/>
        <v>XIII KA 48</v>
      </c>
      <c r="B1279" s="171">
        <f>COUNTIF(H$2:H1279,H1279)</f>
        <v>8</v>
      </c>
      <c r="C1279" s="5">
        <v>102218458</v>
      </c>
      <c r="D1279" s="5" t="s">
        <v>118</v>
      </c>
      <c r="E1279" s="5" t="str">
        <f t="shared" si="51"/>
        <v>102218458 / 0072679427</v>
      </c>
      <c r="F1279" s="88" t="s">
        <v>119</v>
      </c>
      <c r="G1279" s="5" t="s">
        <v>381</v>
      </c>
      <c r="H1279" s="72" t="s">
        <v>4255</v>
      </c>
      <c r="I1279" s="186" t="s">
        <v>5676</v>
      </c>
      <c r="J1279" s="5" t="s">
        <v>5673</v>
      </c>
      <c r="K1279" s="5" t="str">
        <f t="shared" si="50"/>
        <v>PKA</v>
      </c>
      <c r="AC1279" s="53"/>
    </row>
    <row r="1280" spans="1:29" ht="15" customHeight="1" x14ac:dyDescent="0.25">
      <c r="A1280" s="58" t="str">
        <f t="shared" si="52"/>
        <v>XIII KA 49</v>
      </c>
      <c r="B1280" s="171">
        <f>COUNTIF(H$2:H1280,H1280)</f>
        <v>9</v>
      </c>
      <c r="C1280" s="5">
        <v>102218459</v>
      </c>
      <c r="D1280" s="5" t="s">
        <v>148</v>
      </c>
      <c r="E1280" s="5" t="str">
        <f t="shared" si="51"/>
        <v>102218459 / 0077623926</v>
      </c>
      <c r="F1280" s="88" t="s">
        <v>149</v>
      </c>
      <c r="G1280" s="5" t="s">
        <v>379</v>
      </c>
      <c r="H1280" s="72" t="s">
        <v>4255</v>
      </c>
      <c r="I1280" s="186" t="s">
        <v>5676</v>
      </c>
      <c r="J1280" s="5" t="s">
        <v>5673</v>
      </c>
      <c r="K1280" s="5" t="str">
        <f t="shared" si="50"/>
        <v>LKA</v>
      </c>
      <c r="AC1280" s="53"/>
    </row>
    <row r="1281" spans="1:29" ht="15" customHeight="1" x14ac:dyDescent="0.25">
      <c r="A1281" s="58" t="str">
        <f t="shared" si="52"/>
        <v>XIII KA 410</v>
      </c>
      <c r="B1281" s="171">
        <f>COUNTIF(H$2:H1281,H1281)</f>
        <v>10</v>
      </c>
      <c r="C1281" s="5">
        <v>102218460</v>
      </c>
      <c r="D1281" s="5" t="s">
        <v>347</v>
      </c>
      <c r="E1281" s="5" t="str">
        <f t="shared" si="51"/>
        <v>102218460 / 0071714297</v>
      </c>
      <c r="F1281" s="88" t="s">
        <v>348</v>
      </c>
      <c r="G1281" s="5" t="s">
        <v>381</v>
      </c>
      <c r="H1281" s="72" t="s">
        <v>4255</v>
      </c>
      <c r="I1281" s="186" t="s">
        <v>5676</v>
      </c>
      <c r="J1281" s="5" t="s">
        <v>5673</v>
      </c>
      <c r="K1281" s="5" t="str">
        <f t="shared" si="50"/>
        <v>PKA</v>
      </c>
      <c r="AC1281" s="53"/>
    </row>
    <row r="1282" spans="1:29" ht="15" customHeight="1" x14ac:dyDescent="0.25">
      <c r="A1282" s="58" t="str">
        <f t="shared" si="52"/>
        <v>XIII KA 411</v>
      </c>
      <c r="B1282" s="171">
        <f>COUNTIF(H$2:H1282,H1282)</f>
        <v>11</v>
      </c>
      <c r="C1282" s="5">
        <v>102218461</v>
      </c>
      <c r="D1282" s="5" t="s">
        <v>172</v>
      </c>
      <c r="E1282" s="5" t="str">
        <f t="shared" si="51"/>
        <v>102218461 / 0072851097</v>
      </c>
      <c r="F1282" s="88" t="s">
        <v>173</v>
      </c>
      <c r="G1282" s="5" t="s">
        <v>379</v>
      </c>
      <c r="H1282" s="72" t="s">
        <v>4255</v>
      </c>
      <c r="I1282" s="186" t="s">
        <v>5676</v>
      </c>
      <c r="J1282" s="5" t="s">
        <v>5673</v>
      </c>
      <c r="K1282" s="5" t="str">
        <f t="shared" si="50"/>
        <v>LKA</v>
      </c>
      <c r="AC1282" s="53"/>
    </row>
    <row r="1283" spans="1:29" ht="15" customHeight="1" x14ac:dyDescent="0.25">
      <c r="A1283" s="58" t="str">
        <f t="shared" si="52"/>
        <v>XIII KA 412</v>
      </c>
      <c r="B1283" s="171">
        <f>COUNTIF(H$2:H1283,H1283)</f>
        <v>12</v>
      </c>
      <c r="C1283" s="5">
        <v>102218462</v>
      </c>
      <c r="D1283" s="5" t="s">
        <v>392</v>
      </c>
      <c r="E1283" s="5" t="str">
        <f t="shared" si="51"/>
        <v>102218462 / 0073213381</v>
      </c>
      <c r="F1283" s="88" t="s">
        <v>393</v>
      </c>
      <c r="G1283" s="5" t="s">
        <v>381</v>
      </c>
      <c r="H1283" s="72" t="s">
        <v>4255</v>
      </c>
      <c r="I1283" s="186" t="s">
        <v>5676</v>
      </c>
      <c r="J1283" s="5" t="s">
        <v>5673</v>
      </c>
      <c r="K1283" s="5" t="str">
        <f t="shared" si="50"/>
        <v>PKA</v>
      </c>
      <c r="AC1283" s="53"/>
    </row>
    <row r="1284" spans="1:29" ht="15" customHeight="1" x14ac:dyDescent="0.25">
      <c r="A1284" s="58" t="str">
        <f t="shared" si="52"/>
        <v>XIII KA 413</v>
      </c>
      <c r="B1284" s="171">
        <f>COUNTIF(H$2:H1284,H1284)</f>
        <v>13</v>
      </c>
      <c r="C1284" s="5">
        <v>102218463</v>
      </c>
      <c r="D1284" s="5" t="s">
        <v>114</v>
      </c>
      <c r="E1284" s="5" t="str">
        <f t="shared" si="51"/>
        <v>102218463 / 0073660739</v>
      </c>
      <c r="F1284" s="88" t="s">
        <v>115</v>
      </c>
      <c r="G1284" s="5" t="s">
        <v>381</v>
      </c>
      <c r="H1284" s="72" t="s">
        <v>4255</v>
      </c>
      <c r="I1284" s="186" t="s">
        <v>5676</v>
      </c>
      <c r="J1284" s="5" t="s">
        <v>5673</v>
      </c>
      <c r="K1284" s="5" t="str">
        <f>G1284&amp;J1284</f>
        <v>PKA</v>
      </c>
      <c r="AC1284" s="53"/>
    </row>
    <row r="1285" spans="1:29" ht="15" customHeight="1" x14ac:dyDescent="0.25">
      <c r="A1285" s="58" t="str">
        <f t="shared" si="52"/>
        <v>XIII KA 414</v>
      </c>
      <c r="B1285" s="171">
        <f>COUNTIF(H$2:H1285,H1285)</f>
        <v>14</v>
      </c>
      <c r="C1285" s="5">
        <v>102218464</v>
      </c>
      <c r="D1285" s="5" t="s">
        <v>333</v>
      </c>
      <c r="E1285" s="5" t="str">
        <f t="shared" si="51"/>
        <v>102218464 / 0078690685</v>
      </c>
      <c r="F1285" s="88" t="s">
        <v>334</v>
      </c>
      <c r="G1285" s="5" t="s">
        <v>381</v>
      </c>
      <c r="H1285" s="72" t="s">
        <v>4255</v>
      </c>
      <c r="I1285" s="186" t="s">
        <v>5676</v>
      </c>
      <c r="J1285" s="5" t="s">
        <v>5673</v>
      </c>
      <c r="K1285" s="5" t="str">
        <f t="shared" si="50"/>
        <v>PKA</v>
      </c>
      <c r="AC1285" s="53"/>
    </row>
    <row r="1286" spans="1:29" ht="15" customHeight="1" x14ac:dyDescent="0.25">
      <c r="A1286" s="58" t="str">
        <f t="shared" si="52"/>
        <v>XIII KA 415</v>
      </c>
      <c r="B1286" s="171">
        <f>COUNTIF(H$2:H1286,H1286)</f>
        <v>15</v>
      </c>
      <c r="C1286" s="5">
        <v>102218465</v>
      </c>
      <c r="D1286" s="5" t="s">
        <v>128</v>
      </c>
      <c r="E1286" s="5" t="str">
        <f t="shared" si="51"/>
        <v>102218465 / 0068605473</v>
      </c>
      <c r="F1286" s="88" t="s">
        <v>129</v>
      </c>
      <c r="G1286" s="5" t="s">
        <v>379</v>
      </c>
      <c r="H1286" s="72" t="s">
        <v>4255</v>
      </c>
      <c r="I1286" s="186" t="s">
        <v>5676</v>
      </c>
      <c r="J1286" s="5" t="s">
        <v>5673</v>
      </c>
      <c r="K1286" s="5" t="str">
        <f t="shared" si="50"/>
        <v>LKA</v>
      </c>
      <c r="AC1286" s="53"/>
    </row>
    <row r="1287" spans="1:29" ht="15" customHeight="1" x14ac:dyDescent="0.25">
      <c r="A1287" s="58" t="str">
        <f t="shared" si="52"/>
        <v>XIII KA 416</v>
      </c>
      <c r="B1287" s="171">
        <f>COUNTIF(H$2:H1287,H1287)</f>
        <v>16</v>
      </c>
      <c r="C1287" s="5">
        <v>102218466</v>
      </c>
      <c r="D1287" s="5" t="s">
        <v>104</v>
      </c>
      <c r="E1287" s="5" t="str">
        <f t="shared" si="51"/>
        <v>102218466 / 0074610762</v>
      </c>
      <c r="F1287" s="88" t="s">
        <v>105</v>
      </c>
      <c r="G1287" s="5" t="s">
        <v>379</v>
      </c>
      <c r="H1287" s="72" t="s">
        <v>4255</v>
      </c>
      <c r="I1287" s="186" t="s">
        <v>5676</v>
      </c>
      <c r="J1287" s="5" t="s">
        <v>5673</v>
      </c>
      <c r="K1287" s="5" t="str">
        <f t="shared" si="50"/>
        <v>LKA</v>
      </c>
      <c r="AC1287" s="53"/>
    </row>
    <row r="1288" spans="1:29" ht="15" customHeight="1" x14ac:dyDescent="0.25">
      <c r="A1288" s="58" t="str">
        <f t="shared" si="52"/>
        <v>XIII KA 417</v>
      </c>
      <c r="B1288" s="171">
        <f>COUNTIF(H$2:H1288,H1288)</f>
        <v>17</v>
      </c>
      <c r="C1288" s="5">
        <v>102218467</v>
      </c>
      <c r="D1288" s="5" t="s">
        <v>98</v>
      </c>
      <c r="E1288" s="5" t="str">
        <f t="shared" si="51"/>
        <v>102218467 / 0071967787</v>
      </c>
      <c r="F1288" s="88" t="s">
        <v>99</v>
      </c>
      <c r="G1288" s="5" t="s">
        <v>379</v>
      </c>
      <c r="H1288" s="72" t="s">
        <v>4255</v>
      </c>
      <c r="I1288" s="186" t="s">
        <v>5676</v>
      </c>
      <c r="J1288" s="5" t="s">
        <v>5673</v>
      </c>
      <c r="K1288" s="5" t="str">
        <f t="shared" si="50"/>
        <v>LKA</v>
      </c>
      <c r="AC1288" s="53"/>
    </row>
    <row r="1289" spans="1:29" ht="15" customHeight="1" x14ac:dyDescent="0.25">
      <c r="A1289" s="58" t="str">
        <f t="shared" si="52"/>
        <v>XIII KA 418</v>
      </c>
      <c r="B1289" s="171">
        <f>COUNTIF(H$2:H1289,H1289)</f>
        <v>18</v>
      </c>
      <c r="C1289" s="5">
        <v>102218468</v>
      </c>
      <c r="D1289" s="5" t="s">
        <v>185</v>
      </c>
      <c r="E1289" s="5" t="str">
        <f t="shared" si="51"/>
        <v>102218468 / 0074852714</v>
      </c>
      <c r="F1289" s="88" t="s">
        <v>186</v>
      </c>
      <c r="G1289" s="5" t="s">
        <v>381</v>
      </c>
      <c r="H1289" s="72" t="s">
        <v>4255</v>
      </c>
      <c r="I1289" s="186" t="s">
        <v>5676</v>
      </c>
      <c r="J1289" s="5" t="s">
        <v>5673</v>
      </c>
      <c r="K1289" s="5" t="str">
        <f t="shared" si="50"/>
        <v>PKA</v>
      </c>
      <c r="AC1289" s="53"/>
    </row>
    <row r="1290" spans="1:29" ht="15" customHeight="1" x14ac:dyDescent="0.25">
      <c r="A1290" s="58" t="str">
        <f t="shared" si="52"/>
        <v>XIII KA 419</v>
      </c>
      <c r="B1290" s="171">
        <f>COUNTIF(H$2:H1290,H1290)</f>
        <v>19</v>
      </c>
      <c r="C1290" s="5">
        <v>102218469</v>
      </c>
      <c r="D1290" s="5" t="s">
        <v>92</v>
      </c>
      <c r="E1290" s="5" t="str">
        <f t="shared" si="51"/>
        <v>102218469 / 0085993149</v>
      </c>
      <c r="F1290" s="88" t="s">
        <v>93</v>
      </c>
      <c r="G1290" s="5" t="s">
        <v>381</v>
      </c>
      <c r="H1290" s="72" t="s">
        <v>4255</v>
      </c>
      <c r="I1290" s="186" t="s">
        <v>5676</v>
      </c>
      <c r="J1290" s="5" t="s">
        <v>5673</v>
      </c>
      <c r="K1290" s="5" t="str">
        <f t="shared" si="50"/>
        <v>PKA</v>
      </c>
      <c r="AC1290" s="53"/>
    </row>
    <row r="1291" spans="1:29" ht="15" customHeight="1" x14ac:dyDescent="0.25">
      <c r="A1291" s="58" t="str">
        <f t="shared" si="52"/>
        <v>XIII KA 420</v>
      </c>
      <c r="B1291" s="171">
        <f>COUNTIF(H$2:H1291,H1291)</f>
        <v>20</v>
      </c>
      <c r="C1291" s="5">
        <v>102218470</v>
      </c>
      <c r="D1291" s="5" t="s">
        <v>88</v>
      </c>
      <c r="E1291" s="5" t="str">
        <f t="shared" si="51"/>
        <v>102218470 / 0074004821</v>
      </c>
      <c r="F1291" s="88" t="s">
        <v>89</v>
      </c>
      <c r="G1291" s="5" t="s">
        <v>379</v>
      </c>
      <c r="H1291" s="72" t="s">
        <v>4255</v>
      </c>
      <c r="I1291" s="186" t="s">
        <v>5676</v>
      </c>
      <c r="J1291" s="5" t="s">
        <v>5673</v>
      </c>
      <c r="K1291" s="5" t="str">
        <f t="shared" si="50"/>
        <v>LKA</v>
      </c>
      <c r="AC1291" s="53"/>
    </row>
    <row r="1292" spans="1:29" ht="15" customHeight="1" x14ac:dyDescent="0.25">
      <c r="A1292" s="58" t="str">
        <f t="shared" si="52"/>
        <v>XIII KA 421</v>
      </c>
      <c r="B1292" s="171">
        <f>COUNTIF(H$2:H1292,H1292)</f>
        <v>21</v>
      </c>
      <c r="C1292" s="5">
        <v>102218471</v>
      </c>
      <c r="D1292" s="5" t="s">
        <v>351</v>
      </c>
      <c r="E1292" s="5" t="str">
        <f t="shared" si="51"/>
        <v>102218471 / 0075651511</v>
      </c>
      <c r="F1292" s="88" t="s">
        <v>352</v>
      </c>
      <c r="G1292" s="5" t="s">
        <v>381</v>
      </c>
      <c r="H1292" s="72" t="s">
        <v>4255</v>
      </c>
      <c r="I1292" s="186" t="s">
        <v>5676</v>
      </c>
      <c r="J1292" s="5" t="s">
        <v>5673</v>
      </c>
      <c r="K1292" s="5" t="str">
        <f t="shared" si="50"/>
        <v>PKA</v>
      </c>
      <c r="AC1292" s="53"/>
    </row>
    <row r="1293" spans="1:29" ht="15" customHeight="1" x14ac:dyDescent="0.25">
      <c r="A1293" s="58" t="str">
        <f t="shared" si="52"/>
        <v>XIII KA 422</v>
      </c>
      <c r="B1293" s="171">
        <f>COUNTIF(H$2:H1293,H1293)</f>
        <v>22</v>
      </c>
      <c r="C1293" s="5">
        <v>102218472</v>
      </c>
      <c r="D1293" s="5" t="s">
        <v>86</v>
      </c>
      <c r="E1293" s="5" t="str">
        <f t="shared" si="51"/>
        <v>102218472 / 0078469067</v>
      </c>
      <c r="F1293" s="88" t="s">
        <v>87</v>
      </c>
      <c r="G1293" s="5" t="s">
        <v>379</v>
      </c>
      <c r="H1293" s="72" t="s">
        <v>4255</v>
      </c>
      <c r="I1293" s="186" t="s">
        <v>5676</v>
      </c>
      <c r="J1293" s="5" t="s">
        <v>5673</v>
      </c>
      <c r="K1293" s="5" t="str">
        <f t="shared" si="50"/>
        <v>LKA</v>
      </c>
      <c r="AC1293" s="53"/>
    </row>
    <row r="1294" spans="1:29" ht="15" customHeight="1" x14ac:dyDescent="0.25">
      <c r="A1294" s="58" t="str">
        <f t="shared" si="52"/>
        <v>XIII KA 423</v>
      </c>
      <c r="B1294" s="171">
        <f>COUNTIF(H$2:H1294,H1294)</f>
        <v>23</v>
      </c>
      <c r="C1294" s="5">
        <v>102218473</v>
      </c>
      <c r="D1294" s="5" t="s">
        <v>371</v>
      </c>
      <c r="E1294" s="5" t="str">
        <f t="shared" si="51"/>
        <v>102218473 / 0077771746</v>
      </c>
      <c r="F1294" s="88" t="s">
        <v>372</v>
      </c>
      <c r="G1294" s="5" t="s">
        <v>379</v>
      </c>
      <c r="H1294" s="72" t="s">
        <v>4255</v>
      </c>
      <c r="I1294" s="186" t="s">
        <v>5676</v>
      </c>
      <c r="J1294" s="5" t="s">
        <v>5673</v>
      </c>
      <c r="K1294" s="5" t="str">
        <f t="shared" si="50"/>
        <v>LKA</v>
      </c>
      <c r="AC1294" s="53"/>
    </row>
    <row r="1295" spans="1:29" ht="15" customHeight="1" x14ac:dyDescent="0.25">
      <c r="A1295" s="58" t="str">
        <f t="shared" si="52"/>
        <v>XIII KA 424</v>
      </c>
      <c r="B1295" s="171">
        <f>COUNTIF(H$2:H1295,H1295)</f>
        <v>24</v>
      </c>
      <c r="C1295" s="5">
        <v>102218474</v>
      </c>
      <c r="D1295" s="5" t="s">
        <v>146</v>
      </c>
      <c r="E1295" s="5" t="str">
        <f t="shared" si="51"/>
        <v>102218474 / 0075583610</v>
      </c>
      <c r="F1295" s="88" t="s">
        <v>147</v>
      </c>
      <c r="G1295" s="5" t="s">
        <v>381</v>
      </c>
      <c r="H1295" s="72" t="s">
        <v>4255</v>
      </c>
      <c r="I1295" s="186" t="s">
        <v>5676</v>
      </c>
      <c r="J1295" s="5" t="s">
        <v>5673</v>
      </c>
      <c r="K1295" s="5" t="str">
        <f t="shared" ref="K1295:K1305" si="53">G1295&amp;J1295</f>
        <v>PKA</v>
      </c>
      <c r="AC1295" s="53"/>
    </row>
    <row r="1296" spans="1:29" ht="15" customHeight="1" x14ac:dyDescent="0.25">
      <c r="A1296" s="58" t="str">
        <f t="shared" si="52"/>
        <v>XIII KA 425</v>
      </c>
      <c r="B1296" s="171">
        <f>COUNTIF(H$2:H1296,H1296)</f>
        <v>25</v>
      </c>
      <c r="C1296" s="5">
        <v>102218475</v>
      </c>
      <c r="D1296" s="5" t="s">
        <v>195</v>
      </c>
      <c r="E1296" s="5" t="str">
        <f t="shared" si="51"/>
        <v>102218475 / 0075478362</v>
      </c>
      <c r="F1296" s="88" t="s">
        <v>196</v>
      </c>
      <c r="G1296" s="5" t="s">
        <v>381</v>
      </c>
      <c r="H1296" s="72" t="s">
        <v>4255</v>
      </c>
      <c r="I1296" s="186" t="s">
        <v>5676</v>
      </c>
      <c r="J1296" s="5" t="s">
        <v>5673</v>
      </c>
      <c r="K1296" s="5" t="str">
        <f t="shared" si="53"/>
        <v>PKA</v>
      </c>
      <c r="AC1296" s="53"/>
    </row>
    <row r="1297" spans="1:29" ht="15" customHeight="1" x14ac:dyDescent="0.25">
      <c r="A1297" s="58" t="str">
        <f t="shared" si="52"/>
        <v>XIII KA 426</v>
      </c>
      <c r="B1297" s="171">
        <f>COUNTIF(H$2:H1297,H1297)</f>
        <v>26</v>
      </c>
      <c r="C1297" s="5">
        <v>102218476</v>
      </c>
      <c r="D1297" s="5" t="s">
        <v>193</v>
      </c>
      <c r="E1297" s="5" t="str">
        <f t="shared" si="51"/>
        <v>102218476 / 0064320637</v>
      </c>
      <c r="F1297" s="88" t="s">
        <v>194</v>
      </c>
      <c r="G1297" s="5" t="s">
        <v>379</v>
      </c>
      <c r="H1297" s="72" t="s">
        <v>4255</v>
      </c>
      <c r="I1297" s="186" t="s">
        <v>5676</v>
      </c>
      <c r="J1297" s="5" t="s">
        <v>5673</v>
      </c>
      <c r="K1297" s="5" t="str">
        <f t="shared" si="53"/>
        <v>LKA</v>
      </c>
      <c r="AC1297" s="53"/>
    </row>
    <row r="1298" spans="1:29" ht="15" customHeight="1" x14ac:dyDescent="0.25">
      <c r="A1298" s="58" t="str">
        <f t="shared" si="52"/>
        <v>XIII KA 427</v>
      </c>
      <c r="B1298" s="171">
        <f>COUNTIF(H$2:H1298,H1298)</f>
        <v>27</v>
      </c>
      <c r="C1298" s="5">
        <v>102218477</v>
      </c>
      <c r="D1298" s="5" t="s">
        <v>90</v>
      </c>
      <c r="E1298" s="5" t="str">
        <f t="shared" si="51"/>
        <v>102218477 / 0087793032</v>
      </c>
      <c r="F1298" s="88" t="s">
        <v>91</v>
      </c>
      <c r="G1298" s="5" t="s">
        <v>381</v>
      </c>
      <c r="H1298" s="72" t="s">
        <v>4255</v>
      </c>
      <c r="I1298" s="186" t="s">
        <v>5676</v>
      </c>
      <c r="J1298" s="5" t="s">
        <v>5673</v>
      </c>
      <c r="K1298" s="5" t="str">
        <f t="shared" si="53"/>
        <v>PKA</v>
      </c>
      <c r="AC1298" s="53"/>
    </row>
    <row r="1299" spans="1:29" ht="15" customHeight="1" x14ac:dyDescent="0.25">
      <c r="A1299" s="58" t="str">
        <f t="shared" si="52"/>
        <v>XIII KA 428</v>
      </c>
      <c r="B1299" s="171">
        <f>COUNTIF(H$2:H1299,H1299)</f>
        <v>28</v>
      </c>
      <c r="C1299" s="5">
        <v>102218478</v>
      </c>
      <c r="D1299" s="5" t="s">
        <v>110</v>
      </c>
      <c r="E1299" s="5" t="str">
        <f t="shared" si="51"/>
        <v>102218478 / 0074079884</v>
      </c>
      <c r="F1299" s="88" t="s">
        <v>111</v>
      </c>
      <c r="G1299" s="5" t="s">
        <v>379</v>
      </c>
      <c r="H1299" s="72" t="s">
        <v>4255</v>
      </c>
      <c r="I1299" s="186" t="s">
        <v>5676</v>
      </c>
      <c r="J1299" s="5" t="s">
        <v>5673</v>
      </c>
      <c r="K1299" s="5" t="str">
        <f t="shared" si="53"/>
        <v>LKA</v>
      </c>
      <c r="AC1299" s="53"/>
    </row>
    <row r="1300" spans="1:29" ht="15" customHeight="1" x14ac:dyDescent="0.25">
      <c r="A1300" s="58" t="str">
        <f t="shared" si="52"/>
        <v>XIII KA 429</v>
      </c>
      <c r="B1300" s="171">
        <f>COUNTIF(H$2:H1300,H1300)</f>
        <v>29</v>
      </c>
      <c r="C1300" s="5">
        <v>102218479</v>
      </c>
      <c r="D1300" s="5" t="s">
        <v>84</v>
      </c>
      <c r="E1300" s="5" t="str">
        <f t="shared" si="51"/>
        <v>102218479 / 0072757307</v>
      </c>
      <c r="F1300" s="88" t="s">
        <v>85</v>
      </c>
      <c r="G1300" s="5" t="s">
        <v>381</v>
      </c>
      <c r="H1300" s="72" t="s">
        <v>4255</v>
      </c>
      <c r="I1300" s="186" t="s">
        <v>5676</v>
      </c>
      <c r="J1300" s="5" t="s">
        <v>5673</v>
      </c>
      <c r="K1300" s="5" t="str">
        <f t="shared" si="53"/>
        <v>PKA</v>
      </c>
      <c r="AC1300" s="53"/>
    </row>
    <row r="1301" spans="1:29" ht="15" customHeight="1" x14ac:dyDescent="0.25">
      <c r="A1301" s="58" t="str">
        <f t="shared" si="52"/>
        <v>XIII KA 430</v>
      </c>
      <c r="B1301" s="171">
        <f>COUNTIF(H$2:H1301,H1301)</f>
        <v>30</v>
      </c>
      <c r="C1301" s="5">
        <v>102218480</v>
      </c>
      <c r="D1301" s="5" t="s">
        <v>189</v>
      </c>
      <c r="E1301" s="5" t="str">
        <f t="shared" si="51"/>
        <v>102218480 / 0061837841</v>
      </c>
      <c r="F1301" s="88" t="s">
        <v>190</v>
      </c>
      <c r="G1301" s="5" t="s">
        <v>381</v>
      </c>
      <c r="H1301" s="72" t="s">
        <v>4255</v>
      </c>
      <c r="I1301" s="186" t="s">
        <v>5676</v>
      </c>
      <c r="J1301" s="5" t="s">
        <v>5673</v>
      </c>
      <c r="K1301" s="5" t="str">
        <f t="shared" si="53"/>
        <v>PKA</v>
      </c>
      <c r="AC1301" s="53"/>
    </row>
    <row r="1302" spans="1:29" ht="15" customHeight="1" x14ac:dyDescent="0.25">
      <c r="A1302" s="58" t="str">
        <f t="shared" si="52"/>
        <v>XIII KA 431</v>
      </c>
      <c r="B1302" s="171">
        <f>COUNTIF(H$2:H1302,H1302)</f>
        <v>31</v>
      </c>
      <c r="C1302" s="5">
        <v>102218481</v>
      </c>
      <c r="D1302" s="5" t="s">
        <v>78</v>
      </c>
      <c r="E1302" s="5" t="str">
        <f t="shared" si="51"/>
        <v>102218481 / 0068470603</v>
      </c>
      <c r="F1302" s="88" t="s">
        <v>79</v>
      </c>
      <c r="G1302" s="5" t="s">
        <v>381</v>
      </c>
      <c r="H1302" s="72" t="s">
        <v>4255</v>
      </c>
      <c r="I1302" s="186" t="s">
        <v>5676</v>
      </c>
      <c r="J1302" s="5" t="s">
        <v>5673</v>
      </c>
      <c r="K1302" s="5" t="str">
        <f t="shared" si="53"/>
        <v>PKA</v>
      </c>
      <c r="AC1302" s="53"/>
    </row>
    <row r="1303" spans="1:29" ht="15" customHeight="1" x14ac:dyDescent="0.25">
      <c r="A1303" s="58" t="str">
        <f t="shared" si="52"/>
        <v>XIII KA 432</v>
      </c>
      <c r="B1303" s="171">
        <f>COUNTIF(H$2:H1303,H1303)</f>
        <v>32</v>
      </c>
      <c r="C1303" s="5">
        <v>102218482</v>
      </c>
      <c r="D1303" s="5" t="s">
        <v>100</v>
      </c>
      <c r="E1303" s="5" t="str">
        <f t="shared" si="51"/>
        <v>102218482 / 0063788272</v>
      </c>
      <c r="F1303" s="88" t="s">
        <v>101</v>
      </c>
      <c r="G1303" s="5" t="s">
        <v>379</v>
      </c>
      <c r="H1303" s="72" t="s">
        <v>4255</v>
      </c>
      <c r="I1303" s="186" t="s">
        <v>5676</v>
      </c>
      <c r="J1303" s="5" t="s">
        <v>5673</v>
      </c>
      <c r="K1303" s="5" t="str">
        <f t="shared" si="53"/>
        <v>LKA</v>
      </c>
      <c r="AC1303" s="53"/>
    </row>
    <row r="1304" spans="1:29" ht="15" customHeight="1" x14ac:dyDescent="0.25">
      <c r="A1304" s="58" t="str">
        <f t="shared" si="52"/>
        <v>XIII KA 433</v>
      </c>
      <c r="B1304" s="171">
        <f>COUNTIF(H$2:H1304,H1304)</f>
        <v>33</v>
      </c>
      <c r="C1304" s="5">
        <v>102218483</v>
      </c>
      <c r="D1304" s="5" t="s">
        <v>179</v>
      </c>
      <c r="E1304" s="5" t="str">
        <f t="shared" si="51"/>
        <v>102218483 / 0067024710</v>
      </c>
      <c r="F1304" s="88" t="s">
        <v>180</v>
      </c>
      <c r="G1304" s="5" t="s">
        <v>381</v>
      </c>
      <c r="H1304" s="72" t="s">
        <v>4255</v>
      </c>
      <c r="I1304" s="186" t="s">
        <v>5676</v>
      </c>
      <c r="J1304" s="5" t="s">
        <v>5673</v>
      </c>
      <c r="K1304" s="5" t="str">
        <f t="shared" si="53"/>
        <v>PKA</v>
      </c>
      <c r="AC1304" s="53"/>
    </row>
    <row r="1305" spans="1:29" ht="15" customHeight="1" x14ac:dyDescent="0.25">
      <c r="A1305" s="58" t="str">
        <f t="shared" si="52"/>
        <v>XIII KA 434</v>
      </c>
      <c r="B1305" s="171">
        <f>COUNTIF(H$2:H1305,H1305)</f>
        <v>34</v>
      </c>
      <c r="C1305" s="5">
        <v>102218484</v>
      </c>
      <c r="D1305" s="5" t="s">
        <v>156</v>
      </c>
      <c r="E1305" s="5" t="str">
        <f t="shared" si="51"/>
        <v>102218484 / 0068770202</v>
      </c>
      <c r="F1305" s="88" t="s">
        <v>157</v>
      </c>
      <c r="G1305" s="5" t="s">
        <v>379</v>
      </c>
      <c r="H1305" s="72" t="s">
        <v>4255</v>
      </c>
      <c r="I1305" s="186" t="s">
        <v>5676</v>
      </c>
      <c r="J1305" s="5" t="s">
        <v>5673</v>
      </c>
      <c r="K1305" s="5" t="str">
        <f t="shared" si="53"/>
        <v>LKA</v>
      </c>
      <c r="AC1305" s="53"/>
    </row>
    <row r="1306" spans="1:29" ht="15" customHeight="1" x14ac:dyDescent="0.25">
      <c r="A1306" s="58" t="str">
        <f t="shared" si="52"/>
        <v>XIII KA 435</v>
      </c>
      <c r="B1306" s="171">
        <f>COUNTIF(H$2:H1306,H1306)</f>
        <v>35</v>
      </c>
      <c r="C1306" s="5">
        <v>102218485</v>
      </c>
      <c r="D1306" s="5" t="s">
        <v>142</v>
      </c>
      <c r="E1306" s="5" t="str">
        <f t="shared" si="51"/>
        <v>102218485 / 0065180388</v>
      </c>
      <c r="F1306" s="88" t="s">
        <v>143</v>
      </c>
      <c r="G1306" s="5" t="s">
        <v>379</v>
      </c>
      <c r="H1306" s="72" t="s">
        <v>4255</v>
      </c>
      <c r="I1306" s="186" t="s">
        <v>5676</v>
      </c>
      <c r="J1306" s="5" t="s">
        <v>5673</v>
      </c>
      <c r="K1306" s="5" t="str">
        <f t="shared" ref="K1306:K1355" si="54">G1306&amp;J1306</f>
        <v>LKA</v>
      </c>
      <c r="AC1306" s="53"/>
    </row>
    <row r="1307" spans="1:29" ht="15" customHeight="1" x14ac:dyDescent="0.25">
      <c r="A1307" s="58" t="str">
        <f t="shared" si="52"/>
        <v>XIII KA 51</v>
      </c>
      <c r="B1307" s="171">
        <f>COUNTIF(H$2:H1307,H1307)</f>
        <v>1</v>
      </c>
      <c r="C1307" s="5">
        <v>102218486</v>
      </c>
      <c r="D1307" s="5" t="s">
        <v>227</v>
      </c>
      <c r="E1307" s="5" t="str">
        <f t="shared" si="51"/>
        <v>102218486 / 0062854269</v>
      </c>
      <c r="F1307" s="88" t="s">
        <v>228</v>
      </c>
      <c r="G1307" s="5" t="s">
        <v>379</v>
      </c>
      <c r="H1307" s="72" t="s">
        <v>4256</v>
      </c>
      <c r="I1307" s="186" t="s">
        <v>5676</v>
      </c>
      <c r="J1307" s="5" t="s">
        <v>5673</v>
      </c>
      <c r="K1307" s="5" t="str">
        <f t="shared" si="54"/>
        <v>LKA</v>
      </c>
      <c r="AC1307" s="53"/>
    </row>
    <row r="1308" spans="1:29" ht="15" customHeight="1" x14ac:dyDescent="0.25">
      <c r="A1308" s="58" t="str">
        <f t="shared" si="52"/>
        <v>XIII KA 52</v>
      </c>
      <c r="B1308" s="171">
        <f>COUNTIF(H$2:H1308,H1308)</f>
        <v>2</v>
      </c>
      <c r="C1308" s="5">
        <v>102218487</v>
      </c>
      <c r="D1308" s="5" t="s">
        <v>217</v>
      </c>
      <c r="E1308" s="5" t="str">
        <f t="shared" si="51"/>
        <v>102218487 / 0072015523</v>
      </c>
      <c r="F1308" s="88" t="s">
        <v>218</v>
      </c>
      <c r="G1308" s="5" t="s">
        <v>381</v>
      </c>
      <c r="H1308" s="72" t="s">
        <v>4256</v>
      </c>
      <c r="I1308" s="186" t="s">
        <v>5676</v>
      </c>
      <c r="J1308" s="5" t="s">
        <v>5673</v>
      </c>
      <c r="K1308" s="5" t="str">
        <f t="shared" si="54"/>
        <v>PKA</v>
      </c>
      <c r="AC1308" s="53"/>
    </row>
    <row r="1309" spans="1:29" ht="15" customHeight="1" x14ac:dyDescent="0.25">
      <c r="A1309" s="58" t="str">
        <f t="shared" si="52"/>
        <v>XIII KA 53</v>
      </c>
      <c r="B1309" s="171">
        <f>COUNTIF(H$2:H1309,H1309)</f>
        <v>3</v>
      </c>
      <c r="C1309" s="5">
        <v>102218488</v>
      </c>
      <c r="D1309" s="5" t="s">
        <v>201</v>
      </c>
      <c r="E1309" s="5" t="str">
        <f t="shared" si="51"/>
        <v>102218488 / 0066461721</v>
      </c>
      <c r="F1309" s="88" t="s">
        <v>202</v>
      </c>
      <c r="G1309" s="5" t="s">
        <v>381</v>
      </c>
      <c r="H1309" s="72" t="s">
        <v>4256</v>
      </c>
      <c r="I1309" s="186" t="s">
        <v>5676</v>
      </c>
      <c r="J1309" s="5" t="s">
        <v>5673</v>
      </c>
      <c r="K1309" s="5" t="str">
        <f t="shared" si="54"/>
        <v>PKA</v>
      </c>
      <c r="AC1309" s="53"/>
    </row>
    <row r="1310" spans="1:29" ht="15" customHeight="1" x14ac:dyDescent="0.25">
      <c r="A1310" s="58" t="str">
        <f t="shared" si="52"/>
        <v>XIII KA 54</v>
      </c>
      <c r="B1310" s="171">
        <f>COUNTIF(H$2:H1310,H1310)</f>
        <v>4</v>
      </c>
      <c r="C1310" s="5">
        <v>102218489</v>
      </c>
      <c r="D1310" s="5" t="s">
        <v>9</v>
      </c>
      <c r="E1310" s="5" t="str">
        <f t="shared" si="51"/>
        <v>102218489 / 0062374604</v>
      </c>
      <c r="F1310" s="88" t="s">
        <v>10</v>
      </c>
      <c r="G1310" s="5" t="s">
        <v>381</v>
      </c>
      <c r="H1310" s="72" t="s">
        <v>4256</v>
      </c>
      <c r="I1310" s="186" t="s">
        <v>5676</v>
      </c>
      <c r="J1310" s="5" t="s">
        <v>5673</v>
      </c>
      <c r="K1310" s="5" t="str">
        <f t="shared" si="54"/>
        <v>PKA</v>
      </c>
      <c r="AC1310" s="53"/>
    </row>
    <row r="1311" spans="1:29" ht="15" customHeight="1" x14ac:dyDescent="0.25">
      <c r="A1311" s="58" t="str">
        <f t="shared" si="52"/>
        <v>XIII KA 55</v>
      </c>
      <c r="B1311" s="171">
        <f>COUNTIF(H$2:H1311,H1311)</f>
        <v>5</v>
      </c>
      <c r="C1311" s="5">
        <v>102218490</v>
      </c>
      <c r="D1311" s="5" t="s">
        <v>395</v>
      </c>
      <c r="E1311" s="5" t="str">
        <f t="shared" si="51"/>
        <v>102218490 / 0073498957</v>
      </c>
      <c r="F1311" s="88" t="s">
        <v>396</v>
      </c>
      <c r="G1311" s="5" t="s">
        <v>379</v>
      </c>
      <c r="H1311" s="72" t="s">
        <v>4256</v>
      </c>
      <c r="I1311" s="186" t="s">
        <v>5676</v>
      </c>
      <c r="J1311" s="5" t="s">
        <v>5673</v>
      </c>
      <c r="K1311" s="5" t="str">
        <f t="shared" si="54"/>
        <v>LKA</v>
      </c>
      <c r="AC1311" s="53"/>
    </row>
    <row r="1312" spans="1:29" ht="15" customHeight="1" x14ac:dyDescent="0.25">
      <c r="A1312" s="58" t="str">
        <f t="shared" si="52"/>
        <v>XIII KA 56</v>
      </c>
      <c r="B1312" s="171">
        <f>COUNTIF(H$2:H1312,H1312)</f>
        <v>6</v>
      </c>
      <c r="C1312" s="5">
        <v>102218491</v>
      </c>
      <c r="D1312" s="5" t="s">
        <v>3</v>
      </c>
      <c r="E1312" s="5" t="str">
        <f t="shared" si="51"/>
        <v>102218491 / 0061442485</v>
      </c>
      <c r="F1312" s="88" t="s">
        <v>4</v>
      </c>
      <c r="G1312" s="5" t="s">
        <v>381</v>
      </c>
      <c r="H1312" s="72" t="s">
        <v>4256</v>
      </c>
      <c r="I1312" s="186" t="s">
        <v>5676</v>
      </c>
      <c r="J1312" s="5" t="s">
        <v>5673</v>
      </c>
      <c r="K1312" s="5" t="str">
        <f t="shared" si="54"/>
        <v>PKA</v>
      </c>
      <c r="AC1312" s="53"/>
    </row>
    <row r="1313" spans="1:29" ht="15" customHeight="1" x14ac:dyDescent="0.25">
      <c r="A1313" s="58" t="str">
        <f t="shared" si="52"/>
        <v>XIII KA 57</v>
      </c>
      <c r="B1313" s="171">
        <f>COUNTIF(H$2:H1313,H1313)</f>
        <v>7</v>
      </c>
      <c r="C1313" s="5">
        <v>102218492</v>
      </c>
      <c r="D1313" s="5" t="s">
        <v>313</v>
      </c>
      <c r="E1313" s="5" t="str">
        <f t="shared" si="51"/>
        <v>102218492 / 0074922248</v>
      </c>
      <c r="F1313" s="88" t="s">
        <v>314</v>
      </c>
      <c r="G1313" s="5" t="s">
        <v>381</v>
      </c>
      <c r="H1313" s="72" t="s">
        <v>4256</v>
      </c>
      <c r="I1313" s="186" t="s">
        <v>5676</v>
      </c>
      <c r="J1313" s="5" t="s">
        <v>5673</v>
      </c>
      <c r="K1313" s="5" t="str">
        <f t="shared" si="54"/>
        <v>PKA</v>
      </c>
      <c r="AC1313" s="53"/>
    </row>
    <row r="1314" spans="1:29" ht="15" customHeight="1" x14ac:dyDescent="0.25">
      <c r="A1314" s="58" t="str">
        <f t="shared" si="52"/>
        <v>XIII KA 58</v>
      </c>
      <c r="B1314" s="171">
        <f>COUNTIF(H$2:H1314,H1314)</f>
        <v>8</v>
      </c>
      <c r="C1314" s="5">
        <v>102218493</v>
      </c>
      <c r="D1314" s="5" t="s">
        <v>152</v>
      </c>
      <c r="E1314" s="5" t="str">
        <f t="shared" si="51"/>
        <v>102218493 / 0071735202</v>
      </c>
      <c r="F1314" s="88" t="s">
        <v>153</v>
      </c>
      <c r="G1314" s="5" t="s">
        <v>381</v>
      </c>
      <c r="H1314" s="72" t="s">
        <v>4256</v>
      </c>
      <c r="I1314" s="186" t="s">
        <v>5676</v>
      </c>
      <c r="J1314" s="5" t="s">
        <v>5673</v>
      </c>
      <c r="K1314" s="5" t="str">
        <f t="shared" si="54"/>
        <v>PKA</v>
      </c>
      <c r="AC1314" s="53"/>
    </row>
    <row r="1315" spans="1:29" ht="15" customHeight="1" x14ac:dyDescent="0.25">
      <c r="A1315" s="58" t="str">
        <f t="shared" si="52"/>
        <v>XIII KA 59</v>
      </c>
      <c r="B1315" s="171">
        <f>COUNTIF(H$2:H1315,H1315)</f>
        <v>9</v>
      </c>
      <c r="C1315" s="5">
        <v>102218494</v>
      </c>
      <c r="D1315" s="5" t="s">
        <v>233</v>
      </c>
      <c r="E1315" s="5" t="str">
        <f t="shared" ref="E1315:E1373" si="55">C1315&amp; " / "&amp; D1315</f>
        <v>102218494 / 0071427187</v>
      </c>
      <c r="F1315" s="88" t="s">
        <v>234</v>
      </c>
      <c r="G1315" s="5" t="s">
        <v>381</v>
      </c>
      <c r="H1315" s="72" t="s">
        <v>4256</v>
      </c>
      <c r="I1315" s="186" t="s">
        <v>5676</v>
      </c>
      <c r="J1315" s="5" t="s">
        <v>5673</v>
      </c>
      <c r="K1315" s="5" t="str">
        <f t="shared" si="54"/>
        <v>PKA</v>
      </c>
      <c r="AC1315" s="53"/>
    </row>
    <row r="1316" spans="1:29" ht="15" customHeight="1" x14ac:dyDescent="0.25">
      <c r="A1316" s="58" t="str">
        <f t="shared" si="52"/>
        <v>XIII KA 510</v>
      </c>
      <c r="B1316" s="171">
        <f>COUNTIF(H$2:H1316,H1316)</f>
        <v>10</v>
      </c>
      <c r="C1316" s="5">
        <v>102218495</v>
      </c>
      <c r="D1316" s="5" t="s">
        <v>219</v>
      </c>
      <c r="E1316" s="5" t="str">
        <f t="shared" si="55"/>
        <v>102218495 / 0063498210</v>
      </c>
      <c r="F1316" s="88" t="s">
        <v>220</v>
      </c>
      <c r="G1316" s="5" t="s">
        <v>381</v>
      </c>
      <c r="H1316" s="72" t="s">
        <v>4256</v>
      </c>
      <c r="I1316" s="186" t="s">
        <v>5676</v>
      </c>
      <c r="J1316" s="5" t="s">
        <v>5673</v>
      </c>
      <c r="K1316" s="5" t="str">
        <f t="shared" si="54"/>
        <v>PKA</v>
      </c>
      <c r="AC1316" s="53"/>
    </row>
    <row r="1317" spans="1:29" ht="15" customHeight="1" x14ac:dyDescent="0.25">
      <c r="A1317" s="58" t="str">
        <f t="shared" si="52"/>
        <v>XIII KA 511</v>
      </c>
      <c r="B1317" s="171">
        <f>COUNTIF(H$2:H1317,H1317)</f>
        <v>11</v>
      </c>
      <c r="C1317" s="5">
        <v>102218496</v>
      </c>
      <c r="D1317" s="5" t="s">
        <v>213</v>
      </c>
      <c r="E1317" s="5" t="str">
        <f t="shared" si="55"/>
        <v>102218496 / 0078105219</v>
      </c>
      <c r="F1317" s="88" t="s">
        <v>214</v>
      </c>
      <c r="G1317" s="5" t="s">
        <v>381</v>
      </c>
      <c r="H1317" s="72" t="s">
        <v>4256</v>
      </c>
      <c r="I1317" s="186" t="s">
        <v>5676</v>
      </c>
      <c r="J1317" s="5" t="s">
        <v>5673</v>
      </c>
      <c r="K1317" s="5" t="str">
        <f t="shared" si="54"/>
        <v>PKA</v>
      </c>
      <c r="AC1317" s="53"/>
    </row>
    <row r="1318" spans="1:29" ht="15" customHeight="1" x14ac:dyDescent="0.25">
      <c r="A1318" s="58" t="str">
        <f t="shared" si="52"/>
        <v>XIII KA 512</v>
      </c>
      <c r="B1318" s="171">
        <f>COUNTIF(H$2:H1318,H1318)</f>
        <v>12</v>
      </c>
      <c r="C1318" s="5">
        <v>102218497</v>
      </c>
      <c r="D1318" s="5" t="s">
        <v>106</v>
      </c>
      <c r="E1318" s="5" t="str">
        <f t="shared" si="55"/>
        <v>102218497 / 0065259709</v>
      </c>
      <c r="F1318" s="88" t="s">
        <v>107</v>
      </c>
      <c r="G1318" s="5" t="s">
        <v>379</v>
      </c>
      <c r="H1318" s="72" t="s">
        <v>4256</v>
      </c>
      <c r="I1318" s="186" t="s">
        <v>5676</v>
      </c>
      <c r="J1318" s="5" t="s">
        <v>5673</v>
      </c>
      <c r="K1318" s="5" t="str">
        <f t="shared" si="54"/>
        <v>LKA</v>
      </c>
      <c r="AC1318" s="53"/>
    </row>
    <row r="1319" spans="1:29" ht="15" customHeight="1" x14ac:dyDescent="0.25">
      <c r="A1319" s="58" t="str">
        <f t="shared" si="52"/>
        <v>XIII KA 513</v>
      </c>
      <c r="B1319" s="171">
        <f>COUNTIF(H$2:H1319,H1319)</f>
        <v>13</v>
      </c>
      <c r="C1319" s="5">
        <v>102218498</v>
      </c>
      <c r="D1319" s="5" t="s">
        <v>211</v>
      </c>
      <c r="E1319" s="5" t="str">
        <f t="shared" si="55"/>
        <v>102218498 / 0068795209</v>
      </c>
      <c r="F1319" s="88" t="s">
        <v>212</v>
      </c>
      <c r="G1319" s="5" t="s">
        <v>379</v>
      </c>
      <c r="H1319" s="72" t="s">
        <v>4256</v>
      </c>
      <c r="I1319" s="186" t="s">
        <v>5676</v>
      </c>
      <c r="J1319" s="5" t="s">
        <v>5673</v>
      </c>
      <c r="K1319" s="5" t="str">
        <f t="shared" si="54"/>
        <v>LKA</v>
      </c>
      <c r="AC1319" s="53"/>
    </row>
    <row r="1320" spans="1:29" ht="15" customHeight="1" x14ac:dyDescent="0.25">
      <c r="A1320" s="58" t="str">
        <f t="shared" si="52"/>
        <v>XIII KA 514</v>
      </c>
      <c r="B1320" s="171">
        <f>COUNTIF(H$2:H1320,H1320)</f>
        <v>14</v>
      </c>
      <c r="C1320" s="5">
        <v>102218499</v>
      </c>
      <c r="D1320" s="5" t="s">
        <v>237</v>
      </c>
      <c r="E1320" s="5" t="str">
        <f t="shared" si="55"/>
        <v>102218499 / 0066134663</v>
      </c>
      <c r="F1320" s="88" t="s">
        <v>238</v>
      </c>
      <c r="G1320" s="5" t="s">
        <v>381</v>
      </c>
      <c r="H1320" s="72" t="s">
        <v>4256</v>
      </c>
      <c r="I1320" s="186" t="s">
        <v>5676</v>
      </c>
      <c r="J1320" s="5" t="s">
        <v>5673</v>
      </c>
      <c r="K1320" s="5" t="str">
        <f t="shared" si="54"/>
        <v>PKA</v>
      </c>
      <c r="AC1320" s="53"/>
    </row>
    <row r="1321" spans="1:29" ht="15" customHeight="1" x14ac:dyDescent="0.25">
      <c r="A1321" s="58" t="str">
        <f t="shared" si="52"/>
        <v>XIII KA 515</v>
      </c>
      <c r="B1321" s="171">
        <f>COUNTIF(H$2:H1321,H1321)</f>
        <v>15</v>
      </c>
      <c r="C1321" s="5">
        <v>102218500</v>
      </c>
      <c r="D1321" s="5" t="s">
        <v>215</v>
      </c>
      <c r="E1321" s="5" t="str">
        <f t="shared" si="55"/>
        <v>102218500 / 0067278636</v>
      </c>
      <c r="F1321" s="88" t="s">
        <v>216</v>
      </c>
      <c r="G1321" s="5" t="s">
        <v>379</v>
      </c>
      <c r="H1321" s="72" t="s">
        <v>4256</v>
      </c>
      <c r="I1321" s="186" t="s">
        <v>5676</v>
      </c>
      <c r="J1321" s="5" t="s">
        <v>5673</v>
      </c>
      <c r="K1321" s="5" t="str">
        <f t="shared" si="54"/>
        <v>LKA</v>
      </c>
      <c r="AC1321" s="53"/>
    </row>
    <row r="1322" spans="1:29" ht="15" customHeight="1" x14ac:dyDescent="0.25">
      <c r="A1322" s="58" t="str">
        <f t="shared" ref="A1322:A1373" si="56">H1322&amp;B1322</f>
        <v>XIII KA 516</v>
      </c>
      <c r="B1322" s="171">
        <f>COUNTIF(H$2:H1322,H1322)</f>
        <v>16</v>
      </c>
      <c r="C1322" s="5">
        <v>102218501</v>
      </c>
      <c r="D1322" s="5" t="s">
        <v>1</v>
      </c>
      <c r="E1322" s="5" t="str">
        <f t="shared" si="55"/>
        <v>102218501 / 0067982907</v>
      </c>
      <c r="F1322" s="88" t="s">
        <v>2</v>
      </c>
      <c r="G1322" s="5" t="s">
        <v>381</v>
      </c>
      <c r="H1322" s="72" t="s">
        <v>4256</v>
      </c>
      <c r="I1322" s="186" t="s">
        <v>5676</v>
      </c>
      <c r="J1322" s="5" t="s">
        <v>5673</v>
      </c>
      <c r="K1322" s="5" t="str">
        <f t="shared" si="54"/>
        <v>PKA</v>
      </c>
      <c r="AC1322" s="53"/>
    </row>
    <row r="1323" spans="1:29" ht="15" customHeight="1" x14ac:dyDescent="0.25">
      <c r="A1323" s="58" t="str">
        <f t="shared" si="56"/>
        <v>XIII KA 517</v>
      </c>
      <c r="B1323" s="171">
        <f>COUNTIF(H$2:H1323,H1323)</f>
        <v>17</v>
      </c>
      <c r="C1323" s="5">
        <v>102218502</v>
      </c>
      <c r="D1323" s="5" t="s">
        <v>209</v>
      </c>
      <c r="E1323" s="5" t="str">
        <f t="shared" si="55"/>
        <v>102218502 / 0062704858</v>
      </c>
      <c r="F1323" s="88" t="s">
        <v>210</v>
      </c>
      <c r="G1323" s="5" t="s">
        <v>381</v>
      </c>
      <c r="H1323" s="72" t="s">
        <v>4256</v>
      </c>
      <c r="I1323" s="186" t="s">
        <v>5676</v>
      </c>
      <c r="J1323" s="5" t="s">
        <v>5673</v>
      </c>
      <c r="K1323" s="5" t="str">
        <f t="shared" si="54"/>
        <v>PKA</v>
      </c>
      <c r="AC1323" s="53"/>
    </row>
    <row r="1324" spans="1:29" ht="15" customHeight="1" x14ac:dyDescent="0.25">
      <c r="A1324" s="58" t="str">
        <f t="shared" si="56"/>
        <v>XIII KA 518</v>
      </c>
      <c r="B1324" s="171">
        <f>COUNTIF(H$2:H1324,H1324)</f>
        <v>18</v>
      </c>
      <c r="C1324" s="5">
        <v>102218503</v>
      </c>
      <c r="D1324" s="5" t="s">
        <v>235</v>
      </c>
      <c r="E1324" s="5" t="str">
        <f t="shared" si="55"/>
        <v>102218503 / 0064483537</v>
      </c>
      <c r="F1324" s="88" t="s">
        <v>236</v>
      </c>
      <c r="G1324" s="5" t="s">
        <v>379</v>
      </c>
      <c r="H1324" s="72" t="s">
        <v>4256</v>
      </c>
      <c r="I1324" s="186" t="s">
        <v>5676</v>
      </c>
      <c r="J1324" s="5" t="s">
        <v>5673</v>
      </c>
      <c r="K1324" s="5" t="str">
        <f t="shared" si="54"/>
        <v>LKA</v>
      </c>
      <c r="AC1324" s="53"/>
    </row>
    <row r="1325" spans="1:29" ht="15" customHeight="1" x14ac:dyDescent="0.25">
      <c r="A1325" s="58" t="str">
        <f t="shared" si="56"/>
        <v>XIII KA 519</v>
      </c>
      <c r="B1325" s="171">
        <f>COUNTIF(H$2:H1325,H1325)</f>
        <v>19</v>
      </c>
      <c r="C1325" s="5">
        <v>102218504</v>
      </c>
      <c r="D1325" s="5" t="s">
        <v>11</v>
      </c>
      <c r="E1325" s="5" t="str">
        <f t="shared" si="55"/>
        <v>102218504 / 0071058351</v>
      </c>
      <c r="F1325" s="88" t="s">
        <v>12</v>
      </c>
      <c r="G1325" s="5" t="s">
        <v>379</v>
      </c>
      <c r="H1325" s="72" t="s">
        <v>4256</v>
      </c>
      <c r="I1325" s="186" t="s">
        <v>5676</v>
      </c>
      <c r="J1325" s="5" t="s">
        <v>5673</v>
      </c>
      <c r="K1325" s="5" t="str">
        <f t="shared" si="54"/>
        <v>LKA</v>
      </c>
      <c r="AC1325" s="53"/>
    </row>
    <row r="1326" spans="1:29" ht="15" customHeight="1" x14ac:dyDescent="0.25">
      <c r="A1326" s="58" t="str">
        <f t="shared" si="56"/>
        <v>XIII KA 520</v>
      </c>
      <c r="B1326" s="171">
        <f>COUNTIF(H$2:H1326,H1326)</f>
        <v>20</v>
      </c>
      <c r="C1326" s="5">
        <v>102218505</v>
      </c>
      <c r="D1326" s="5" t="s">
        <v>205</v>
      </c>
      <c r="E1326" s="5" t="str">
        <f t="shared" si="55"/>
        <v>102218505 / 0079164502</v>
      </c>
      <c r="F1326" s="88" t="s">
        <v>206</v>
      </c>
      <c r="G1326" s="5" t="s">
        <v>379</v>
      </c>
      <c r="H1326" s="72" t="s">
        <v>4256</v>
      </c>
      <c r="I1326" s="186" t="s">
        <v>5676</v>
      </c>
      <c r="J1326" s="5" t="s">
        <v>5673</v>
      </c>
      <c r="K1326" s="5" t="str">
        <f t="shared" si="54"/>
        <v>LKA</v>
      </c>
      <c r="AC1326" s="53"/>
    </row>
    <row r="1327" spans="1:29" ht="15" customHeight="1" x14ac:dyDescent="0.25">
      <c r="A1327" s="58" t="str">
        <f t="shared" si="56"/>
        <v>XIII KA 521</v>
      </c>
      <c r="B1327" s="171">
        <f>COUNTIF(H$2:H1327,H1327)</f>
        <v>21</v>
      </c>
      <c r="C1327" s="5">
        <v>102218506</v>
      </c>
      <c r="D1327" s="5" t="s">
        <v>203</v>
      </c>
      <c r="E1327" s="5" t="str">
        <f t="shared" si="55"/>
        <v>102218506 / 0074325427</v>
      </c>
      <c r="F1327" s="88" t="s">
        <v>204</v>
      </c>
      <c r="G1327" s="5" t="s">
        <v>381</v>
      </c>
      <c r="H1327" s="72" t="s">
        <v>4256</v>
      </c>
      <c r="I1327" s="186" t="s">
        <v>5676</v>
      </c>
      <c r="J1327" s="5" t="s">
        <v>5673</v>
      </c>
      <c r="K1327" s="5" t="str">
        <f t="shared" si="54"/>
        <v>PKA</v>
      </c>
      <c r="AC1327" s="53"/>
    </row>
    <row r="1328" spans="1:29" ht="15" customHeight="1" x14ac:dyDescent="0.25">
      <c r="A1328" s="58" t="str">
        <f t="shared" si="56"/>
        <v>XIII KA 522</v>
      </c>
      <c r="B1328" s="171">
        <f>COUNTIF(H$2:H1328,H1328)</f>
        <v>22</v>
      </c>
      <c r="C1328" s="5">
        <v>102218507</v>
      </c>
      <c r="D1328" s="5" t="s">
        <v>207</v>
      </c>
      <c r="E1328" s="5" t="str">
        <f t="shared" si="55"/>
        <v>102218507 / 0079193845</v>
      </c>
      <c r="F1328" s="88" t="s">
        <v>208</v>
      </c>
      <c r="G1328" s="5" t="s">
        <v>381</v>
      </c>
      <c r="H1328" s="72" t="s">
        <v>4256</v>
      </c>
      <c r="I1328" s="186" t="s">
        <v>5676</v>
      </c>
      <c r="J1328" s="5" t="s">
        <v>5673</v>
      </c>
      <c r="K1328" s="5" t="str">
        <f t="shared" si="54"/>
        <v>PKA</v>
      </c>
      <c r="AC1328" s="53"/>
    </row>
    <row r="1329" spans="1:29" ht="15" customHeight="1" x14ac:dyDescent="0.25">
      <c r="A1329" s="58" t="str">
        <f t="shared" si="56"/>
        <v>XIII KA 523</v>
      </c>
      <c r="B1329" s="171">
        <f>COUNTIF(H$2:H1329,H1329)</f>
        <v>23</v>
      </c>
      <c r="C1329" s="5">
        <v>102218508</v>
      </c>
      <c r="D1329" s="5" t="s">
        <v>7</v>
      </c>
      <c r="E1329" s="5" t="str">
        <f t="shared" si="55"/>
        <v>102218508 / 0079857627</v>
      </c>
      <c r="F1329" s="88" t="s">
        <v>8</v>
      </c>
      <c r="G1329" s="5" t="s">
        <v>381</v>
      </c>
      <c r="H1329" s="72" t="s">
        <v>4256</v>
      </c>
      <c r="I1329" s="186" t="s">
        <v>5676</v>
      </c>
      <c r="J1329" s="5" t="s">
        <v>5673</v>
      </c>
      <c r="K1329" s="5" t="str">
        <f t="shared" si="54"/>
        <v>PKA</v>
      </c>
      <c r="AC1329" s="53"/>
    </row>
    <row r="1330" spans="1:29" ht="15" customHeight="1" x14ac:dyDescent="0.25">
      <c r="A1330" s="58" t="str">
        <f t="shared" si="56"/>
        <v>XIII KA 524</v>
      </c>
      <c r="B1330" s="171">
        <f>COUNTIF(H$2:H1330,H1330)</f>
        <v>24</v>
      </c>
      <c r="C1330" s="5">
        <v>102218510</v>
      </c>
      <c r="D1330" s="5" t="s">
        <v>245</v>
      </c>
      <c r="E1330" s="5" t="str">
        <f t="shared" si="55"/>
        <v>102218510 / 3060891765</v>
      </c>
      <c r="F1330" s="88" t="s">
        <v>246</v>
      </c>
      <c r="G1330" s="5" t="s">
        <v>379</v>
      </c>
      <c r="H1330" s="72" t="s">
        <v>4256</v>
      </c>
      <c r="I1330" s="186" t="s">
        <v>5676</v>
      </c>
      <c r="J1330" s="5" t="s">
        <v>5673</v>
      </c>
      <c r="K1330" s="5" t="str">
        <f t="shared" si="54"/>
        <v>LKA</v>
      </c>
      <c r="AC1330" s="53"/>
    </row>
    <row r="1331" spans="1:29" ht="15" customHeight="1" x14ac:dyDescent="0.25">
      <c r="A1331" s="58" t="str">
        <f t="shared" si="56"/>
        <v>XIII KA 525</v>
      </c>
      <c r="B1331" s="171">
        <f>COUNTIF(H$2:H1331,H1331)</f>
        <v>25</v>
      </c>
      <c r="C1331" s="5">
        <v>102218511</v>
      </c>
      <c r="D1331" s="5" t="s">
        <v>229</v>
      </c>
      <c r="E1331" s="5" t="str">
        <f t="shared" si="55"/>
        <v>102218511 / 0061677527</v>
      </c>
      <c r="F1331" s="88" t="s">
        <v>230</v>
      </c>
      <c r="G1331" s="5" t="s">
        <v>379</v>
      </c>
      <c r="H1331" s="72" t="s">
        <v>4256</v>
      </c>
      <c r="I1331" s="186" t="s">
        <v>5676</v>
      </c>
      <c r="J1331" s="5" t="s">
        <v>5673</v>
      </c>
      <c r="K1331" s="5" t="str">
        <f t="shared" si="54"/>
        <v>LKA</v>
      </c>
      <c r="AC1331" s="53"/>
    </row>
    <row r="1332" spans="1:29" ht="15" customHeight="1" x14ac:dyDescent="0.25">
      <c r="A1332" s="58" t="str">
        <f t="shared" si="56"/>
        <v>XIII KA 526</v>
      </c>
      <c r="B1332" s="171">
        <f>COUNTIF(H$2:H1332,H1332)</f>
        <v>26</v>
      </c>
      <c r="C1332" s="5">
        <v>102218512</v>
      </c>
      <c r="D1332" s="5" t="s">
        <v>5</v>
      </c>
      <c r="E1332" s="5" t="str">
        <f t="shared" si="55"/>
        <v>102218512 / 0138310660</v>
      </c>
      <c r="F1332" s="88" t="s">
        <v>6</v>
      </c>
      <c r="G1332" s="5" t="s">
        <v>379</v>
      </c>
      <c r="H1332" s="72" t="s">
        <v>4256</v>
      </c>
      <c r="I1332" s="186" t="s">
        <v>5676</v>
      </c>
      <c r="J1332" s="5" t="s">
        <v>5673</v>
      </c>
      <c r="K1332" s="5" t="str">
        <f t="shared" si="54"/>
        <v>LKA</v>
      </c>
      <c r="AC1332" s="53"/>
    </row>
    <row r="1333" spans="1:29" ht="15" customHeight="1" x14ac:dyDescent="0.25">
      <c r="A1333" s="58" t="str">
        <f t="shared" si="56"/>
        <v>XIII KA 527</v>
      </c>
      <c r="B1333" s="171">
        <f>COUNTIF(H$2:H1333,H1333)</f>
        <v>27</v>
      </c>
      <c r="C1333" s="5">
        <v>102218513</v>
      </c>
      <c r="D1333" s="5" t="s">
        <v>17</v>
      </c>
      <c r="E1333" s="5" t="str">
        <f t="shared" si="55"/>
        <v>102218513 / 0078692304</v>
      </c>
      <c r="F1333" s="88" t="s">
        <v>18</v>
      </c>
      <c r="G1333" s="5" t="s">
        <v>381</v>
      </c>
      <c r="H1333" s="72" t="s">
        <v>4256</v>
      </c>
      <c r="I1333" s="186" t="s">
        <v>5676</v>
      </c>
      <c r="J1333" s="5" t="s">
        <v>5673</v>
      </c>
      <c r="K1333" s="5" t="str">
        <f t="shared" si="54"/>
        <v>PKA</v>
      </c>
      <c r="AC1333" s="53"/>
    </row>
    <row r="1334" spans="1:29" ht="15" customHeight="1" x14ac:dyDescent="0.25">
      <c r="A1334" s="58" t="str">
        <f t="shared" si="56"/>
        <v>XIII KA 528</v>
      </c>
      <c r="B1334" s="171">
        <f>COUNTIF(H$2:H1334,H1334)</f>
        <v>28</v>
      </c>
      <c r="C1334" s="5">
        <v>102218514</v>
      </c>
      <c r="D1334" s="5" t="s">
        <v>221</v>
      </c>
      <c r="E1334" s="5" t="str">
        <f t="shared" si="55"/>
        <v>102218514 / 0066628629</v>
      </c>
      <c r="F1334" s="88" t="s">
        <v>222</v>
      </c>
      <c r="G1334" s="5" t="s">
        <v>381</v>
      </c>
      <c r="H1334" s="72" t="s">
        <v>4256</v>
      </c>
      <c r="I1334" s="186" t="s">
        <v>5676</v>
      </c>
      <c r="J1334" s="5" t="s">
        <v>5673</v>
      </c>
      <c r="K1334" s="5" t="str">
        <f t="shared" si="54"/>
        <v>PKA</v>
      </c>
      <c r="AC1334" s="53"/>
    </row>
    <row r="1335" spans="1:29" ht="15" customHeight="1" x14ac:dyDescent="0.25">
      <c r="A1335" s="58" t="str">
        <f t="shared" si="56"/>
        <v>XIII KA 529</v>
      </c>
      <c r="B1335" s="171">
        <f>COUNTIF(H$2:H1335,H1335)</f>
        <v>29</v>
      </c>
      <c r="C1335" s="5">
        <v>102218515</v>
      </c>
      <c r="D1335" s="5" t="s">
        <v>225</v>
      </c>
      <c r="E1335" s="5" t="str">
        <f t="shared" si="55"/>
        <v>102218515 / 0073496608</v>
      </c>
      <c r="F1335" s="88" t="s">
        <v>226</v>
      </c>
      <c r="G1335" s="5" t="s">
        <v>381</v>
      </c>
      <c r="H1335" s="72" t="s">
        <v>4256</v>
      </c>
      <c r="I1335" s="186" t="s">
        <v>5676</v>
      </c>
      <c r="J1335" s="5" t="s">
        <v>5673</v>
      </c>
      <c r="K1335" s="5" t="str">
        <f t="shared" si="54"/>
        <v>PKA</v>
      </c>
      <c r="AC1335" s="53"/>
    </row>
    <row r="1336" spans="1:29" ht="15" customHeight="1" x14ac:dyDescent="0.25">
      <c r="A1336" s="58" t="str">
        <f t="shared" si="56"/>
        <v>XIII KA 530</v>
      </c>
      <c r="B1336" s="171">
        <f>COUNTIF(H$2:H1336,H1336)</f>
        <v>30</v>
      </c>
      <c r="C1336" s="5">
        <v>102218516</v>
      </c>
      <c r="D1336" s="5" t="s">
        <v>197</v>
      </c>
      <c r="E1336" s="5" t="str">
        <f t="shared" si="55"/>
        <v>102218516 / 0065021576</v>
      </c>
      <c r="F1336" s="88" t="s">
        <v>198</v>
      </c>
      <c r="G1336" s="5" t="s">
        <v>381</v>
      </c>
      <c r="H1336" s="72" t="s">
        <v>4256</v>
      </c>
      <c r="I1336" s="186" t="s">
        <v>5676</v>
      </c>
      <c r="J1336" s="5" t="s">
        <v>5673</v>
      </c>
      <c r="K1336" s="5" t="str">
        <f t="shared" si="54"/>
        <v>PKA</v>
      </c>
      <c r="AC1336" s="53"/>
    </row>
    <row r="1337" spans="1:29" ht="15" customHeight="1" x14ac:dyDescent="0.25">
      <c r="A1337" s="58" t="str">
        <f t="shared" si="56"/>
        <v>XIII KA 531</v>
      </c>
      <c r="B1337" s="171">
        <f>COUNTIF(H$2:H1337,H1337)</f>
        <v>31</v>
      </c>
      <c r="C1337" s="5">
        <v>102218517</v>
      </c>
      <c r="D1337" s="5" t="s">
        <v>140</v>
      </c>
      <c r="E1337" s="5" t="str">
        <f t="shared" si="55"/>
        <v>102218517 / 0074475247</v>
      </c>
      <c r="F1337" s="88" t="s">
        <v>141</v>
      </c>
      <c r="G1337" s="5" t="s">
        <v>381</v>
      </c>
      <c r="H1337" s="72" t="s">
        <v>4256</v>
      </c>
      <c r="I1337" s="186" t="s">
        <v>5676</v>
      </c>
      <c r="J1337" s="5" t="s">
        <v>5673</v>
      </c>
      <c r="K1337" s="5" t="str">
        <f t="shared" si="54"/>
        <v>PKA</v>
      </c>
      <c r="AC1337" s="53"/>
    </row>
    <row r="1338" spans="1:29" ht="15" customHeight="1" x14ac:dyDescent="0.25">
      <c r="A1338" s="58" t="str">
        <f t="shared" si="56"/>
        <v>XIII KA 532</v>
      </c>
      <c r="B1338" s="171">
        <f>COUNTIF(H$2:H1338,H1338)</f>
        <v>32</v>
      </c>
      <c r="C1338" s="5">
        <v>102218518</v>
      </c>
      <c r="D1338" s="5" t="s">
        <v>223</v>
      </c>
      <c r="E1338" s="5" t="str">
        <f t="shared" si="55"/>
        <v>102218518 / 0065323973</v>
      </c>
      <c r="F1338" s="88" t="s">
        <v>224</v>
      </c>
      <c r="G1338" s="5" t="s">
        <v>381</v>
      </c>
      <c r="H1338" s="72" t="s">
        <v>4256</v>
      </c>
      <c r="I1338" s="186" t="s">
        <v>5676</v>
      </c>
      <c r="J1338" s="5" t="s">
        <v>5673</v>
      </c>
      <c r="K1338" s="5" t="str">
        <f t="shared" si="54"/>
        <v>PKA</v>
      </c>
      <c r="AC1338" s="53"/>
    </row>
    <row r="1339" spans="1:29" ht="15" customHeight="1" x14ac:dyDescent="0.25">
      <c r="A1339" s="58" t="str">
        <f t="shared" si="56"/>
        <v>XIII KA 533</v>
      </c>
      <c r="B1339" s="171">
        <f>COUNTIF(H$2:H1339,H1339)</f>
        <v>33</v>
      </c>
      <c r="C1339" s="5">
        <v>102218519</v>
      </c>
      <c r="D1339" s="5" t="s">
        <v>319</v>
      </c>
      <c r="E1339" s="5" t="str">
        <f t="shared" si="55"/>
        <v>102218519 / 0066282150</v>
      </c>
      <c r="F1339" s="88" t="s">
        <v>320</v>
      </c>
      <c r="G1339" s="5" t="s">
        <v>379</v>
      </c>
      <c r="H1339" s="72" t="s">
        <v>4256</v>
      </c>
      <c r="I1339" s="186" t="s">
        <v>5676</v>
      </c>
      <c r="J1339" s="5" t="s">
        <v>5673</v>
      </c>
      <c r="K1339" s="5" t="str">
        <f t="shared" si="54"/>
        <v>LKA</v>
      </c>
      <c r="AC1339" s="53"/>
    </row>
    <row r="1340" spans="1:29" ht="15" customHeight="1" x14ac:dyDescent="0.25">
      <c r="A1340" s="58" t="str">
        <f t="shared" si="56"/>
        <v>XIII KA 534</v>
      </c>
      <c r="B1340" s="171">
        <f>COUNTIF(H$2:H1340,H1340)</f>
        <v>34</v>
      </c>
      <c r="C1340" s="5">
        <v>102218520</v>
      </c>
      <c r="D1340" s="5" t="s">
        <v>187</v>
      </c>
      <c r="E1340" s="5" t="str">
        <f t="shared" si="55"/>
        <v>102218520 / 0065034436</v>
      </c>
      <c r="F1340" s="88" t="s">
        <v>188</v>
      </c>
      <c r="G1340" s="5" t="s">
        <v>381</v>
      </c>
      <c r="H1340" s="72" t="s">
        <v>4256</v>
      </c>
      <c r="I1340" s="186" t="s">
        <v>5676</v>
      </c>
      <c r="J1340" s="5" t="s">
        <v>5673</v>
      </c>
      <c r="K1340" s="5" t="str">
        <f t="shared" si="54"/>
        <v>PKA</v>
      </c>
      <c r="AC1340" s="53"/>
    </row>
    <row r="1341" spans="1:29" ht="15" customHeight="1" x14ac:dyDescent="0.25">
      <c r="A1341" s="58" t="str">
        <f t="shared" si="56"/>
        <v>XIII KA 535</v>
      </c>
      <c r="B1341" s="171">
        <f>COUNTIF(H$2:H1341,H1341)</f>
        <v>35</v>
      </c>
      <c r="C1341" s="5">
        <v>102218521</v>
      </c>
      <c r="D1341" s="5" t="s">
        <v>199</v>
      </c>
      <c r="E1341" s="5" t="str">
        <f t="shared" si="55"/>
        <v>102218521 / 0071890217</v>
      </c>
      <c r="F1341" s="88" t="s">
        <v>200</v>
      </c>
      <c r="G1341" s="5" t="s">
        <v>381</v>
      </c>
      <c r="H1341" s="72" t="s">
        <v>4256</v>
      </c>
      <c r="I1341" s="186" t="s">
        <v>5676</v>
      </c>
      <c r="J1341" s="5" t="s">
        <v>5673</v>
      </c>
      <c r="K1341" s="5" t="str">
        <f t="shared" si="54"/>
        <v>PKA</v>
      </c>
      <c r="AC1341" s="53"/>
    </row>
    <row r="1342" spans="1:29" ht="15" customHeight="1" x14ac:dyDescent="0.25">
      <c r="A1342" s="58" t="str">
        <f t="shared" si="56"/>
        <v>XIII KA 61</v>
      </c>
      <c r="B1342" s="171">
        <f>COUNTIF(H$2:H1342,H1342)</f>
        <v>1</v>
      </c>
      <c r="C1342" s="5">
        <v>102218522</v>
      </c>
      <c r="D1342" s="5" t="s">
        <v>273</v>
      </c>
      <c r="E1342" s="5" t="str">
        <f t="shared" si="55"/>
        <v>102218522 / 0099410961</v>
      </c>
      <c r="F1342" s="88" t="s">
        <v>274</v>
      </c>
      <c r="G1342" s="5" t="s">
        <v>379</v>
      </c>
      <c r="H1342" s="72" t="s">
        <v>4257</v>
      </c>
      <c r="I1342" s="186" t="s">
        <v>5676</v>
      </c>
      <c r="J1342" s="5" t="s">
        <v>5673</v>
      </c>
      <c r="K1342" s="5" t="str">
        <f t="shared" si="54"/>
        <v>LKA</v>
      </c>
      <c r="AC1342" s="53"/>
    </row>
    <row r="1343" spans="1:29" ht="15" customHeight="1" x14ac:dyDescent="0.25">
      <c r="A1343" s="58" t="str">
        <f t="shared" si="56"/>
        <v>XIII KA 62</v>
      </c>
      <c r="B1343" s="171">
        <f>COUNTIF(H$2:H1343,H1343)</f>
        <v>2</v>
      </c>
      <c r="C1343" s="5">
        <v>102218523</v>
      </c>
      <c r="D1343" s="5" t="s">
        <v>134</v>
      </c>
      <c r="E1343" s="5" t="str">
        <f t="shared" si="55"/>
        <v>102218523 / 0064628494</v>
      </c>
      <c r="F1343" s="88" t="s">
        <v>135</v>
      </c>
      <c r="G1343" s="5" t="s">
        <v>379</v>
      </c>
      <c r="H1343" s="72" t="s">
        <v>4257</v>
      </c>
      <c r="I1343" s="186" t="s">
        <v>5676</v>
      </c>
      <c r="J1343" s="5" t="s">
        <v>5673</v>
      </c>
      <c r="K1343" s="5" t="str">
        <f t="shared" si="54"/>
        <v>LKA</v>
      </c>
      <c r="AC1343" s="53"/>
    </row>
    <row r="1344" spans="1:29" ht="15" customHeight="1" x14ac:dyDescent="0.25">
      <c r="A1344" s="58" t="str">
        <f t="shared" si="56"/>
        <v>XIII KA 63</v>
      </c>
      <c r="B1344" s="171">
        <f>COUNTIF(H$2:H1344,H1344)</f>
        <v>3</v>
      </c>
      <c r="C1344" s="5">
        <v>102218524</v>
      </c>
      <c r="D1344" s="5" t="s">
        <v>27</v>
      </c>
      <c r="E1344" s="5" t="str">
        <f t="shared" si="55"/>
        <v>102218524 / 0069126912</v>
      </c>
      <c r="F1344" s="88" t="s">
        <v>28</v>
      </c>
      <c r="G1344" s="5" t="s">
        <v>379</v>
      </c>
      <c r="H1344" s="72" t="s">
        <v>4257</v>
      </c>
      <c r="I1344" s="186" t="s">
        <v>5676</v>
      </c>
      <c r="J1344" s="5" t="s">
        <v>5673</v>
      </c>
      <c r="K1344" s="5" t="str">
        <f t="shared" si="54"/>
        <v>LKA</v>
      </c>
      <c r="AC1344" s="53"/>
    </row>
    <row r="1345" spans="1:29" ht="15" customHeight="1" x14ac:dyDescent="0.25">
      <c r="A1345" s="58" t="str">
        <f t="shared" si="56"/>
        <v>XIII KA 64</v>
      </c>
      <c r="B1345" s="171">
        <f>COUNTIF(H$2:H1345,H1345)</f>
        <v>4</v>
      </c>
      <c r="C1345" s="5">
        <v>102218525</v>
      </c>
      <c r="D1345" s="5" t="s">
        <v>241</v>
      </c>
      <c r="E1345" s="5" t="str">
        <f t="shared" si="55"/>
        <v>102218525 / 0069525851</v>
      </c>
      <c r="F1345" s="88" t="s">
        <v>242</v>
      </c>
      <c r="G1345" s="5" t="s">
        <v>381</v>
      </c>
      <c r="H1345" s="72" t="s">
        <v>4257</v>
      </c>
      <c r="I1345" s="186" t="s">
        <v>5676</v>
      </c>
      <c r="J1345" s="5" t="s">
        <v>5673</v>
      </c>
      <c r="K1345" s="5" t="str">
        <f t="shared" si="54"/>
        <v>PKA</v>
      </c>
      <c r="AC1345" s="53"/>
    </row>
    <row r="1346" spans="1:29" ht="15" customHeight="1" x14ac:dyDescent="0.25">
      <c r="A1346" s="58" t="str">
        <f t="shared" si="56"/>
        <v>XIII KA 65</v>
      </c>
      <c r="B1346" s="171">
        <f>COUNTIF(H$2:H1346,H1346)</f>
        <v>5</v>
      </c>
      <c r="C1346" s="5">
        <v>102218526</v>
      </c>
      <c r="D1346" s="5" t="s">
        <v>116</v>
      </c>
      <c r="E1346" s="5" t="str">
        <f t="shared" si="55"/>
        <v>102218526 / 0078835029</v>
      </c>
      <c r="F1346" s="88" t="s">
        <v>117</v>
      </c>
      <c r="G1346" s="5" t="s">
        <v>379</v>
      </c>
      <c r="H1346" s="72" t="s">
        <v>4257</v>
      </c>
      <c r="I1346" s="186" t="s">
        <v>5676</v>
      </c>
      <c r="J1346" s="5" t="s">
        <v>5673</v>
      </c>
      <c r="K1346" s="5" t="str">
        <f t="shared" si="54"/>
        <v>LKA</v>
      </c>
      <c r="AC1346" s="53"/>
    </row>
    <row r="1347" spans="1:29" ht="15" customHeight="1" x14ac:dyDescent="0.25">
      <c r="A1347" s="58" t="str">
        <f t="shared" si="56"/>
        <v>XIII KA 66</v>
      </c>
      <c r="B1347" s="171">
        <f>COUNTIF(H$2:H1347,H1347)</f>
        <v>6</v>
      </c>
      <c r="C1347" s="5">
        <v>102218527</v>
      </c>
      <c r="D1347" s="5" t="s">
        <v>281</v>
      </c>
      <c r="E1347" s="5" t="str">
        <f t="shared" si="55"/>
        <v>102218527 / 0072800119</v>
      </c>
      <c r="F1347" s="88" t="s">
        <v>282</v>
      </c>
      <c r="G1347" s="5" t="s">
        <v>381</v>
      </c>
      <c r="H1347" s="72" t="s">
        <v>4257</v>
      </c>
      <c r="I1347" s="186" t="s">
        <v>5676</v>
      </c>
      <c r="J1347" s="5" t="s">
        <v>5673</v>
      </c>
      <c r="K1347" s="5" t="str">
        <f t="shared" si="54"/>
        <v>PKA</v>
      </c>
      <c r="AC1347" s="53"/>
    </row>
    <row r="1348" spans="1:29" ht="15" customHeight="1" x14ac:dyDescent="0.25">
      <c r="A1348" s="58" t="str">
        <f t="shared" si="56"/>
        <v>XIII KA 67</v>
      </c>
      <c r="B1348" s="171">
        <f>COUNTIF(H$2:H1348,H1348)</f>
        <v>7</v>
      </c>
      <c r="C1348" s="5">
        <v>102218529</v>
      </c>
      <c r="D1348" s="5" t="s">
        <v>251</v>
      </c>
      <c r="E1348" s="5" t="str">
        <f t="shared" si="55"/>
        <v>102218529 / 0066278243</v>
      </c>
      <c r="F1348" s="88" t="s">
        <v>252</v>
      </c>
      <c r="G1348" s="5" t="s">
        <v>379</v>
      </c>
      <c r="H1348" s="72" t="s">
        <v>4257</v>
      </c>
      <c r="I1348" s="186" t="s">
        <v>5676</v>
      </c>
      <c r="J1348" s="5" t="s">
        <v>5673</v>
      </c>
      <c r="K1348" s="5" t="str">
        <f t="shared" si="54"/>
        <v>LKA</v>
      </c>
      <c r="AC1348" s="53"/>
    </row>
    <row r="1349" spans="1:29" ht="15" customHeight="1" x14ac:dyDescent="0.25">
      <c r="A1349" s="58" t="str">
        <f t="shared" si="56"/>
        <v>XIII KA 68</v>
      </c>
      <c r="B1349" s="171">
        <f>COUNTIF(H$2:H1349,H1349)</f>
        <v>8</v>
      </c>
      <c r="C1349" s="5">
        <v>102218530</v>
      </c>
      <c r="D1349" s="5" t="s">
        <v>255</v>
      </c>
      <c r="E1349" s="5" t="str">
        <f t="shared" si="55"/>
        <v>102218530 / 0067502686</v>
      </c>
      <c r="F1349" s="88" t="s">
        <v>256</v>
      </c>
      <c r="G1349" s="5" t="s">
        <v>381</v>
      </c>
      <c r="H1349" s="72" t="s">
        <v>4257</v>
      </c>
      <c r="I1349" s="186" t="s">
        <v>5676</v>
      </c>
      <c r="J1349" s="5" t="s">
        <v>5673</v>
      </c>
      <c r="K1349" s="5" t="str">
        <f t="shared" si="54"/>
        <v>PKA</v>
      </c>
      <c r="AC1349" s="53"/>
    </row>
    <row r="1350" spans="1:29" ht="15" customHeight="1" x14ac:dyDescent="0.25">
      <c r="A1350" s="58" t="str">
        <f t="shared" si="56"/>
        <v>XIII KA 69</v>
      </c>
      <c r="B1350" s="171">
        <f>COUNTIF(H$2:H1350,H1350)</f>
        <v>9</v>
      </c>
      <c r="C1350" s="5">
        <v>102218531</v>
      </c>
      <c r="D1350" s="5" t="s">
        <v>21</v>
      </c>
      <c r="E1350" s="5" t="str">
        <f t="shared" si="55"/>
        <v>102218531 / 0072910003</v>
      </c>
      <c r="F1350" s="88" t="s">
        <v>22</v>
      </c>
      <c r="G1350" s="5" t="s">
        <v>381</v>
      </c>
      <c r="H1350" s="72" t="s">
        <v>4257</v>
      </c>
      <c r="I1350" s="186" t="s">
        <v>5676</v>
      </c>
      <c r="J1350" s="5" t="s">
        <v>5673</v>
      </c>
      <c r="K1350" s="5" t="str">
        <f t="shared" si="54"/>
        <v>PKA</v>
      </c>
      <c r="AC1350" s="53"/>
    </row>
    <row r="1351" spans="1:29" ht="15" customHeight="1" x14ac:dyDescent="0.25">
      <c r="A1351" s="58" t="str">
        <f t="shared" si="56"/>
        <v>XIII KA 610</v>
      </c>
      <c r="B1351" s="171">
        <f>COUNTIF(H$2:H1351,H1351)</f>
        <v>10</v>
      </c>
      <c r="C1351" s="5">
        <v>102218532</v>
      </c>
      <c r="D1351" s="5" t="s">
        <v>299</v>
      </c>
      <c r="E1351" s="5" t="str">
        <f t="shared" si="55"/>
        <v>102218532 / 0071916580</v>
      </c>
      <c r="F1351" s="88" t="s">
        <v>300</v>
      </c>
      <c r="G1351" s="5" t="s">
        <v>379</v>
      </c>
      <c r="H1351" s="72" t="s">
        <v>4257</v>
      </c>
      <c r="I1351" s="186" t="s">
        <v>5676</v>
      </c>
      <c r="J1351" s="5" t="s">
        <v>5673</v>
      </c>
      <c r="K1351" s="5" t="str">
        <f t="shared" si="54"/>
        <v>LKA</v>
      </c>
      <c r="AC1351" s="53"/>
    </row>
    <row r="1352" spans="1:29" ht="15" customHeight="1" x14ac:dyDescent="0.25">
      <c r="A1352" s="58" t="str">
        <f t="shared" si="56"/>
        <v>XIII KA 611</v>
      </c>
      <c r="B1352" s="171">
        <f>COUNTIF(H$2:H1352,H1352)</f>
        <v>11</v>
      </c>
      <c r="C1352" s="5">
        <v>102218533</v>
      </c>
      <c r="D1352" s="5" t="s">
        <v>239</v>
      </c>
      <c r="E1352" s="5" t="str">
        <f t="shared" si="55"/>
        <v>102218533 / 0071102443</v>
      </c>
      <c r="F1352" s="88" t="s">
        <v>240</v>
      </c>
      <c r="G1352" s="5" t="s">
        <v>379</v>
      </c>
      <c r="H1352" s="72" t="s">
        <v>4257</v>
      </c>
      <c r="I1352" s="186" t="s">
        <v>5676</v>
      </c>
      <c r="J1352" s="5" t="s">
        <v>5673</v>
      </c>
      <c r="K1352" s="5" t="str">
        <f t="shared" si="54"/>
        <v>LKA</v>
      </c>
      <c r="AC1352" s="53"/>
    </row>
    <row r="1353" spans="1:29" ht="15" customHeight="1" x14ac:dyDescent="0.25">
      <c r="A1353" s="58" t="str">
        <f t="shared" si="56"/>
        <v>XIII KA 612</v>
      </c>
      <c r="B1353" s="171">
        <f>COUNTIF(H$2:H1353,H1353)</f>
        <v>12</v>
      </c>
      <c r="C1353" s="5">
        <v>102218534</v>
      </c>
      <c r="D1353" s="5" t="s">
        <v>398</v>
      </c>
      <c r="E1353" s="5" t="str">
        <f t="shared" si="55"/>
        <v>102218534 / 0078759833</v>
      </c>
      <c r="F1353" s="88" t="s">
        <v>399</v>
      </c>
      <c r="G1353" s="5" t="s">
        <v>379</v>
      </c>
      <c r="H1353" s="72" t="s">
        <v>4257</v>
      </c>
      <c r="I1353" s="186" t="s">
        <v>5676</v>
      </c>
      <c r="J1353" s="5" t="s">
        <v>5673</v>
      </c>
      <c r="K1353" s="5" t="str">
        <f t="shared" si="54"/>
        <v>LKA</v>
      </c>
      <c r="AC1353" s="53"/>
    </row>
    <row r="1354" spans="1:29" ht="15" customHeight="1" x14ac:dyDescent="0.25">
      <c r="A1354" s="58" t="str">
        <f t="shared" si="56"/>
        <v>XIII KA 613</v>
      </c>
      <c r="B1354" s="171">
        <f>COUNTIF(H$2:H1354,H1354)</f>
        <v>13</v>
      </c>
      <c r="C1354" s="5">
        <v>102218535</v>
      </c>
      <c r="D1354" s="5" t="s">
        <v>25</v>
      </c>
      <c r="E1354" s="5" t="str">
        <f t="shared" si="55"/>
        <v>102218535 / 0065279671</v>
      </c>
      <c r="F1354" s="88" t="s">
        <v>26</v>
      </c>
      <c r="G1354" s="5" t="s">
        <v>381</v>
      </c>
      <c r="H1354" s="72" t="s">
        <v>4257</v>
      </c>
      <c r="I1354" s="186" t="s">
        <v>5676</v>
      </c>
      <c r="J1354" s="5" t="s">
        <v>5673</v>
      </c>
      <c r="K1354" s="5" t="str">
        <f t="shared" si="54"/>
        <v>PKA</v>
      </c>
      <c r="AC1354" s="53"/>
    </row>
    <row r="1355" spans="1:29" ht="15" customHeight="1" x14ac:dyDescent="0.25">
      <c r="A1355" s="58" t="str">
        <f t="shared" si="56"/>
        <v>XIII KA 614</v>
      </c>
      <c r="B1355" s="171">
        <f>COUNTIF(H$2:H1355,H1355)</f>
        <v>14</v>
      </c>
      <c r="C1355" s="5">
        <v>102218536</v>
      </c>
      <c r="D1355" s="5" t="s">
        <v>15</v>
      </c>
      <c r="E1355" s="5" t="str">
        <f t="shared" si="55"/>
        <v>102218536 / 0071357365</v>
      </c>
      <c r="F1355" s="88" t="s">
        <v>16</v>
      </c>
      <c r="G1355" s="5" t="s">
        <v>381</v>
      </c>
      <c r="H1355" s="72" t="s">
        <v>4257</v>
      </c>
      <c r="I1355" s="186" t="s">
        <v>5676</v>
      </c>
      <c r="J1355" s="5" t="s">
        <v>5673</v>
      </c>
      <c r="K1355" s="5" t="str">
        <f t="shared" si="54"/>
        <v>PKA</v>
      </c>
      <c r="AC1355" s="53"/>
    </row>
    <row r="1356" spans="1:29" ht="15" customHeight="1" x14ac:dyDescent="0.25">
      <c r="A1356" s="58" t="str">
        <f t="shared" si="56"/>
        <v>XIII KA 615</v>
      </c>
      <c r="B1356" s="171">
        <f>COUNTIF(H$2:H1356,H1356)</f>
        <v>15</v>
      </c>
      <c r="C1356" s="5">
        <v>102218537</v>
      </c>
      <c r="D1356" s="5" t="s">
        <v>289</v>
      </c>
      <c r="E1356" s="5" t="str">
        <f t="shared" si="55"/>
        <v>102218537 / 0062685509</v>
      </c>
      <c r="F1356" s="88" t="s">
        <v>290</v>
      </c>
      <c r="G1356" s="5" t="s">
        <v>379</v>
      </c>
      <c r="H1356" s="72" t="s">
        <v>4257</v>
      </c>
      <c r="I1356" s="186" t="s">
        <v>5676</v>
      </c>
      <c r="J1356" s="5" t="s">
        <v>5673</v>
      </c>
      <c r="K1356" s="5" t="str">
        <f t="shared" ref="K1356:K1373" si="57">G1356&amp;J1356</f>
        <v>LKA</v>
      </c>
      <c r="AC1356" s="53"/>
    </row>
    <row r="1357" spans="1:29" ht="15" customHeight="1" x14ac:dyDescent="0.25">
      <c r="A1357" s="58" t="str">
        <f t="shared" si="56"/>
        <v>XIII KA 616</v>
      </c>
      <c r="B1357" s="171">
        <f>COUNTIF(H$2:H1357,H1357)</f>
        <v>16</v>
      </c>
      <c r="C1357" s="5">
        <v>102218538</v>
      </c>
      <c r="D1357" s="5" t="s">
        <v>285</v>
      </c>
      <c r="E1357" s="5" t="str">
        <f t="shared" si="55"/>
        <v>102218538 / 0064907481</v>
      </c>
      <c r="F1357" s="88" t="s">
        <v>286</v>
      </c>
      <c r="G1357" s="5" t="s">
        <v>381</v>
      </c>
      <c r="H1357" s="72" t="s">
        <v>4257</v>
      </c>
      <c r="I1357" s="186" t="s">
        <v>5676</v>
      </c>
      <c r="J1357" s="5" t="s">
        <v>5673</v>
      </c>
      <c r="K1357" s="5" t="str">
        <f>G1357&amp;J1357</f>
        <v>PKA</v>
      </c>
      <c r="AC1357" s="53"/>
    </row>
    <row r="1358" spans="1:29" ht="15" customHeight="1" x14ac:dyDescent="0.25">
      <c r="A1358" s="58" t="str">
        <f t="shared" si="56"/>
        <v>XIII KA 617</v>
      </c>
      <c r="B1358" s="171">
        <f>COUNTIF(H$2:H1358,H1358)</f>
        <v>17</v>
      </c>
      <c r="C1358" s="5">
        <v>102218539</v>
      </c>
      <c r="D1358" s="5" t="s">
        <v>261</v>
      </c>
      <c r="E1358" s="5" t="str">
        <f t="shared" si="55"/>
        <v>102218539 / 0062440664</v>
      </c>
      <c r="F1358" s="88" t="s">
        <v>262</v>
      </c>
      <c r="G1358" s="5" t="s">
        <v>379</v>
      </c>
      <c r="H1358" s="72" t="s">
        <v>4257</v>
      </c>
      <c r="I1358" s="186" t="s">
        <v>5676</v>
      </c>
      <c r="J1358" s="5" t="s">
        <v>5673</v>
      </c>
      <c r="K1358" s="5" t="str">
        <f t="shared" si="57"/>
        <v>LKA</v>
      </c>
      <c r="AC1358" s="53"/>
    </row>
    <row r="1359" spans="1:29" ht="15" customHeight="1" x14ac:dyDescent="0.25">
      <c r="A1359" s="58" t="str">
        <f t="shared" si="56"/>
        <v>XIII KA 618</v>
      </c>
      <c r="B1359" s="171">
        <f>COUNTIF(H$2:H1359,H1359)</f>
        <v>18</v>
      </c>
      <c r="C1359" s="5">
        <v>102218540</v>
      </c>
      <c r="D1359" s="5" t="s">
        <v>243</v>
      </c>
      <c r="E1359" s="5" t="str">
        <f t="shared" si="55"/>
        <v>102218540 / 0071320562</v>
      </c>
      <c r="F1359" s="88" t="s">
        <v>244</v>
      </c>
      <c r="G1359" s="5" t="s">
        <v>381</v>
      </c>
      <c r="H1359" s="72" t="s">
        <v>4257</v>
      </c>
      <c r="I1359" s="186" t="s">
        <v>5676</v>
      </c>
      <c r="J1359" s="5" t="s">
        <v>5673</v>
      </c>
      <c r="K1359" s="5" t="str">
        <f t="shared" si="57"/>
        <v>PKA</v>
      </c>
      <c r="AC1359" s="53"/>
    </row>
    <row r="1360" spans="1:29" ht="15" customHeight="1" x14ac:dyDescent="0.25">
      <c r="A1360" s="58" t="str">
        <f t="shared" si="56"/>
        <v>XIII KA 619</v>
      </c>
      <c r="B1360" s="171">
        <f>COUNTIF(H$2:H1360,H1360)</f>
        <v>19</v>
      </c>
      <c r="C1360" s="5">
        <v>102218541</v>
      </c>
      <c r="D1360" s="5" t="s">
        <v>23</v>
      </c>
      <c r="E1360" s="5" t="str">
        <f t="shared" si="55"/>
        <v>102218541 / 0074288136</v>
      </c>
      <c r="F1360" s="88" t="s">
        <v>24</v>
      </c>
      <c r="G1360" s="5" t="s">
        <v>381</v>
      </c>
      <c r="H1360" s="72" t="s">
        <v>4257</v>
      </c>
      <c r="I1360" s="186" t="s">
        <v>5676</v>
      </c>
      <c r="J1360" s="5" t="s">
        <v>5673</v>
      </c>
      <c r="K1360" s="5" t="str">
        <f t="shared" si="57"/>
        <v>PKA</v>
      </c>
      <c r="AC1360" s="53"/>
    </row>
    <row r="1361" spans="1:29" ht="15" customHeight="1" x14ac:dyDescent="0.25">
      <c r="A1361" s="58" t="str">
        <f t="shared" si="56"/>
        <v>XIII KA 620</v>
      </c>
      <c r="B1361" s="171">
        <f>COUNTIF(H$2:H1361,H1361)</f>
        <v>20</v>
      </c>
      <c r="C1361" s="5">
        <v>102218543</v>
      </c>
      <c r="D1361" s="5" t="s">
        <v>253</v>
      </c>
      <c r="E1361" s="5" t="str">
        <f t="shared" si="55"/>
        <v>102218543 / 0074908142</v>
      </c>
      <c r="F1361" s="88" t="s">
        <v>254</v>
      </c>
      <c r="G1361" s="5" t="s">
        <v>381</v>
      </c>
      <c r="H1361" s="72" t="s">
        <v>4257</v>
      </c>
      <c r="I1361" s="186" t="s">
        <v>5676</v>
      </c>
      <c r="J1361" s="5" t="s">
        <v>5673</v>
      </c>
      <c r="K1361" s="5" t="str">
        <f t="shared" si="57"/>
        <v>PKA</v>
      </c>
      <c r="AC1361" s="53"/>
    </row>
    <row r="1362" spans="1:29" ht="15" customHeight="1" x14ac:dyDescent="0.25">
      <c r="A1362" s="58" t="str">
        <f t="shared" si="56"/>
        <v>XIII KA 621</v>
      </c>
      <c r="B1362" s="171">
        <f>COUNTIF(H$2:H1362,H1362)</f>
        <v>21</v>
      </c>
      <c r="C1362" s="5">
        <v>102218544</v>
      </c>
      <c r="D1362" s="5" t="s">
        <v>231</v>
      </c>
      <c r="E1362" s="5" t="str">
        <f t="shared" si="55"/>
        <v>102218544 / 0069314423</v>
      </c>
      <c r="F1362" s="88" t="s">
        <v>232</v>
      </c>
      <c r="G1362" s="5" t="s">
        <v>379</v>
      </c>
      <c r="H1362" s="72" t="s">
        <v>4257</v>
      </c>
      <c r="I1362" s="186" t="s">
        <v>5676</v>
      </c>
      <c r="J1362" s="5" t="s">
        <v>5673</v>
      </c>
      <c r="K1362" s="5" t="str">
        <f t="shared" si="57"/>
        <v>LKA</v>
      </c>
      <c r="AC1362" s="53"/>
    </row>
    <row r="1363" spans="1:29" ht="15" customHeight="1" x14ac:dyDescent="0.25">
      <c r="A1363" s="58" t="str">
        <f t="shared" si="56"/>
        <v>XIII KA 622</v>
      </c>
      <c r="B1363" s="171">
        <f>COUNTIF(H$2:H1363,H1363)</f>
        <v>22</v>
      </c>
      <c r="C1363" s="5">
        <v>102218545</v>
      </c>
      <c r="D1363" s="5" t="s">
        <v>269</v>
      </c>
      <c r="E1363" s="5" t="str">
        <f t="shared" si="55"/>
        <v>102218545 / 0061649406</v>
      </c>
      <c r="F1363" s="88" t="s">
        <v>270</v>
      </c>
      <c r="G1363" s="5" t="s">
        <v>381</v>
      </c>
      <c r="H1363" s="72" t="s">
        <v>4257</v>
      </c>
      <c r="I1363" s="186" t="s">
        <v>5676</v>
      </c>
      <c r="J1363" s="5" t="s">
        <v>5673</v>
      </c>
      <c r="K1363" s="5" t="str">
        <f t="shared" si="57"/>
        <v>PKA</v>
      </c>
      <c r="AC1363" s="53"/>
    </row>
    <row r="1364" spans="1:29" ht="15" customHeight="1" x14ac:dyDescent="0.25">
      <c r="A1364" s="58" t="str">
        <f t="shared" si="56"/>
        <v>XIII KA 623</v>
      </c>
      <c r="B1364" s="171">
        <f>COUNTIF(H$2:H1364,H1364)</f>
        <v>23</v>
      </c>
      <c r="C1364" s="5">
        <v>102218546</v>
      </c>
      <c r="D1364" s="5" t="s">
        <v>263</v>
      </c>
      <c r="E1364" s="5" t="str">
        <f t="shared" si="55"/>
        <v>102218546 / 0071900542</v>
      </c>
      <c r="F1364" s="88" t="s">
        <v>264</v>
      </c>
      <c r="G1364" s="5" t="s">
        <v>379</v>
      </c>
      <c r="H1364" s="72" t="s">
        <v>4257</v>
      </c>
      <c r="I1364" s="186" t="s">
        <v>5676</v>
      </c>
      <c r="J1364" s="5" t="s">
        <v>5673</v>
      </c>
      <c r="K1364" s="5" t="str">
        <f t="shared" si="57"/>
        <v>LKA</v>
      </c>
      <c r="AC1364" s="53"/>
    </row>
    <row r="1365" spans="1:29" ht="15" customHeight="1" x14ac:dyDescent="0.25">
      <c r="A1365" s="58" t="str">
        <f t="shared" si="56"/>
        <v>XIII KA 624</v>
      </c>
      <c r="B1365" s="171">
        <f>COUNTIF(H$2:H1365,H1365)</f>
        <v>24</v>
      </c>
      <c r="C1365" s="5">
        <v>102218549</v>
      </c>
      <c r="D1365" s="5" t="s">
        <v>19</v>
      </c>
      <c r="E1365" s="5" t="str">
        <f t="shared" si="55"/>
        <v>102218549 / 0069590294</v>
      </c>
      <c r="F1365" s="88" t="s">
        <v>20</v>
      </c>
      <c r="G1365" s="5" t="s">
        <v>381</v>
      </c>
      <c r="H1365" s="72" t="s">
        <v>4257</v>
      </c>
      <c r="I1365" s="186" t="s">
        <v>5676</v>
      </c>
      <c r="J1365" s="5" t="s">
        <v>5673</v>
      </c>
      <c r="K1365" s="5" t="str">
        <f t="shared" si="57"/>
        <v>PKA</v>
      </c>
      <c r="AC1365" s="53"/>
    </row>
    <row r="1366" spans="1:29" ht="15" customHeight="1" x14ac:dyDescent="0.25">
      <c r="A1366" s="58" t="str">
        <f t="shared" si="56"/>
        <v>XIII KA 625</v>
      </c>
      <c r="B1366" s="171">
        <f>COUNTIF(H$2:H1366,H1366)</f>
        <v>25</v>
      </c>
      <c r="C1366" s="5">
        <v>102218550</v>
      </c>
      <c r="D1366" s="5" t="s">
        <v>35</v>
      </c>
      <c r="E1366" s="5" t="str">
        <f t="shared" si="55"/>
        <v>102218550 / 0062528618</v>
      </c>
      <c r="F1366" s="88" t="s">
        <v>36</v>
      </c>
      <c r="G1366" s="5" t="s">
        <v>381</v>
      </c>
      <c r="H1366" s="72" t="s">
        <v>4257</v>
      </c>
      <c r="I1366" s="186" t="s">
        <v>5676</v>
      </c>
      <c r="J1366" s="5" t="s">
        <v>5673</v>
      </c>
      <c r="K1366" s="5" t="str">
        <f t="shared" si="57"/>
        <v>PKA</v>
      </c>
      <c r="AC1366" s="53"/>
    </row>
    <row r="1367" spans="1:29" ht="15" customHeight="1" x14ac:dyDescent="0.25">
      <c r="A1367" s="58" t="str">
        <f t="shared" si="56"/>
        <v>XIII KA 626</v>
      </c>
      <c r="B1367" s="171">
        <f>COUNTIF(H$2:H1367,H1367)</f>
        <v>26</v>
      </c>
      <c r="C1367" s="5">
        <v>102218551</v>
      </c>
      <c r="D1367" s="5" t="s">
        <v>13</v>
      </c>
      <c r="E1367" s="5" t="str">
        <f t="shared" si="55"/>
        <v>102218551 / 0077467461</v>
      </c>
      <c r="F1367" s="88" t="s">
        <v>14</v>
      </c>
      <c r="G1367" s="5" t="s">
        <v>381</v>
      </c>
      <c r="H1367" s="72" t="s">
        <v>4257</v>
      </c>
      <c r="I1367" s="186" t="s">
        <v>5676</v>
      </c>
      <c r="J1367" s="5" t="s">
        <v>5673</v>
      </c>
      <c r="K1367" s="5" t="str">
        <f t="shared" si="57"/>
        <v>PKA</v>
      </c>
      <c r="AC1367" s="53"/>
    </row>
    <row r="1368" spans="1:29" ht="15" customHeight="1" x14ac:dyDescent="0.25">
      <c r="A1368" s="58" t="str">
        <f t="shared" si="56"/>
        <v>XIII KA 627</v>
      </c>
      <c r="B1368" s="171">
        <f>COUNTIF(H$2:H1368,H1368)</f>
        <v>27</v>
      </c>
      <c r="C1368" s="5">
        <v>102218552</v>
      </c>
      <c r="D1368" s="5" t="s">
        <v>259</v>
      </c>
      <c r="E1368" s="5" t="str">
        <f t="shared" si="55"/>
        <v>102218552 / 0069224230</v>
      </c>
      <c r="F1368" s="88" t="s">
        <v>260</v>
      </c>
      <c r="G1368" s="5" t="s">
        <v>381</v>
      </c>
      <c r="H1368" s="72" t="s">
        <v>4257</v>
      </c>
      <c r="I1368" s="186" t="s">
        <v>5676</v>
      </c>
      <c r="J1368" s="5" t="s">
        <v>5673</v>
      </c>
      <c r="K1368" s="5" t="str">
        <f t="shared" si="57"/>
        <v>PKA</v>
      </c>
      <c r="AC1368" s="53"/>
    </row>
    <row r="1369" spans="1:29" ht="15" customHeight="1" x14ac:dyDescent="0.25">
      <c r="A1369" s="58" t="str">
        <f t="shared" si="56"/>
        <v>XIII KA 628</v>
      </c>
      <c r="B1369" s="171">
        <f>COUNTIF(H$2:H1369,H1369)</f>
        <v>28</v>
      </c>
      <c r="C1369" s="5">
        <v>102218553</v>
      </c>
      <c r="D1369" s="5" t="s">
        <v>297</v>
      </c>
      <c r="E1369" s="5" t="str">
        <f t="shared" si="55"/>
        <v>102218553 / 0064811473</v>
      </c>
      <c r="F1369" s="88" t="s">
        <v>298</v>
      </c>
      <c r="G1369" s="5" t="s">
        <v>381</v>
      </c>
      <c r="H1369" s="72" t="s">
        <v>4257</v>
      </c>
      <c r="I1369" s="186" t="s">
        <v>5676</v>
      </c>
      <c r="J1369" s="5" t="s">
        <v>5673</v>
      </c>
      <c r="K1369" s="5" t="str">
        <f t="shared" si="57"/>
        <v>PKA</v>
      </c>
      <c r="AC1369" s="53"/>
    </row>
    <row r="1370" spans="1:29" ht="15" customHeight="1" x14ac:dyDescent="0.25">
      <c r="A1370" s="58" t="str">
        <f t="shared" si="56"/>
        <v>XIII KA 629</v>
      </c>
      <c r="B1370" s="171">
        <f>COUNTIF(H$2:H1370,H1370)</f>
        <v>29</v>
      </c>
      <c r="C1370" s="5">
        <v>102218554</v>
      </c>
      <c r="D1370" s="5" t="s">
        <v>275</v>
      </c>
      <c r="E1370" s="5" t="str">
        <f t="shared" si="55"/>
        <v>102218554 / 0068768589</v>
      </c>
      <c r="F1370" s="88" t="s">
        <v>276</v>
      </c>
      <c r="G1370" s="5" t="s">
        <v>381</v>
      </c>
      <c r="H1370" s="72" t="s">
        <v>4257</v>
      </c>
      <c r="I1370" s="186" t="s">
        <v>5676</v>
      </c>
      <c r="J1370" s="5" t="s">
        <v>5673</v>
      </c>
      <c r="K1370" s="5" t="str">
        <f t="shared" si="57"/>
        <v>PKA</v>
      </c>
      <c r="AC1370" s="53"/>
    </row>
    <row r="1371" spans="1:29" ht="15" customHeight="1" x14ac:dyDescent="0.25">
      <c r="A1371" s="58" t="str">
        <f t="shared" si="56"/>
        <v>XIII KA 630</v>
      </c>
      <c r="B1371" s="171">
        <f>COUNTIF(H$2:H1371,H1371)</f>
        <v>30</v>
      </c>
      <c r="C1371" s="5">
        <v>102218555</v>
      </c>
      <c r="D1371" s="5" t="s">
        <v>249</v>
      </c>
      <c r="E1371" s="5" t="str">
        <f t="shared" si="55"/>
        <v>102218555 / 0061776069</v>
      </c>
      <c r="F1371" s="88" t="s">
        <v>250</v>
      </c>
      <c r="G1371" s="5" t="s">
        <v>379</v>
      </c>
      <c r="H1371" s="72" t="s">
        <v>4257</v>
      </c>
      <c r="I1371" s="186" t="s">
        <v>5676</v>
      </c>
      <c r="J1371" s="5" t="s">
        <v>5673</v>
      </c>
      <c r="K1371" s="5" t="str">
        <f t="shared" si="57"/>
        <v>LKA</v>
      </c>
      <c r="AC1371" s="53"/>
    </row>
    <row r="1372" spans="1:29" ht="15" customHeight="1" x14ac:dyDescent="0.25">
      <c r="A1372" s="58" t="str">
        <f t="shared" si="56"/>
        <v>XIII KA 631</v>
      </c>
      <c r="B1372" s="171">
        <f>COUNTIF(H$2:H1372,H1372)</f>
        <v>31</v>
      </c>
      <c r="C1372" s="5">
        <v>102218556</v>
      </c>
      <c r="D1372" s="5" t="s">
        <v>267</v>
      </c>
      <c r="E1372" s="5" t="str">
        <f t="shared" si="55"/>
        <v>102218556 / 0064543769</v>
      </c>
      <c r="F1372" s="88" t="s">
        <v>268</v>
      </c>
      <c r="G1372" s="5" t="s">
        <v>381</v>
      </c>
      <c r="H1372" s="72" t="s">
        <v>4257</v>
      </c>
      <c r="I1372" s="186" t="s">
        <v>5676</v>
      </c>
      <c r="J1372" s="5" t="s">
        <v>5673</v>
      </c>
      <c r="K1372" s="5" t="str">
        <f t="shared" si="57"/>
        <v>PKA</v>
      </c>
      <c r="AC1372" s="53"/>
    </row>
    <row r="1373" spans="1:29" ht="15" customHeight="1" x14ac:dyDescent="0.25">
      <c r="A1373" s="58" t="str">
        <f t="shared" si="56"/>
        <v>XIII KA 632</v>
      </c>
      <c r="B1373" s="171">
        <f>COUNTIF(H$2:H1373,H1373)</f>
        <v>32</v>
      </c>
      <c r="C1373" s="5">
        <v>102218557</v>
      </c>
      <c r="D1373" s="5" t="s">
        <v>247</v>
      </c>
      <c r="E1373" s="5" t="str">
        <f t="shared" si="55"/>
        <v>102218557 / 0079305753</v>
      </c>
      <c r="F1373" s="88" t="s">
        <v>248</v>
      </c>
      <c r="G1373" s="5" t="s">
        <v>381</v>
      </c>
      <c r="H1373" s="72" t="s">
        <v>4257</v>
      </c>
      <c r="I1373" s="186" t="s">
        <v>5676</v>
      </c>
      <c r="J1373" s="5" t="s">
        <v>5673</v>
      </c>
      <c r="K1373" s="5" t="str">
        <f t="shared" si="57"/>
        <v>PKA</v>
      </c>
      <c r="AC1373" s="53"/>
    </row>
    <row r="1374" spans="1:29" ht="17.100000000000001" customHeight="1" x14ac:dyDescent="0.25">
      <c r="C1374" s="234" t="s">
        <v>6377</v>
      </c>
      <c r="D1374" s="234"/>
      <c r="E1374" s="6">
        <v>1374</v>
      </c>
      <c r="F1374" s="49"/>
      <c r="G1374" s="6"/>
      <c r="H1374" s="49"/>
      <c r="I1374" s="49"/>
      <c r="J1374" s="49"/>
      <c r="K1374" s="49"/>
    </row>
    <row r="1375" spans="1:29" x14ac:dyDescent="0.25">
      <c r="F1375" s="49"/>
      <c r="G1375" s="6"/>
      <c r="H1375" s="49"/>
      <c r="I1375" s="49"/>
      <c r="J1375" s="49"/>
      <c r="K1375" s="49"/>
    </row>
    <row r="1376" spans="1:29" ht="17.100000000000001" customHeight="1" x14ac:dyDescent="0.25">
      <c r="F1376" s="49"/>
      <c r="G1376" s="6"/>
      <c r="H1376" s="49"/>
      <c r="I1376" s="49"/>
      <c r="J1376" s="49"/>
      <c r="K1376" s="49"/>
    </row>
    <row r="1377" spans="6:11" ht="23.1" customHeight="1" x14ac:dyDescent="0.25">
      <c r="F1377" s="49"/>
      <c r="G1377" s="6"/>
      <c r="H1377" s="49"/>
      <c r="I1377" s="49"/>
      <c r="J1377" s="49"/>
      <c r="K1377" s="49"/>
    </row>
    <row r="1378" spans="6:11" x14ac:dyDescent="0.25">
      <c r="F1378" s="49"/>
      <c r="G1378" s="6"/>
      <c r="H1378" s="49"/>
      <c r="I1378" s="49"/>
      <c r="J1378" s="49"/>
      <c r="K1378" s="49"/>
    </row>
    <row r="1379" spans="6:11" ht="20.100000000000001" customHeight="1" x14ac:dyDescent="0.25">
      <c r="F1379" s="49"/>
      <c r="G1379" s="6"/>
      <c r="H1379" s="49"/>
      <c r="I1379" s="49"/>
      <c r="J1379" s="49"/>
      <c r="K1379" s="49"/>
    </row>
    <row r="1380" spans="6:11" x14ac:dyDescent="0.25">
      <c r="F1380" s="49"/>
      <c r="G1380" s="6"/>
      <c r="H1380" s="49"/>
      <c r="I1380" s="49"/>
      <c r="J1380" s="49"/>
      <c r="K1380" s="49"/>
    </row>
    <row r="1381" spans="6:11" x14ac:dyDescent="0.25">
      <c r="F1381" s="49"/>
      <c r="G1381" s="6"/>
      <c r="H1381" s="49"/>
      <c r="I1381" s="49"/>
      <c r="J1381" s="49"/>
      <c r="K1381" s="49"/>
    </row>
    <row r="1382" spans="6:11" ht="18.95" customHeight="1" x14ac:dyDescent="0.25">
      <c r="F1382" s="49"/>
      <c r="G1382" s="6"/>
      <c r="H1382" s="49"/>
      <c r="I1382" s="49"/>
      <c r="J1382" s="49"/>
      <c r="K1382" s="49"/>
    </row>
    <row r="1383" spans="6:11" x14ac:dyDescent="0.25">
      <c r="F1383" s="49"/>
      <c r="G1383" s="6"/>
      <c r="H1383" s="49"/>
      <c r="I1383" s="49"/>
      <c r="J1383" s="49"/>
      <c r="K1383" s="49"/>
    </row>
    <row r="1384" spans="6:11" x14ac:dyDescent="0.25">
      <c r="F1384" s="49"/>
      <c r="G1384" s="6"/>
      <c r="H1384" s="49"/>
      <c r="I1384" s="49"/>
      <c r="J1384" s="49"/>
      <c r="K1384" s="49"/>
    </row>
    <row r="1385" spans="6:11" ht="15" customHeight="1" x14ac:dyDescent="0.25">
      <c r="F1385" s="49"/>
      <c r="G1385" s="6"/>
      <c r="H1385" s="49"/>
      <c r="I1385" s="49"/>
      <c r="J1385" s="49"/>
      <c r="K1385" s="49"/>
    </row>
    <row r="1386" spans="6:11" x14ac:dyDescent="0.25">
      <c r="F1386" s="49"/>
      <c r="G1386" s="6"/>
      <c r="H1386" s="49"/>
      <c r="I1386" s="49"/>
      <c r="J1386" s="49"/>
      <c r="K1386" s="49"/>
    </row>
    <row r="1387" spans="6:11" x14ac:dyDescent="0.25">
      <c r="F1387" s="49"/>
      <c r="G1387" s="6"/>
      <c r="H1387" s="49"/>
      <c r="I1387" s="49"/>
      <c r="J1387" s="49"/>
      <c r="K1387" s="49"/>
    </row>
    <row r="1388" spans="6:11" ht="17.100000000000001" customHeight="1" x14ac:dyDescent="0.25">
      <c r="F1388" s="49"/>
      <c r="G1388" s="6"/>
      <c r="H1388" s="49"/>
      <c r="I1388" s="49"/>
      <c r="J1388" s="49"/>
      <c r="K1388" s="49"/>
    </row>
    <row r="1389" spans="6:11" x14ac:dyDescent="0.25">
      <c r="F1389" s="49"/>
      <c r="G1389" s="6"/>
      <c r="H1389" s="49"/>
      <c r="I1389" s="49"/>
      <c r="J1389" s="49"/>
      <c r="K1389" s="49"/>
    </row>
    <row r="1390" spans="6:11" ht="17.100000000000001" customHeight="1" x14ac:dyDescent="0.25">
      <c r="F1390" s="49"/>
      <c r="G1390" s="6"/>
      <c r="H1390" s="49"/>
      <c r="I1390" s="49"/>
      <c r="J1390" s="49"/>
      <c r="K1390" s="49"/>
    </row>
    <row r="1391" spans="6:11" x14ac:dyDescent="0.25">
      <c r="F1391" s="49"/>
      <c r="G1391" s="6"/>
      <c r="H1391" s="49"/>
      <c r="I1391" s="49"/>
      <c r="J1391" s="49"/>
      <c r="K1391" s="49"/>
    </row>
    <row r="1392" spans="6:11" ht="17.100000000000001" customHeight="1" x14ac:dyDescent="0.25">
      <c r="F1392" s="49"/>
      <c r="G1392" s="6"/>
      <c r="H1392" s="49"/>
      <c r="I1392" s="49"/>
      <c r="J1392" s="49"/>
      <c r="K1392" s="49"/>
    </row>
    <row r="1393" spans="6:11" x14ac:dyDescent="0.25">
      <c r="F1393" s="49"/>
      <c r="G1393" s="6"/>
      <c r="H1393" s="49"/>
      <c r="I1393" s="49"/>
      <c r="J1393" s="49"/>
      <c r="K1393" s="49"/>
    </row>
    <row r="1394" spans="6:11" x14ac:dyDescent="0.25">
      <c r="F1394" s="49"/>
      <c r="G1394" s="6"/>
      <c r="H1394" s="49"/>
      <c r="I1394" s="49"/>
      <c r="J1394" s="49"/>
      <c r="K1394" s="49"/>
    </row>
    <row r="1395" spans="6:11" x14ac:dyDescent="0.25">
      <c r="F1395" s="49"/>
      <c r="G1395" s="6"/>
      <c r="H1395" s="49"/>
      <c r="I1395" s="49"/>
      <c r="J1395" s="49"/>
      <c r="K1395" s="49"/>
    </row>
    <row r="1396" spans="6:11" ht="15" customHeight="1" x14ac:dyDescent="0.25">
      <c r="F1396" s="49"/>
      <c r="G1396" s="6"/>
      <c r="H1396" s="49"/>
      <c r="I1396" s="49"/>
      <c r="J1396" s="49"/>
      <c r="K1396" s="49"/>
    </row>
    <row r="1397" spans="6:11" x14ac:dyDescent="0.25">
      <c r="F1397" s="49"/>
      <c r="G1397" s="6"/>
      <c r="H1397" s="49"/>
      <c r="I1397" s="49"/>
      <c r="J1397" s="49"/>
      <c r="K1397" s="49"/>
    </row>
    <row r="1398" spans="6:11" ht="15.95" customHeight="1" x14ac:dyDescent="0.25">
      <c r="F1398" s="49"/>
      <c r="G1398" s="6"/>
      <c r="H1398" s="49"/>
      <c r="I1398" s="49"/>
      <c r="J1398" s="49"/>
      <c r="K1398" s="49"/>
    </row>
    <row r="1399" spans="6:11" x14ac:dyDescent="0.25">
      <c r="F1399" s="49"/>
      <c r="G1399" s="6"/>
      <c r="H1399" s="49"/>
      <c r="I1399" s="49"/>
      <c r="J1399" s="49"/>
      <c r="K1399" s="49"/>
    </row>
    <row r="1400" spans="6:11" ht="21" customHeight="1" x14ac:dyDescent="0.25">
      <c r="F1400" s="49"/>
      <c r="G1400" s="6"/>
      <c r="H1400" s="49"/>
      <c r="I1400" s="49"/>
      <c r="J1400" s="49"/>
      <c r="K1400" s="49"/>
    </row>
    <row r="1401" spans="6:11" x14ac:dyDescent="0.25">
      <c r="F1401" s="49"/>
      <c r="G1401" s="6"/>
      <c r="H1401" s="49"/>
      <c r="I1401" s="49"/>
      <c r="J1401" s="49"/>
      <c r="K1401" s="49"/>
    </row>
    <row r="1402" spans="6:11" ht="15" customHeight="1" x14ac:dyDescent="0.25">
      <c r="F1402" s="49"/>
      <c r="G1402" s="6"/>
      <c r="H1402" s="49"/>
      <c r="I1402" s="49"/>
      <c r="J1402" s="49"/>
      <c r="K1402" s="49"/>
    </row>
    <row r="1403" spans="6:11" x14ac:dyDescent="0.25">
      <c r="F1403" s="49"/>
      <c r="G1403" s="6"/>
      <c r="H1403" s="49"/>
      <c r="I1403" s="49"/>
      <c r="J1403" s="49"/>
      <c r="K1403" s="49"/>
    </row>
    <row r="1404" spans="6:11" x14ac:dyDescent="0.25">
      <c r="F1404" s="49"/>
      <c r="G1404" s="6"/>
      <c r="H1404" s="49"/>
      <c r="I1404" s="49"/>
      <c r="J1404" s="49"/>
      <c r="K1404" s="49"/>
    </row>
    <row r="1405" spans="6:11" ht="18.95" customHeight="1" x14ac:dyDescent="0.25">
      <c r="F1405" s="49"/>
      <c r="G1405" s="6"/>
      <c r="H1405" s="49"/>
      <c r="I1405" s="49"/>
      <c r="J1405" s="49"/>
      <c r="K1405" s="49"/>
    </row>
    <row r="1406" spans="6:11" x14ac:dyDescent="0.25">
      <c r="F1406" s="49"/>
      <c r="G1406" s="6"/>
      <c r="H1406" s="49"/>
      <c r="I1406" s="49"/>
      <c r="J1406" s="49"/>
      <c r="K1406" s="49"/>
    </row>
    <row r="1407" spans="6:11" x14ac:dyDescent="0.25">
      <c r="F1407" s="49"/>
      <c r="G1407" s="6"/>
      <c r="H1407" s="49"/>
      <c r="I1407" s="49"/>
      <c r="J1407" s="49"/>
      <c r="K1407" s="49"/>
    </row>
    <row r="1408" spans="6:11" x14ac:dyDescent="0.25">
      <c r="F1408" s="49"/>
      <c r="G1408" s="6"/>
      <c r="H1408" s="49"/>
      <c r="I1408" s="49"/>
      <c r="J1408" s="49"/>
      <c r="K1408" s="49"/>
    </row>
    <row r="1409" spans="6:11" ht="18" customHeight="1" x14ac:dyDescent="0.25">
      <c r="F1409" s="49"/>
      <c r="G1409" s="6"/>
      <c r="H1409" s="49"/>
      <c r="I1409" s="49"/>
      <c r="J1409" s="49"/>
      <c r="K1409" s="49"/>
    </row>
    <row r="1410" spans="6:11" x14ac:dyDescent="0.25">
      <c r="F1410" s="49"/>
      <c r="G1410" s="6"/>
      <c r="H1410" s="49"/>
      <c r="I1410" s="49"/>
      <c r="J1410" s="49"/>
      <c r="K1410" s="49"/>
    </row>
    <row r="1411" spans="6:11" ht="18" customHeight="1" x14ac:dyDescent="0.25">
      <c r="F1411" s="49"/>
      <c r="G1411" s="6"/>
      <c r="H1411" s="49"/>
      <c r="I1411" s="49"/>
      <c r="J1411" s="49"/>
      <c r="K1411" s="49"/>
    </row>
    <row r="1412" spans="6:11" x14ac:dyDescent="0.25">
      <c r="F1412" s="49"/>
      <c r="G1412" s="6"/>
      <c r="H1412" s="49"/>
      <c r="I1412" s="49"/>
      <c r="J1412" s="49"/>
      <c r="K1412" s="49"/>
    </row>
    <row r="1413" spans="6:11" x14ac:dyDescent="0.25">
      <c r="F1413" s="49"/>
      <c r="G1413" s="6"/>
      <c r="H1413" s="49"/>
      <c r="I1413" s="49"/>
      <c r="J1413" s="49"/>
      <c r="K1413" s="49"/>
    </row>
    <row r="1414" spans="6:11" x14ac:dyDescent="0.25">
      <c r="F1414" s="49"/>
      <c r="G1414" s="6"/>
      <c r="H1414" s="49"/>
      <c r="I1414" s="49"/>
      <c r="J1414" s="49"/>
      <c r="K1414" s="49"/>
    </row>
    <row r="1415" spans="6:11" x14ac:dyDescent="0.25">
      <c r="F1415" s="49"/>
      <c r="G1415" s="6"/>
      <c r="H1415" s="49"/>
      <c r="I1415" s="49"/>
      <c r="J1415" s="49"/>
      <c r="K1415" s="49"/>
    </row>
    <row r="1416" spans="6:11" ht="20.100000000000001" customHeight="1" x14ac:dyDescent="0.25">
      <c r="F1416" s="49"/>
      <c r="G1416" s="6"/>
      <c r="H1416" s="49"/>
      <c r="I1416" s="49"/>
      <c r="J1416" s="49"/>
      <c r="K1416" s="49"/>
    </row>
    <row r="1417" spans="6:11" x14ac:dyDescent="0.25">
      <c r="F1417" s="49"/>
      <c r="G1417" s="6"/>
      <c r="H1417" s="49"/>
      <c r="I1417" s="49"/>
      <c r="J1417" s="49"/>
      <c r="K1417" s="49"/>
    </row>
    <row r="1418" spans="6:11" ht="21" customHeight="1" x14ac:dyDescent="0.25">
      <c r="F1418" s="49"/>
      <c r="G1418" s="6"/>
      <c r="H1418" s="49"/>
      <c r="I1418" s="49"/>
      <c r="J1418" s="49"/>
      <c r="K1418" s="49"/>
    </row>
    <row r="1419" spans="6:11" x14ac:dyDescent="0.25">
      <c r="F1419" s="49"/>
      <c r="G1419" s="6"/>
      <c r="H1419" s="49"/>
      <c r="I1419" s="49"/>
      <c r="J1419" s="49"/>
      <c r="K1419" s="49"/>
    </row>
    <row r="1420" spans="6:11" x14ac:dyDescent="0.25">
      <c r="F1420" s="49"/>
      <c r="G1420" s="6"/>
      <c r="H1420" s="49"/>
      <c r="I1420" s="49"/>
      <c r="J1420" s="49"/>
      <c r="K1420" s="49"/>
    </row>
    <row r="1421" spans="6:11" x14ac:dyDescent="0.25">
      <c r="F1421" s="49"/>
      <c r="G1421" s="6"/>
      <c r="H1421" s="49"/>
      <c r="I1421" s="49"/>
      <c r="J1421" s="49"/>
      <c r="K1421" s="49"/>
    </row>
    <row r="1422" spans="6:11" ht="15" customHeight="1" x14ac:dyDescent="0.25">
      <c r="F1422" s="49"/>
      <c r="G1422" s="6"/>
      <c r="H1422" s="49"/>
      <c r="I1422" s="49"/>
      <c r="J1422" s="49"/>
      <c r="K1422" s="49"/>
    </row>
    <row r="1423" spans="6:11" x14ac:dyDescent="0.25">
      <c r="F1423" s="49"/>
      <c r="G1423" s="6"/>
      <c r="H1423" s="49"/>
      <c r="I1423" s="49"/>
      <c r="J1423" s="49"/>
      <c r="K1423" s="49"/>
    </row>
    <row r="1424" spans="6:11" ht="21" customHeight="1" x14ac:dyDescent="0.25">
      <c r="F1424" s="49"/>
      <c r="G1424" s="6"/>
      <c r="H1424" s="49"/>
      <c r="I1424" s="49"/>
      <c r="J1424" s="49"/>
      <c r="K1424" s="49"/>
    </row>
    <row r="1425" spans="6:11" x14ac:dyDescent="0.25">
      <c r="F1425" s="49"/>
      <c r="G1425" s="6"/>
      <c r="H1425" s="49"/>
      <c r="I1425" s="49"/>
      <c r="J1425" s="49"/>
      <c r="K1425" s="49"/>
    </row>
    <row r="1426" spans="6:11" ht="23.1" customHeight="1" x14ac:dyDescent="0.25">
      <c r="F1426" s="49"/>
      <c r="G1426" s="6"/>
      <c r="H1426" s="49"/>
      <c r="I1426" s="49"/>
      <c r="J1426" s="49"/>
      <c r="K1426" s="49"/>
    </row>
    <row r="1427" spans="6:11" x14ac:dyDescent="0.25">
      <c r="F1427" s="49"/>
      <c r="G1427" s="6"/>
      <c r="H1427" s="49"/>
      <c r="I1427" s="49"/>
      <c r="J1427" s="49"/>
      <c r="K1427" s="49"/>
    </row>
    <row r="1428" spans="6:11" ht="18.95" customHeight="1" x14ac:dyDescent="0.25">
      <c r="F1428" s="49"/>
      <c r="G1428" s="6"/>
      <c r="H1428" s="49"/>
      <c r="I1428" s="49"/>
      <c r="J1428" s="49"/>
      <c r="K1428" s="49"/>
    </row>
    <row r="1429" spans="6:11" x14ac:dyDescent="0.25">
      <c r="F1429" s="49"/>
      <c r="G1429" s="6"/>
      <c r="H1429" s="49"/>
      <c r="I1429" s="49"/>
      <c r="J1429" s="49"/>
      <c r="K1429" s="49"/>
    </row>
    <row r="1430" spans="6:11" ht="20.100000000000001" customHeight="1" x14ac:dyDescent="0.25">
      <c r="F1430" s="49"/>
      <c r="G1430" s="6"/>
      <c r="H1430" s="49"/>
      <c r="I1430" s="49"/>
      <c r="J1430" s="49"/>
      <c r="K1430" s="49"/>
    </row>
    <row r="1431" spans="6:11" x14ac:dyDescent="0.25">
      <c r="F1431" s="49"/>
      <c r="G1431" s="6"/>
      <c r="H1431" s="49"/>
      <c r="I1431" s="49"/>
      <c r="J1431" s="49"/>
      <c r="K1431" s="49"/>
    </row>
    <row r="1432" spans="6:11" ht="15" customHeight="1" x14ac:dyDescent="0.25">
      <c r="F1432" s="49"/>
      <c r="G1432" s="6"/>
      <c r="H1432" s="49"/>
      <c r="I1432" s="49"/>
      <c r="J1432" s="49"/>
      <c r="K1432" s="49"/>
    </row>
    <row r="1433" spans="6:11" x14ac:dyDescent="0.25">
      <c r="F1433" s="49"/>
      <c r="G1433" s="6"/>
      <c r="H1433" s="49"/>
      <c r="I1433" s="49"/>
      <c r="J1433" s="49"/>
      <c r="K1433" s="49"/>
    </row>
    <row r="1434" spans="6:11" ht="15" customHeight="1" x14ac:dyDescent="0.25">
      <c r="F1434" s="49"/>
      <c r="G1434" s="6"/>
      <c r="H1434" s="49"/>
      <c r="I1434" s="49"/>
      <c r="J1434" s="49"/>
      <c r="K1434" s="49"/>
    </row>
    <row r="1435" spans="6:11" x14ac:dyDescent="0.25">
      <c r="F1435" s="49"/>
      <c r="G1435" s="6"/>
      <c r="H1435" s="49"/>
      <c r="I1435" s="49"/>
      <c r="J1435" s="49"/>
      <c r="K1435" s="49"/>
    </row>
    <row r="1436" spans="6:11" ht="15" customHeight="1" x14ac:dyDescent="0.25">
      <c r="F1436" s="49"/>
      <c r="G1436" s="6"/>
      <c r="H1436" s="49"/>
      <c r="I1436" s="49"/>
      <c r="J1436" s="49"/>
      <c r="K1436" s="49"/>
    </row>
    <row r="1437" spans="6:11" x14ac:dyDescent="0.25">
      <c r="F1437" s="49"/>
      <c r="G1437" s="6"/>
      <c r="H1437" s="49"/>
      <c r="I1437" s="49"/>
      <c r="J1437" s="49"/>
      <c r="K1437" s="49"/>
    </row>
    <row r="1438" spans="6:11" x14ac:dyDescent="0.25">
      <c r="F1438" s="49"/>
      <c r="G1438" s="6"/>
      <c r="H1438" s="49"/>
      <c r="I1438" s="49"/>
      <c r="J1438" s="49"/>
      <c r="K1438" s="49"/>
    </row>
    <row r="1439" spans="6:11" x14ac:dyDescent="0.25">
      <c r="F1439" s="49"/>
      <c r="G1439" s="6"/>
      <c r="H1439" s="49"/>
      <c r="I1439" s="49"/>
      <c r="J1439" s="49"/>
      <c r="K1439" s="49"/>
    </row>
    <row r="1440" spans="6:11" ht="21" customHeight="1" x14ac:dyDescent="0.25">
      <c r="F1440" s="49"/>
      <c r="G1440" s="6"/>
      <c r="H1440" s="49"/>
      <c r="I1440" s="49"/>
      <c r="J1440" s="49"/>
      <c r="K1440" s="49"/>
    </row>
    <row r="1441" spans="6:11" x14ac:dyDescent="0.25">
      <c r="F1441" s="49"/>
      <c r="G1441" s="6"/>
      <c r="H1441" s="49"/>
      <c r="I1441" s="49"/>
      <c r="J1441" s="49"/>
      <c r="K1441" s="49"/>
    </row>
    <row r="1442" spans="6:11" x14ac:dyDescent="0.25">
      <c r="F1442" s="49"/>
      <c r="G1442" s="6"/>
      <c r="H1442" s="49"/>
      <c r="I1442" s="49"/>
      <c r="J1442" s="49"/>
      <c r="K1442" s="49"/>
    </row>
    <row r="1443" spans="6:11" x14ac:dyDescent="0.25">
      <c r="F1443" s="49"/>
      <c r="G1443" s="6"/>
      <c r="H1443" s="49"/>
      <c r="I1443" s="49"/>
      <c r="J1443" s="49"/>
      <c r="K1443" s="49"/>
    </row>
    <row r="1444" spans="6:11" x14ac:dyDescent="0.25">
      <c r="F1444" s="49"/>
      <c r="G1444" s="6"/>
      <c r="H1444" s="49"/>
      <c r="I1444" s="49"/>
      <c r="J1444" s="49"/>
      <c r="K1444" s="49"/>
    </row>
    <row r="1445" spans="6:11" ht="21" customHeight="1" x14ac:dyDescent="0.25">
      <c r="F1445" s="49"/>
      <c r="G1445" s="6"/>
      <c r="H1445" s="49"/>
      <c r="I1445" s="49"/>
      <c r="J1445" s="49"/>
      <c r="K1445" s="49"/>
    </row>
    <row r="1446" spans="6:11" x14ac:dyDescent="0.25">
      <c r="F1446" s="49"/>
      <c r="G1446" s="6"/>
      <c r="H1446" s="49"/>
      <c r="I1446" s="49"/>
      <c r="J1446" s="49"/>
      <c r="K1446" s="49"/>
    </row>
    <row r="1447" spans="6:11" ht="15" customHeight="1" x14ac:dyDescent="0.25">
      <c r="F1447" s="49"/>
      <c r="G1447" s="6"/>
      <c r="H1447" s="49"/>
      <c r="I1447" s="49"/>
      <c r="J1447" s="49"/>
      <c r="K1447" s="49"/>
    </row>
    <row r="1448" spans="6:11" x14ac:dyDescent="0.25">
      <c r="F1448" s="49"/>
      <c r="G1448" s="6"/>
      <c r="H1448" s="49"/>
      <c r="I1448" s="49"/>
      <c r="J1448" s="49"/>
      <c r="K1448" s="49"/>
    </row>
    <row r="1449" spans="6:11" ht="15" customHeight="1" x14ac:dyDescent="0.25">
      <c r="F1449" s="49"/>
      <c r="G1449" s="6"/>
      <c r="H1449" s="49"/>
      <c r="I1449" s="49"/>
      <c r="J1449" s="49"/>
      <c r="K1449" s="49"/>
    </row>
    <row r="1450" spans="6:11" x14ac:dyDescent="0.25">
      <c r="F1450" s="49"/>
      <c r="G1450" s="6"/>
      <c r="H1450" s="49"/>
      <c r="I1450" s="49"/>
      <c r="J1450" s="49"/>
      <c r="K1450" s="49"/>
    </row>
    <row r="1451" spans="6:11" ht="15.95" customHeight="1" x14ac:dyDescent="0.25">
      <c r="F1451" s="49"/>
      <c r="G1451" s="6"/>
      <c r="H1451" s="49"/>
      <c r="I1451" s="49"/>
      <c r="J1451" s="49"/>
      <c r="K1451" s="49"/>
    </row>
    <row r="1452" spans="6:11" x14ac:dyDescent="0.25">
      <c r="F1452" s="49"/>
      <c r="G1452" s="6"/>
      <c r="H1452" s="49"/>
      <c r="I1452" s="49"/>
      <c r="J1452" s="49"/>
      <c r="K1452" s="49"/>
    </row>
    <row r="1453" spans="6:11" x14ac:dyDescent="0.25">
      <c r="F1453" s="49"/>
      <c r="G1453" s="6"/>
      <c r="H1453" s="49"/>
      <c r="I1453" s="49"/>
      <c r="J1453" s="49"/>
      <c r="K1453" s="49"/>
    </row>
    <row r="1454" spans="6:11" x14ac:dyDescent="0.25">
      <c r="F1454" s="49"/>
      <c r="G1454" s="6"/>
      <c r="H1454" s="49"/>
      <c r="I1454" s="49"/>
      <c r="J1454" s="49"/>
      <c r="K1454" s="49"/>
    </row>
    <row r="1455" spans="6:11" ht="15" customHeight="1" x14ac:dyDescent="0.25">
      <c r="F1455" s="49"/>
      <c r="G1455" s="6"/>
      <c r="H1455" s="49"/>
      <c r="I1455" s="49"/>
      <c r="J1455" s="49"/>
      <c r="K1455" s="49"/>
    </row>
    <row r="1456" spans="6:11" x14ac:dyDescent="0.25">
      <c r="F1456" s="49"/>
      <c r="G1456" s="6"/>
      <c r="H1456" s="49"/>
      <c r="I1456" s="49"/>
      <c r="J1456" s="49"/>
      <c r="K1456" s="49"/>
    </row>
    <row r="1457" spans="6:11" ht="17.100000000000001" customHeight="1" x14ac:dyDescent="0.25">
      <c r="F1457" s="49"/>
      <c r="G1457" s="6"/>
      <c r="H1457" s="49"/>
      <c r="I1457" s="49"/>
      <c r="J1457" s="49"/>
      <c r="K1457" s="49"/>
    </row>
    <row r="1458" spans="6:11" x14ac:dyDescent="0.25">
      <c r="F1458" s="49"/>
      <c r="G1458" s="6"/>
      <c r="H1458" s="49"/>
      <c r="I1458" s="49"/>
      <c r="J1458" s="49"/>
      <c r="K1458" s="49"/>
    </row>
    <row r="1459" spans="6:11" x14ac:dyDescent="0.25">
      <c r="F1459" s="49"/>
      <c r="G1459" s="6"/>
      <c r="H1459" s="49"/>
      <c r="I1459" s="49"/>
      <c r="J1459" s="49"/>
      <c r="K1459" s="49"/>
    </row>
    <row r="1460" spans="6:11" x14ac:dyDescent="0.25">
      <c r="F1460" s="49"/>
      <c r="G1460" s="6"/>
      <c r="H1460" s="49"/>
      <c r="I1460" s="49"/>
      <c r="J1460" s="49"/>
      <c r="K1460" s="49"/>
    </row>
    <row r="1461" spans="6:11" ht="18" customHeight="1" x14ac:dyDescent="0.25">
      <c r="F1461" s="49"/>
      <c r="G1461" s="6"/>
      <c r="H1461" s="49"/>
      <c r="I1461" s="49"/>
      <c r="J1461" s="49"/>
      <c r="K1461" s="49"/>
    </row>
    <row r="1462" spans="6:11" x14ac:dyDescent="0.25">
      <c r="F1462" s="49"/>
      <c r="G1462" s="6"/>
      <c r="H1462" s="49"/>
      <c r="I1462" s="49"/>
      <c r="J1462" s="49"/>
      <c r="K1462" s="49"/>
    </row>
    <row r="1463" spans="6:11" x14ac:dyDescent="0.25">
      <c r="F1463" s="49"/>
      <c r="G1463" s="6"/>
      <c r="H1463" s="49"/>
      <c r="I1463" s="49"/>
      <c r="J1463" s="49"/>
      <c r="K1463" s="49"/>
    </row>
    <row r="1464" spans="6:11" x14ac:dyDescent="0.25">
      <c r="F1464" s="49"/>
      <c r="G1464" s="6"/>
      <c r="H1464" s="49"/>
      <c r="I1464" s="49"/>
      <c r="J1464" s="49"/>
      <c r="K1464" s="49"/>
    </row>
    <row r="1465" spans="6:11" ht="21" customHeight="1" x14ac:dyDescent="0.25">
      <c r="F1465" s="49"/>
      <c r="G1465" s="6"/>
      <c r="H1465" s="49"/>
      <c r="I1465" s="49"/>
      <c r="J1465" s="49"/>
      <c r="K1465" s="49"/>
    </row>
    <row r="1466" spans="6:11" x14ac:dyDescent="0.25">
      <c r="F1466" s="49"/>
      <c r="G1466" s="6"/>
      <c r="H1466" s="49"/>
      <c r="I1466" s="49"/>
      <c r="J1466" s="49"/>
      <c r="K1466" s="49"/>
    </row>
    <row r="1467" spans="6:11" ht="21.95" customHeight="1" x14ac:dyDescent="0.25">
      <c r="F1467" s="49"/>
      <c r="G1467" s="6"/>
      <c r="H1467" s="49"/>
      <c r="I1467" s="49"/>
      <c r="J1467" s="49"/>
      <c r="K1467" s="49"/>
    </row>
    <row r="1468" spans="6:11" x14ac:dyDescent="0.25">
      <c r="F1468" s="49"/>
      <c r="G1468" s="6"/>
      <c r="H1468" s="49"/>
      <c r="I1468" s="49"/>
      <c r="J1468" s="49"/>
      <c r="K1468" s="49"/>
    </row>
    <row r="1469" spans="6:11" ht="27.95" customHeight="1" x14ac:dyDescent="0.25">
      <c r="F1469" s="49"/>
      <c r="G1469" s="6"/>
      <c r="H1469" s="49"/>
      <c r="I1469" s="49"/>
      <c r="J1469" s="49"/>
      <c r="K1469" s="49"/>
    </row>
    <row r="1470" spans="6:11" x14ac:dyDescent="0.25">
      <c r="F1470" s="49"/>
      <c r="G1470" s="6"/>
      <c r="H1470" s="49"/>
      <c r="I1470" s="49"/>
      <c r="J1470" s="49"/>
      <c r="K1470" s="49"/>
    </row>
    <row r="1471" spans="6:11" ht="24" customHeight="1" x14ac:dyDescent="0.25">
      <c r="F1471" s="49"/>
      <c r="G1471" s="6"/>
      <c r="H1471" s="49"/>
      <c r="I1471" s="49"/>
      <c r="J1471" s="49"/>
      <c r="K1471" s="49"/>
    </row>
    <row r="1472" spans="6:11" x14ac:dyDescent="0.25">
      <c r="F1472" s="49"/>
      <c r="G1472" s="6"/>
      <c r="H1472" s="49"/>
      <c r="I1472" s="49"/>
      <c r="J1472" s="49"/>
      <c r="K1472" s="49"/>
    </row>
    <row r="1473" spans="6:11" ht="18.95" customHeight="1" x14ac:dyDescent="0.25">
      <c r="F1473" s="49"/>
      <c r="G1473" s="6"/>
      <c r="H1473" s="49"/>
      <c r="I1473" s="49"/>
      <c r="J1473" s="49"/>
      <c r="K1473" s="49"/>
    </row>
    <row r="1474" spans="6:11" x14ac:dyDescent="0.25">
      <c r="F1474" s="49"/>
      <c r="G1474" s="6"/>
      <c r="H1474" s="49"/>
      <c r="I1474" s="49"/>
      <c r="J1474" s="49"/>
      <c r="K1474" s="49"/>
    </row>
    <row r="1475" spans="6:11" ht="21" customHeight="1" x14ac:dyDescent="0.25">
      <c r="F1475" s="49"/>
      <c r="G1475" s="6"/>
      <c r="H1475" s="49"/>
      <c r="I1475" s="49"/>
      <c r="J1475" s="49"/>
      <c r="K1475" s="49"/>
    </row>
    <row r="1476" spans="6:11" x14ac:dyDescent="0.25">
      <c r="F1476" s="49"/>
      <c r="G1476" s="6"/>
      <c r="H1476" s="49"/>
      <c r="I1476" s="49"/>
      <c r="J1476" s="49"/>
      <c r="K1476" s="49"/>
    </row>
    <row r="1477" spans="6:11" x14ac:dyDescent="0.25">
      <c r="F1477" s="49"/>
      <c r="G1477" s="6"/>
      <c r="H1477" s="49"/>
      <c r="I1477" s="49"/>
      <c r="J1477" s="49"/>
      <c r="K1477" s="49"/>
    </row>
    <row r="1478" spans="6:11" x14ac:dyDescent="0.25">
      <c r="F1478" s="49"/>
      <c r="G1478" s="6"/>
      <c r="H1478" s="49"/>
      <c r="I1478" s="49"/>
      <c r="J1478" s="49"/>
      <c r="K1478" s="49"/>
    </row>
    <row r="1479" spans="6:11" ht="21" customHeight="1" x14ac:dyDescent="0.25">
      <c r="F1479" s="49"/>
      <c r="G1479" s="6"/>
      <c r="H1479" s="49"/>
      <c r="I1479" s="49"/>
      <c r="J1479" s="49"/>
      <c r="K1479" s="49"/>
    </row>
    <row r="1480" spans="6:11" x14ac:dyDescent="0.25">
      <c r="F1480" s="49"/>
      <c r="G1480" s="6"/>
      <c r="H1480" s="49"/>
      <c r="I1480" s="49"/>
      <c r="J1480" s="49"/>
      <c r="K1480" s="49"/>
    </row>
    <row r="1481" spans="6:11" ht="23.1" customHeight="1" x14ac:dyDescent="0.25">
      <c r="F1481" s="49"/>
      <c r="G1481" s="6"/>
      <c r="H1481" s="49"/>
      <c r="I1481" s="49"/>
      <c r="J1481" s="49"/>
      <c r="K1481" s="49"/>
    </row>
    <row r="1482" spans="6:11" x14ac:dyDescent="0.25">
      <c r="F1482" s="49"/>
      <c r="G1482" s="6"/>
      <c r="H1482" s="49"/>
      <c r="I1482" s="49"/>
      <c r="J1482" s="49"/>
      <c r="K1482" s="49"/>
    </row>
    <row r="1483" spans="6:11" ht="21" customHeight="1" x14ac:dyDescent="0.25">
      <c r="F1483" s="49"/>
      <c r="G1483" s="6"/>
      <c r="H1483" s="49"/>
      <c r="I1483" s="49"/>
      <c r="J1483" s="49"/>
      <c r="K1483" s="49"/>
    </row>
    <row r="1484" spans="6:11" x14ac:dyDescent="0.25">
      <c r="F1484" s="49"/>
      <c r="G1484" s="6"/>
      <c r="H1484" s="49"/>
      <c r="I1484" s="49"/>
      <c r="J1484" s="49"/>
      <c r="K1484" s="49"/>
    </row>
    <row r="1485" spans="6:11" ht="20.100000000000001" customHeight="1" x14ac:dyDescent="0.25">
      <c r="F1485" s="49"/>
      <c r="G1485" s="6"/>
      <c r="H1485" s="49"/>
      <c r="I1485" s="49"/>
      <c r="J1485" s="49"/>
      <c r="K1485" s="49"/>
    </row>
    <row r="1486" spans="6:11" x14ac:dyDescent="0.25">
      <c r="F1486" s="49"/>
      <c r="G1486" s="6"/>
      <c r="H1486" s="49"/>
      <c r="I1486" s="49"/>
      <c r="J1486" s="49"/>
      <c r="K1486" s="49"/>
    </row>
    <row r="1487" spans="6:11" ht="18" customHeight="1" x14ac:dyDescent="0.25">
      <c r="F1487" s="49"/>
      <c r="G1487" s="6"/>
      <c r="H1487" s="49"/>
      <c r="I1487" s="49"/>
      <c r="J1487" s="49"/>
      <c r="K1487" s="49"/>
    </row>
    <row r="1488" spans="6:11" x14ac:dyDescent="0.25">
      <c r="F1488" s="49"/>
      <c r="G1488" s="6"/>
      <c r="H1488" s="49"/>
      <c r="I1488" s="49"/>
      <c r="J1488" s="49"/>
      <c r="K1488" s="49"/>
    </row>
    <row r="1489" spans="6:11" ht="18.95" customHeight="1" x14ac:dyDescent="0.25">
      <c r="F1489" s="49"/>
      <c r="G1489" s="6"/>
      <c r="H1489" s="49"/>
      <c r="I1489" s="49"/>
      <c r="J1489" s="49"/>
      <c r="K1489" s="49"/>
    </row>
    <row r="1490" spans="6:11" x14ac:dyDescent="0.25">
      <c r="F1490" s="49"/>
      <c r="G1490" s="6"/>
      <c r="H1490" s="49"/>
      <c r="I1490" s="49"/>
      <c r="J1490" s="49"/>
      <c r="K1490" s="49"/>
    </row>
    <row r="1491" spans="6:11" ht="18.95" customHeight="1" x14ac:dyDescent="0.25">
      <c r="F1491" s="49"/>
      <c r="G1491" s="6"/>
      <c r="H1491" s="49"/>
      <c r="I1491" s="49"/>
      <c r="J1491" s="49"/>
      <c r="K1491" s="49"/>
    </row>
    <row r="1492" spans="6:11" x14ac:dyDescent="0.25">
      <c r="F1492" s="49"/>
      <c r="G1492" s="6"/>
      <c r="H1492" s="49"/>
      <c r="I1492" s="49"/>
      <c r="J1492" s="49"/>
      <c r="K1492" s="49"/>
    </row>
    <row r="1493" spans="6:11" x14ac:dyDescent="0.25">
      <c r="F1493" s="49"/>
      <c r="G1493" s="6"/>
      <c r="H1493" s="49"/>
      <c r="I1493" s="49"/>
      <c r="J1493" s="49"/>
      <c r="K1493" s="49"/>
    </row>
    <row r="1494" spans="6:11" ht="17.100000000000001" customHeight="1" x14ac:dyDescent="0.25">
      <c r="F1494" s="49"/>
      <c r="G1494" s="6"/>
      <c r="H1494" s="49"/>
      <c r="I1494" s="49"/>
      <c r="J1494" s="49"/>
      <c r="K1494" s="49"/>
    </row>
    <row r="1495" spans="6:11" x14ac:dyDescent="0.25">
      <c r="F1495" s="49"/>
      <c r="G1495" s="6"/>
      <c r="H1495" s="49"/>
      <c r="I1495" s="49"/>
      <c r="J1495" s="49"/>
      <c r="K1495" s="49"/>
    </row>
    <row r="1496" spans="6:11" ht="15" customHeight="1" x14ac:dyDescent="0.25">
      <c r="F1496" s="49"/>
      <c r="G1496" s="6"/>
      <c r="H1496" s="49"/>
      <c r="I1496" s="49"/>
      <c r="J1496" s="49"/>
      <c r="K1496" s="49"/>
    </row>
    <row r="1497" spans="6:11" x14ac:dyDescent="0.25">
      <c r="F1497" s="49"/>
      <c r="G1497" s="6"/>
      <c r="H1497" s="49"/>
      <c r="I1497" s="49"/>
      <c r="J1497" s="49"/>
      <c r="K1497" s="49"/>
    </row>
    <row r="1498" spans="6:11" ht="15.95" customHeight="1" x14ac:dyDescent="0.25">
      <c r="F1498" s="49"/>
      <c r="G1498" s="6"/>
      <c r="H1498" s="49"/>
      <c r="I1498" s="49"/>
      <c r="J1498" s="49"/>
      <c r="K1498" s="49"/>
    </row>
    <row r="1499" spans="6:11" x14ac:dyDescent="0.25">
      <c r="F1499" s="49"/>
      <c r="G1499" s="6"/>
      <c r="H1499" s="49"/>
      <c r="I1499" s="49"/>
      <c r="J1499" s="49"/>
      <c r="K1499" s="49"/>
    </row>
    <row r="1500" spans="6:11" ht="17.100000000000001" customHeight="1" x14ac:dyDescent="0.25">
      <c r="F1500" s="49"/>
      <c r="G1500" s="6"/>
      <c r="H1500" s="49"/>
      <c r="I1500" s="49"/>
      <c r="J1500" s="49"/>
      <c r="K1500" s="49"/>
    </row>
    <row r="1501" spans="6:11" x14ac:dyDescent="0.25">
      <c r="F1501" s="49"/>
      <c r="G1501" s="6"/>
      <c r="H1501" s="49"/>
      <c r="I1501" s="49"/>
      <c r="J1501" s="49"/>
      <c r="K1501" s="49"/>
    </row>
    <row r="1502" spans="6:11" ht="17.100000000000001" customHeight="1" x14ac:dyDescent="0.25">
      <c r="F1502" s="49"/>
      <c r="G1502" s="6"/>
      <c r="H1502" s="49"/>
      <c r="I1502" s="49"/>
      <c r="J1502" s="49"/>
      <c r="K1502" s="49"/>
    </row>
    <row r="1503" spans="6:11" x14ac:dyDescent="0.25">
      <c r="F1503" s="49"/>
      <c r="G1503" s="6"/>
      <c r="H1503" s="49"/>
      <c r="I1503" s="49"/>
      <c r="J1503" s="49"/>
      <c r="K1503" s="49"/>
    </row>
    <row r="1504" spans="6:11" ht="15" customHeight="1" x14ac:dyDescent="0.25">
      <c r="F1504" s="49"/>
      <c r="G1504" s="6"/>
      <c r="H1504" s="49"/>
      <c r="I1504" s="49"/>
      <c r="J1504" s="49"/>
      <c r="K1504" s="49"/>
    </row>
    <row r="1505" spans="6:11" x14ac:dyDescent="0.25">
      <c r="F1505" s="49"/>
      <c r="G1505" s="6"/>
      <c r="H1505" s="49"/>
      <c r="I1505" s="49"/>
      <c r="J1505" s="49"/>
      <c r="K1505" s="49"/>
    </row>
    <row r="1506" spans="6:11" ht="18" customHeight="1" x14ac:dyDescent="0.25">
      <c r="F1506" s="49"/>
      <c r="G1506" s="6"/>
      <c r="H1506" s="49"/>
      <c r="I1506" s="49"/>
      <c r="J1506" s="49"/>
      <c r="K1506" s="49"/>
    </row>
    <row r="1507" spans="6:11" x14ac:dyDescent="0.25">
      <c r="F1507" s="49"/>
      <c r="G1507" s="6"/>
      <c r="H1507" s="49"/>
      <c r="I1507" s="49"/>
      <c r="J1507" s="49"/>
      <c r="K1507" s="49"/>
    </row>
    <row r="1508" spans="6:11" ht="20.100000000000001" customHeight="1" x14ac:dyDescent="0.25">
      <c r="F1508" s="49"/>
      <c r="G1508" s="6"/>
      <c r="H1508" s="49"/>
      <c r="I1508" s="49"/>
      <c r="J1508" s="49"/>
      <c r="K1508" s="49"/>
    </row>
    <row r="1509" spans="6:11" x14ac:dyDescent="0.25">
      <c r="F1509" s="49"/>
      <c r="G1509" s="6"/>
      <c r="H1509" s="49"/>
      <c r="I1509" s="49"/>
      <c r="J1509" s="49"/>
      <c r="K1509" s="49"/>
    </row>
    <row r="1510" spans="6:11" ht="18" customHeight="1" x14ac:dyDescent="0.25">
      <c r="F1510" s="49"/>
      <c r="G1510" s="6"/>
      <c r="H1510" s="49"/>
      <c r="I1510" s="49"/>
      <c r="J1510" s="49"/>
      <c r="K1510" s="49"/>
    </row>
    <row r="1511" spans="6:11" x14ac:dyDescent="0.25">
      <c r="F1511" s="49"/>
      <c r="G1511" s="6"/>
      <c r="H1511" s="49"/>
      <c r="I1511" s="49"/>
      <c r="J1511" s="49"/>
      <c r="K1511" s="49"/>
    </row>
    <row r="1512" spans="6:11" ht="20.100000000000001" customHeight="1" x14ac:dyDescent="0.25">
      <c r="F1512" s="49"/>
      <c r="G1512" s="6"/>
      <c r="H1512" s="49"/>
      <c r="I1512" s="49"/>
      <c r="J1512" s="49"/>
      <c r="K1512" s="49"/>
    </row>
    <row r="1513" spans="6:11" x14ac:dyDescent="0.25">
      <c r="F1513" s="49"/>
      <c r="G1513" s="6"/>
      <c r="H1513" s="49"/>
      <c r="I1513" s="49"/>
      <c r="J1513" s="49"/>
      <c r="K1513" s="49"/>
    </row>
    <row r="1514" spans="6:11" ht="18.95" customHeight="1" x14ac:dyDescent="0.25">
      <c r="F1514" s="49"/>
      <c r="G1514" s="6"/>
      <c r="H1514" s="49"/>
      <c r="I1514" s="49"/>
      <c r="J1514" s="49"/>
      <c r="K1514" s="49"/>
    </row>
    <row r="1515" spans="6:11" x14ac:dyDescent="0.25">
      <c r="F1515" s="49"/>
      <c r="G1515" s="6"/>
      <c r="H1515" s="49"/>
      <c r="I1515" s="49"/>
      <c r="J1515" s="49"/>
      <c r="K1515" s="49"/>
    </row>
    <row r="1516" spans="6:11" ht="20.100000000000001" customHeight="1" x14ac:dyDescent="0.25">
      <c r="F1516" s="49"/>
      <c r="G1516" s="6"/>
      <c r="H1516" s="49"/>
      <c r="I1516" s="49"/>
      <c r="J1516" s="49"/>
      <c r="K1516" s="49"/>
    </row>
    <row r="1517" spans="6:11" x14ac:dyDescent="0.25">
      <c r="F1517" s="49"/>
      <c r="G1517" s="6"/>
      <c r="H1517" s="49"/>
      <c r="I1517" s="49"/>
      <c r="J1517" s="49"/>
      <c r="K1517" s="49"/>
    </row>
    <row r="1518" spans="6:11" x14ac:dyDescent="0.25">
      <c r="F1518" s="49"/>
      <c r="G1518" s="6"/>
      <c r="H1518" s="49"/>
      <c r="I1518" s="49"/>
      <c r="J1518" s="49"/>
      <c r="K1518" s="49"/>
    </row>
    <row r="1519" spans="6:11" x14ac:dyDescent="0.25">
      <c r="F1519" s="49"/>
      <c r="G1519" s="6"/>
      <c r="H1519" s="49"/>
      <c r="I1519" s="49"/>
      <c r="J1519" s="49"/>
      <c r="K1519" s="49"/>
    </row>
    <row r="1520" spans="6:11" x14ac:dyDescent="0.25">
      <c r="F1520" s="49"/>
      <c r="G1520" s="6"/>
      <c r="H1520" s="49"/>
      <c r="I1520" s="49"/>
      <c r="J1520" s="49"/>
      <c r="K1520" s="49"/>
    </row>
    <row r="1521" spans="6:29" ht="17.100000000000001" customHeight="1" x14ac:dyDescent="0.25">
      <c r="F1521" s="49"/>
      <c r="G1521" s="6"/>
      <c r="H1521" s="49"/>
      <c r="I1521" s="49"/>
      <c r="J1521" s="49"/>
      <c r="K1521" s="49"/>
    </row>
    <row r="1522" spans="6:29" x14ac:dyDescent="0.25">
      <c r="F1522" s="49"/>
      <c r="G1522" s="6"/>
      <c r="H1522" s="49"/>
      <c r="I1522" s="49"/>
      <c r="J1522" s="49"/>
      <c r="K1522" s="49"/>
    </row>
    <row r="1523" spans="6:29" ht="15" customHeight="1" x14ac:dyDescent="0.25">
      <c r="F1523" s="49"/>
      <c r="G1523" s="6"/>
      <c r="H1523" s="49"/>
      <c r="I1523" s="49"/>
      <c r="J1523" s="49"/>
      <c r="K1523" s="49"/>
    </row>
    <row r="1524" spans="6:29" x14ac:dyDescent="0.25">
      <c r="F1524" s="49"/>
      <c r="G1524" s="6"/>
      <c r="H1524" s="49"/>
      <c r="I1524" s="49"/>
      <c r="J1524" s="49"/>
      <c r="K1524" s="49"/>
    </row>
    <row r="1525" spans="6:29" ht="15" customHeight="1" x14ac:dyDescent="0.25">
      <c r="F1525" s="49"/>
      <c r="G1525" s="6"/>
      <c r="H1525" s="49"/>
      <c r="I1525" s="49"/>
      <c r="J1525" s="49"/>
      <c r="K1525" s="49"/>
    </row>
    <row r="1526" spans="6:29" x14ac:dyDescent="0.25">
      <c r="F1526" s="49"/>
      <c r="G1526" s="6"/>
      <c r="H1526" s="49"/>
      <c r="I1526" s="49"/>
      <c r="J1526" s="49"/>
      <c r="K1526" s="49"/>
    </row>
    <row r="1527" spans="6:29" ht="15" customHeight="1" x14ac:dyDescent="0.25">
      <c r="F1527" s="49"/>
      <c r="G1527" s="6"/>
      <c r="H1527" s="49"/>
      <c r="I1527" s="49"/>
      <c r="J1527" s="49"/>
      <c r="K1527" s="49"/>
    </row>
    <row r="1528" spans="6:29" x14ac:dyDescent="0.25">
      <c r="F1528" s="58" t="str">
        <f t="shared" ref="F1528:F1588" si="58">M1528&amp;G1528</f>
        <v>XIII AK 11</v>
      </c>
      <c r="G1528" s="5">
        <v>1</v>
      </c>
      <c r="H1528" s="60">
        <v>102017550</v>
      </c>
      <c r="I1528" s="81" t="s">
        <v>1599</v>
      </c>
      <c r="J1528" s="61" t="str">
        <f t="shared" ref="J1528:J1588" si="59">H1528&amp;"/"&amp;I1528</f>
        <v>102017550/0052650652</v>
      </c>
      <c r="K1528" s="82" t="s">
        <v>1600</v>
      </c>
      <c r="L1528" s="83" t="s">
        <v>381</v>
      </c>
      <c r="M1528" s="72" t="s">
        <v>483</v>
      </c>
      <c r="N1528" s="5" t="s">
        <v>2787</v>
      </c>
      <c r="O1528" s="5" t="s">
        <v>2786</v>
      </c>
      <c r="P1528" s="5" t="str">
        <f t="shared" ref="P1528:P1588" si="60">L1528&amp;O1528</f>
        <v>PAK</v>
      </c>
      <c r="R1528" s="88" t="s">
        <v>2788</v>
      </c>
      <c r="S1528" s="49" t="s">
        <v>2789</v>
      </c>
      <c r="T1528" s="49" t="str">
        <f>L1528&amp;R1528</f>
        <v>PISLAM</v>
      </c>
      <c r="U1528" s="49" t="str">
        <f>S1528&amp;T1528</f>
        <v>XIPISLAM</v>
      </c>
      <c r="V1528" s="89">
        <v>38523</v>
      </c>
      <c r="W1528" s="49">
        <f>YEAR(V1528)</f>
        <v>2005</v>
      </c>
      <c r="X1528" s="49">
        <f>2021-W1528</f>
        <v>16</v>
      </c>
      <c r="Y1528" s="49" t="str">
        <f>L1528&amp;X1528</f>
        <v>P16</v>
      </c>
      <c r="Z1528" s="49" t="str">
        <f>S1528&amp;Y1528</f>
        <v>XIP16</v>
      </c>
    </row>
    <row r="1529" spans="6:29" x14ac:dyDescent="0.25">
      <c r="F1529" s="58" t="str">
        <f t="shared" si="58"/>
        <v>XIII AK 12</v>
      </c>
      <c r="G1529" s="5">
        <v>2</v>
      </c>
      <c r="H1529" s="60">
        <v>102017551</v>
      </c>
      <c r="I1529" s="81" t="s">
        <v>1603</v>
      </c>
      <c r="J1529" s="61" t="str">
        <f t="shared" si="59"/>
        <v>102017551/0058398897</v>
      </c>
      <c r="K1529" s="75" t="s">
        <v>1604</v>
      </c>
      <c r="L1529" s="57" t="s">
        <v>381</v>
      </c>
      <c r="M1529" s="72" t="s">
        <v>483</v>
      </c>
      <c r="N1529" s="5" t="s">
        <v>2787</v>
      </c>
      <c r="O1529" s="5" t="s">
        <v>2786</v>
      </c>
      <c r="P1529" s="5" t="str">
        <f t="shared" si="60"/>
        <v>PAK</v>
      </c>
      <c r="R1529" s="49" t="s">
        <v>2788</v>
      </c>
      <c r="S1529" s="49" t="s">
        <v>2789</v>
      </c>
      <c r="T1529" s="49" t="str">
        <f t="shared" ref="T1529:T1591" si="61">L1529&amp;R1529</f>
        <v>PISLAM</v>
      </c>
      <c r="U1529" s="49" t="str">
        <f t="shared" ref="U1529:U1591" si="62">S1529&amp;T1529</f>
        <v>XIPISLAM</v>
      </c>
      <c r="V1529" s="89">
        <v>38564</v>
      </c>
      <c r="W1529" s="49">
        <f t="shared" ref="W1529:W1591" si="63">YEAR(V1529)</f>
        <v>2005</v>
      </c>
      <c r="X1529" s="49">
        <f t="shared" ref="X1529:X1591" si="64">2021-W1529</f>
        <v>16</v>
      </c>
      <c r="Y1529" s="49" t="str">
        <f t="shared" ref="Y1529:Y1591" si="65">L1529&amp;X1529</f>
        <v>P16</v>
      </c>
      <c r="Z1529" s="49" t="str">
        <f t="shared" ref="Z1529:Z1591" si="66">S1529&amp;Y1529</f>
        <v>XIP16</v>
      </c>
    </row>
    <row r="1530" spans="6:29" x14ac:dyDescent="0.25">
      <c r="F1530" s="58" t="str">
        <f t="shared" si="58"/>
        <v>XIII AK 13</v>
      </c>
      <c r="G1530" s="5">
        <v>3</v>
      </c>
      <c r="H1530" s="60">
        <v>102017552</v>
      </c>
      <c r="I1530" s="81" t="s">
        <v>1608</v>
      </c>
      <c r="J1530" s="61" t="str">
        <f t="shared" si="59"/>
        <v>102017552/0048116751</v>
      </c>
      <c r="K1530" s="75" t="s">
        <v>1609</v>
      </c>
      <c r="L1530" s="57" t="s">
        <v>381</v>
      </c>
      <c r="M1530" s="72" t="s">
        <v>483</v>
      </c>
      <c r="N1530" s="5" t="s">
        <v>2787</v>
      </c>
      <c r="O1530" s="5" t="s">
        <v>2786</v>
      </c>
      <c r="P1530" s="5" t="str">
        <f t="shared" si="60"/>
        <v>PAK</v>
      </c>
      <c r="R1530" s="88" t="s">
        <v>2788</v>
      </c>
      <c r="S1530" s="49" t="s">
        <v>2789</v>
      </c>
      <c r="T1530" s="49" t="str">
        <f t="shared" si="61"/>
        <v>PISLAM</v>
      </c>
      <c r="U1530" s="49" t="str">
        <f t="shared" si="62"/>
        <v>XIPISLAM</v>
      </c>
      <c r="V1530" s="89">
        <v>38274</v>
      </c>
      <c r="W1530" s="49">
        <f t="shared" si="63"/>
        <v>2004</v>
      </c>
      <c r="X1530" s="49">
        <f t="shared" si="64"/>
        <v>17</v>
      </c>
      <c r="Y1530" s="49" t="str">
        <f t="shared" si="65"/>
        <v>P17</v>
      </c>
      <c r="Z1530" s="49" t="str">
        <f t="shared" si="66"/>
        <v>XIP17</v>
      </c>
    </row>
    <row r="1531" spans="6:29" ht="15" customHeight="1" x14ac:dyDescent="0.25">
      <c r="F1531" s="58" t="str">
        <f t="shared" si="58"/>
        <v>XIII AK 14</v>
      </c>
      <c r="G1531" s="5">
        <v>4</v>
      </c>
      <c r="H1531" s="60">
        <v>102017554</v>
      </c>
      <c r="I1531" s="84" t="s">
        <v>1619</v>
      </c>
      <c r="J1531" s="61" t="str">
        <f t="shared" si="59"/>
        <v>102017554/3027625150</v>
      </c>
      <c r="K1531" s="73" t="s">
        <v>1620</v>
      </c>
      <c r="L1531" s="57" t="s">
        <v>379</v>
      </c>
      <c r="M1531" s="72" t="s">
        <v>483</v>
      </c>
      <c r="N1531" s="5" t="s">
        <v>2787</v>
      </c>
      <c r="O1531" s="5" t="s">
        <v>2786</v>
      </c>
      <c r="P1531" s="5" t="str">
        <f t="shared" si="60"/>
        <v>LAK</v>
      </c>
      <c r="R1531" s="88" t="s">
        <v>2788</v>
      </c>
      <c r="S1531" s="49" t="s">
        <v>2789</v>
      </c>
      <c r="T1531" s="49" t="str">
        <f t="shared" si="61"/>
        <v>LISLAM</v>
      </c>
      <c r="U1531" s="49" t="str">
        <f t="shared" si="62"/>
        <v>XILISLAM</v>
      </c>
      <c r="V1531" s="90" t="s">
        <v>2790</v>
      </c>
      <c r="W1531" s="49">
        <f t="shared" si="63"/>
        <v>2002</v>
      </c>
      <c r="X1531" s="49">
        <f t="shared" si="64"/>
        <v>19</v>
      </c>
      <c r="Y1531" s="49" t="str">
        <f t="shared" si="65"/>
        <v>L19</v>
      </c>
      <c r="Z1531" s="49" t="str">
        <f t="shared" si="66"/>
        <v>XIL19</v>
      </c>
    </row>
    <row r="1532" spans="6:29" x14ac:dyDescent="0.25">
      <c r="F1532" s="58" t="str">
        <f t="shared" si="58"/>
        <v>XIII AK 15</v>
      </c>
      <c r="G1532" s="5">
        <v>5</v>
      </c>
      <c r="H1532" s="60">
        <v>102017555</v>
      </c>
      <c r="I1532" s="81" t="s">
        <v>1626</v>
      </c>
      <c r="J1532" s="61" t="str">
        <f t="shared" si="59"/>
        <v>102017555/0049057802</v>
      </c>
      <c r="K1532" s="75" t="s">
        <v>1627</v>
      </c>
      <c r="L1532" s="57" t="s">
        <v>379</v>
      </c>
      <c r="M1532" s="72" t="s">
        <v>483</v>
      </c>
      <c r="N1532" s="5" t="s">
        <v>2787</v>
      </c>
      <c r="O1532" s="5" t="s">
        <v>2786</v>
      </c>
      <c r="P1532" s="5" t="str">
        <f t="shared" si="60"/>
        <v>LAK</v>
      </c>
      <c r="R1532" s="49" t="s">
        <v>2788</v>
      </c>
      <c r="S1532" s="49" t="s">
        <v>2789</v>
      </c>
      <c r="T1532" s="49" t="str">
        <f t="shared" si="61"/>
        <v>LISLAM</v>
      </c>
      <c r="U1532" s="49" t="str">
        <f t="shared" si="62"/>
        <v>XILISLAM</v>
      </c>
      <c r="V1532" s="90" t="s">
        <v>2791</v>
      </c>
      <c r="W1532" s="49">
        <f t="shared" si="63"/>
        <v>2004</v>
      </c>
      <c r="X1532" s="49">
        <f t="shared" si="64"/>
        <v>17</v>
      </c>
      <c r="Y1532" s="49" t="str">
        <f t="shared" si="65"/>
        <v>L17</v>
      </c>
      <c r="Z1532" s="49" t="str">
        <f t="shared" si="66"/>
        <v>XIL17</v>
      </c>
    </row>
    <row r="1533" spans="6:29" x14ac:dyDescent="0.25">
      <c r="F1533" s="58" t="str">
        <f t="shared" si="58"/>
        <v>XIII AK 16</v>
      </c>
      <c r="G1533" s="5">
        <v>6</v>
      </c>
      <c r="H1533" s="60">
        <v>102017556</v>
      </c>
      <c r="I1533" s="81" t="s">
        <v>1640</v>
      </c>
      <c r="J1533" s="61" t="str">
        <f t="shared" si="59"/>
        <v>102017556/0045812326</v>
      </c>
      <c r="K1533" s="75" t="s">
        <v>1641</v>
      </c>
      <c r="L1533" s="57" t="s">
        <v>381</v>
      </c>
      <c r="M1533" s="72" t="s">
        <v>483</v>
      </c>
      <c r="N1533" s="5" t="s">
        <v>2787</v>
      </c>
      <c r="O1533" s="5" t="s">
        <v>2786</v>
      </c>
      <c r="P1533" s="5" t="str">
        <f t="shared" si="60"/>
        <v>PAK</v>
      </c>
      <c r="R1533" s="88" t="s">
        <v>2788</v>
      </c>
      <c r="S1533" s="49" t="s">
        <v>2789</v>
      </c>
      <c r="T1533" s="49" t="str">
        <f t="shared" si="61"/>
        <v>PISLAM</v>
      </c>
      <c r="U1533" s="49" t="str">
        <f t="shared" si="62"/>
        <v>XIPISLAM</v>
      </c>
      <c r="V1533" s="90" t="s">
        <v>2792</v>
      </c>
      <c r="W1533" s="49">
        <f t="shared" si="63"/>
        <v>2004</v>
      </c>
      <c r="X1533" s="49">
        <f t="shared" si="64"/>
        <v>17</v>
      </c>
      <c r="Y1533" s="49" t="str">
        <f t="shared" si="65"/>
        <v>P17</v>
      </c>
      <c r="Z1533" s="49" t="str">
        <f t="shared" si="66"/>
        <v>XIP17</v>
      </c>
      <c r="AB1533" s="49" t="s">
        <v>2793</v>
      </c>
      <c r="AC1533" s="49">
        <f t="shared" ref="AC1533:AC1563" si="67">COUNTIF($K$817:$K$1364,AB1533)</f>
        <v>0</v>
      </c>
    </row>
    <row r="1534" spans="6:29" x14ac:dyDescent="0.25">
      <c r="F1534" s="58" t="str">
        <f t="shared" si="58"/>
        <v>XIII AK 17</v>
      </c>
      <c r="G1534" s="5">
        <v>7</v>
      </c>
      <c r="H1534" s="60">
        <v>102017558</v>
      </c>
      <c r="I1534" s="81" t="s">
        <v>1651</v>
      </c>
      <c r="J1534" s="61" t="str">
        <f t="shared" si="59"/>
        <v>102017558/0043469952</v>
      </c>
      <c r="K1534" s="75" t="s">
        <v>1652</v>
      </c>
      <c r="L1534" s="57" t="s">
        <v>381</v>
      </c>
      <c r="M1534" s="72" t="s">
        <v>483</v>
      </c>
      <c r="N1534" s="5" t="s">
        <v>2787</v>
      </c>
      <c r="O1534" s="5" t="s">
        <v>2786</v>
      </c>
      <c r="P1534" s="5" t="str">
        <f t="shared" si="60"/>
        <v>PAK</v>
      </c>
      <c r="R1534" s="88" t="s">
        <v>2788</v>
      </c>
      <c r="S1534" s="49" t="s">
        <v>2789</v>
      </c>
      <c r="T1534" s="49" t="str">
        <f t="shared" si="61"/>
        <v>PISLAM</v>
      </c>
      <c r="U1534" s="49" t="str">
        <f t="shared" si="62"/>
        <v>XIPISLAM</v>
      </c>
      <c r="V1534" s="90" t="s">
        <v>2794</v>
      </c>
      <c r="W1534" s="49">
        <f t="shared" si="63"/>
        <v>2004</v>
      </c>
      <c r="X1534" s="49">
        <f t="shared" si="64"/>
        <v>17</v>
      </c>
      <c r="Y1534" s="49" t="str">
        <f t="shared" si="65"/>
        <v>P17</v>
      </c>
      <c r="Z1534" s="49" t="str">
        <f t="shared" si="66"/>
        <v>XIP17</v>
      </c>
      <c r="AB1534" s="49" t="s">
        <v>2795</v>
      </c>
      <c r="AC1534" s="49">
        <f t="shared" si="67"/>
        <v>0</v>
      </c>
    </row>
    <row r="1535" spans="6:29" ht="17.100000000000001" customHeight="1" x14ac:dyDescent="0.25">
      <c r="F1535" s="58" t="str">
        <f t="shared" si="58"/>
        <v>XIII AK 18</v>
      </c>
      <c r="G1535" s="5">
        <v>8</v>
      </c>
      <c r="H1535" s="60">
        <v>102017559</v>
      </c>
      <c r="I1535" s="84" t="s">
        <v>1657</v>
      </c>
      <c r="J1535" s="61" t="str">
        <f t="shared" si="59"/>
        <v>102017559/0044857862</v>
      </c>
      <c r="K1535" s="73" t="s">
        <v>1658</v>
      </c>
      <c r="L1535" s="57" t="s">
        <v>381</v>
      </c>
      <c r="M1535" s="72" t="s">
        <v>483</v>
      </c>
      <c r="N1535" s="5" t="s">
        <v>2787</v>
      </c>
      <c r="O1535" s="5" t="s">
        <v>2786</v>
      </c>
      <c r="P1535" s="5" t="str">
        <f t="shared" si="60"/>
        <v>PAK</v>
      </c>
      <c r="R1535" s="49" t="s">
        <v>2788</v>
      </c>
      <c r="S1535" s="49" t="s">
        <v>2789</v>
      </c>
      <c r="T1535" s="49" t="str">
        <f t="shared" si="61"/>
        <v>PISLAM</v>
      </c>
      <c r="U1535" s="49" t="str">
        <f t="shared" si="62"/>
        <v>XIPISLAM</v>
      </c>
      <c r="V1535" s="90" t="s">
        <v>2796</v>
      </c>
      <c r="W1535" s="49">
        <f t="shared" si="63"/>
        <v>2004</v>
      </c>
      <c r="X1535" s="49">
        <f t="shared" si="64"/>
        <v>17</v>
      </c>
      <c r="Y1535" s="49" t="str">
        <f t="shared" si="65"/>
        <v>P17</v>
      </c>
      <c r="Z1535" s="49" t="str">
        <f t="shared" si="66"/>
        <v>XIP17</v>
      </c>
      <c r="AB1535" s="49" t="s">
        <v>2797</v>
      </c>
      <c r="AC1535" s="49">
        <f t="shared" si="67"/>
        <v>0</v>
      </c>
    </row>
    <row r="1536" spans="6:29" x14ac:dyDescent="0.25">
      <c r="F1536" s="58" t="str">
        <f t="shared" si="58"/>
        <v>XIII AK 19</v>
      </c>
      <c r="G1536" s="5">
        <v>9</v>
      </c>
      <c r="H1536" s="60">
        <v>102017560</v>
      </c>
      <c r="I1536" s="81" t="s">
        <v>1661</v>
      </c>
      <c r="J1536" s="61" t="str">
        <f t="shared" si="59"/>
        <v>102017560/0044954384</v>
      </c>
      <c r="K1536" s="75" t="s">
        <v>1662</v>
      </c>
      <c r="L1536" s="57" t="s">
        <v>379</v>
      </c>
      <c r="M1536" s="72" t="s">
        <v>483</v>
      </c>
      <c r="N1536" s="5" t="s">
        <v>2787</v>
      </c>
      <c r="O1536" s="5" t="s">
        <v>2786</v>
      </c>
      <c r="P1536" s="5" t="str">
        <f t="shared" si="60"/>
        <v>LAK</v>
      </c>
      <c r="R1536" s="88" t="s">
        <v>2788</v>
      </c>
      <c r="S1536" s="49" t="s">
        <v>2789</v>
      </c>
      <c r="T1536" s="49" t="str">
        <f t="shared" si="61"/>
        <v>LISLAM</v>
      </c>
      <c r="U1536" s="49" t="str">
        <f t="shared" si="62"/>
        <v>XILISLAM</v>
      </c>
      <c r="V1536" s="90" t="s">
        <v>2798</v>
      </c>
      <c r="W1536" s="49">
        <f t="shared" si="63"/>
        <v>2004</v>
      </c>
      <c r="X1536" s="49">
        <f t="shared" si="64"/>
        <v>17</v>
      </c>
      <c r="Y1536" s="49" t="str">
        <f t="shared" si="65"/>
        <v>L17</v>
      </c>
      <c r="Z1536" s="49" t="str">
        <f t="shared" si="66"/>
        <v>XIL17</v>
      </c>
      <c r="AB1536" s="49" t="s">
        <v>2799</v>
      </c>
      <c r="AC1536" s="49">
        <f t="shared" si="67"/>
        <v>0</v>
      </c>
    </row>
    <row r="1537" spans="6:29" ht="18.95" customHeight="1" x14ac:dyDescent="0.25">
      <c r="F1537" s="58" t="str">
        <f t="shared" si="58"/>
        <v>XIII AK 110</v>
      </c>
      <c r="G1537" s="5">
        <v>10</v>
      </c>
      <c r="H1537" s="60">
        <v>102017561</v>
      </c>
      <c r="I1537" s="84" t="s">
        <v>1665</v>
      </c>
      <c r="J1537" s="61" t="str">
        <f t="shared" si="59"/>
        <v>102017561/0053211710</v>
      </c>
      <c r="K1537" s="73" t="s">
        <v>1666</v>
      </c>
      <c r="L1537" s="57" t="s">
        <v>381</v>
      </c>
      <c r="M1537" s="72" t="s">
        <v>483</v>
      </c>
      <c r="N1537" s="5" t="s">
        <v>2787</v>
      </c>
      <c r="O1537" s="5" t="s">
        <v>2786</v>
      </c>
      <c r="P1537" s="5" t="str">
        <f t="shared" si="60"/>
        <v>PAK</v>
      </c>
      <c r="R1537" s="49" t="s">
        <v>2788</v>
      </c>
      <c r="S1537" s="49" t="s">
        <v>2789</v>
      </c>
      <c r="T1537" s="49" t="str">
        <f t="shared" si="61"/>
        <v>PISLAM</v>
      </c>
      <c r="U1537" s="49" t="str">
        <f t="shared" si="62"/>
        <v>XIPISLAM</v>
      </c>
      <c r="V1537" s="90" t="s">
        <v>2800</v>
      </c>
      <c r="W1537" s="49">
        <f t="shared" si="63"/>
        <v>2005</v>
      </c>
      <c r="X1537" s="49">
        <f t="shared" si="64"/>
        <v>16</v>
      </c>
      <c r="Y1537" s="49" t="str">
        <f t="shared" si="65"/>
        <v>P16</v>
      </c>
      <c r="Z1537" s="49" t="str">
        <f t="shared" si="66"/>
        <v>XIP16</v>
      </c>
      <c r="AB1537" s="49" t="s">
        <v>2801</v>
      </c>
      <c r="AC1537" s="49">
        <f t="shared" si="67"/>
        <v>0</v>
      </c>
    </row>
    <row r="1538" spans="6:29" x14ac:dyDescent="0.25">
      <c r="F1538" s="58" t="str">
        <f t="shared" si="58"/>
        <v>XIII AK 111</v>
      </c>
      <c r="G1538" s="5">
        <v>11</v>
      </c>
      <c r="H1538" s="60">
        <v>102017562</v>
      </c>
      <c r="I1538" s="81" t="s">
        <v>1677</v>
      </c>
      <c r="J1538" s="61" t="str">
        <f t="shared" si="59"/>
        <v>102017562/0049284522</v>
      </c>
      <c r="K1538" s="85" t="s">
        <v>1678</v>
      </c>
      <c r="L1538" s="86" t="s">
        <v>381</v>
      </c>
      <c r="M1538" s="72" t="s">
        <v>483</v>
      </c>
      <c r="N1538" s="5" t="s">
        <v>2787</v>
      </c>
      <c r="O1538" s="5" t="s">
        <v>2786</v>
      </c>
      <c r="P1538" s="5" t="str">
        <f t="shared" si="60"/>
        <v>PAK</v>
      </c>
      <c r="R1538" s="88" t="s">
        <v>2788</v>
      </c>
      <c r="S1538" s="49" t="s">
        <v>2789</v>
      </c>
      <c r="T1538" s="49" t="str">
        <f t="shared" si="61"/>
        <v>PISLAM</v>
      </c>
      <c r="U1538" s="49" t="str">
        <f t="shared" si="62"/>
        <v>XIPISLAM</v>
      </c>
      <c r="V1538" s="90" t="s">
        <v>2802</v>
      </c>
      <c r="W1538" s="49">
        <f t="shared" si="63"/>
        <v>2004</v>
      </c>
      <c r="X1538" s="49">
        <f t="shared" si="64"/>
        <v>17</v>
      </c>
      <c r="Y1538" s="49" t="str">
        <f t="shared" si="65"/>
        <v>P17</v>
      </c>
      <c r="Z1538" s="49" t="str">
        <f t="shared" si="66"/>
        <v>XIP17</v>
      </c>
      <c r="AB1538" s="49" t="s">
        <v>2803</v>
      </c>
      <c r="AC1538" s="49">
        <f t="shared" si="67"/>
        <v>0</v>
      </c>
    </row>
    <row r="1539" spans="6:29" ht="20.100000000000001" customHeight="1" x14ac:dyDescent="0.25">
      <c r="F1539" s="58" t="str">
        <f t="shared" si="58"/>
        <v>XIII AK 112</v>
      </c>
      <c r="G1539" s="5">
        <v>12</v>
      </c>
      <c r="H1539" s="60">
        <v>102017563</v>
      </c>
      <c r="I1539" s="84" t="s">
        <v>1681</v>
      </c>
      <c r="J1539" s="61" t="str">
        <f t="shared" si="59"/>
        <v>102017563/0058032536</v>
      </c>
      <c r="K1539" s="87" t="s">
        <v>1682</v>
      </c>
      <c r="L1539" s="86" t="s">
        <v>381</v>
      </c>
      <c r="M1539" s="72" t="s">
        <v>483</v>
      </c>
      <c r="N1539" s="5" t="s">
        <v>2787</v>
      </c>
      <c r="O1539" s="5" t="s">
        <v>2786</v>
      </c>
      <c r="P1539" s="5" t="str">
        <f t="shared" si="60"/>
        <v>PAK</v>
      </c>
      <c r="R1539" s="49" t="s">
        <v>2788</v>
      </c>
      <c r="S1539" s="49" t="s">
        <v>2789</v>
      </c>
      <c r="T1539" s="49" t="str">
        <f t="shared" si="61"/>
        <v>PISLAM</v>
      </c>
      <c r="U1539" s="49" t="str">
        <f t="shared" si="62"/>
        <v>XIPISLAM</v>
      </c>
      <c r="V1539" s="90" t="s">
        <v>2804</v>
      </c>
      <c r="W1539" s="49">
        <f t="shared" si="63"/>
        <v>2005</v>
      </c>
      <c r="X1539" s="49">
        <f t="shared" si="64"/>
        <v>16</v>
      </c>
      <c r="Y1539" s="49" t="str">
        <f t="shared" si="65"/>
        <v>P16</v>
      </c>
      <c r="Z1539" s="49" t="str">
        <f t="shared" si="66"/>
        <v>XIP16</v>
      </c>
      <c r="AB1539" s="49" t="s">
        <v>2805</v>
      </c>
      <c r="AC1539" s="49">
        <f t="shared" si="67"/>
        <v>0</v>
      </c>
    </row>
    <row r="1540" spans="6:29" x14ac:dyDescent="0.25">
      <c r="F1540" s="58" t="str">
        <f t="shared" si="58"/>
        <v>XIII AK 113</v>
      </c>
      <c r="G1540" s="5">
        <v>13</v>
      </c>
      <c r="H1540" s="60">
        <v>102017564</v>
      </c>
      <c r="I1540" s="81" t="s">
        <v>1685</v>
      </c>
      <c r="J1540" s="61" t="str">
        <f t="shared" si="59"/>
        <v>102017564/0058978169</v>
      </c>
      <c r="K1540" s="85" t="s">
        <v>1686</v>
      </c>
      <c r="L1540" s="86" t="s">
        <v>381</v>
      </c>
      <c r="M1540" s="72" t="s">
        <v>483</v>
      </c>
      <c r="N1540" s="5" t="s">
        <v>2787</v>
      </c>
      <c r="O1540" s="5" t="s">
        <v>2786</v>
      </c>
      <c r="P1540" s="5" t="str">
        <f t="shared" si="60"/>
        <v>PAK</v>
      </c>
      <c r="R1540" s="88" t="s">
        <v>2788</v>
      </c>
      <c r="S1540" s="49" t="s">
        <v>2789</v>
      </c>
      <c r="T1540" s="49" t="str">
        <f t="shared" si="61"/>
        <v>PISLAM</v>
      </c>
      <c r="U1540" s="49" t="str">
        <f t="shared" si="62"/>
        <v>XIPISLAM</v>
      </c>
      <c r="V1540" s="90" t="s">
        <v>2806</v>
      </c>
      <c r="W1540" s="49">
        <f t="shared" si="63"/>
        <v>2005</v>
      </c>
      <c r="X1540" s="49">
        <f t="shared" si="64"/>
        <v>16</v>
      </c>
      <c r="Y1540" s="49" t="str">
        <f t="shared" si="65"/>
        <v>P16</v>
      </c>
      <c r="Z1540" s="49" t="str">
        <f t="shared" si="66"/>
        <v>XIP16</v>
      </c>
      <c r="AB1540" s="49" t="s">
        <v>2807</v>
      </c>
      <c r="AC1540" s="49">
        <f t="shared" si="67"/>
        <v>0</v>
      </c>
    </row>
    <row r="1541" spans="6:29" ht="18" customHeight="1" x14ac:dyDescent="0.25">
      <c r="F1541" s="58" t="str">
        <f t="shared" si="58"/>
        <v>XIII AK 114</v>
      </c>
      <c r="G1541" s="5">
        <v>14</v>
      </c>
      <c r="H1541" s="60">
        <v>102017565</v>
      </c>
      <c r="I1541" s="84" t="s">
        <v>1689</v>
      </c>
      <c r="J1541" s="61" t="str">
        <f t="shared" si="59"/>
        <v>102017565/0009379656</v>
      </c>
      <c r="K1541" s="87" t="s">
        <v>1690</v>
      </c>
      <c r="L1541" s="86" t="s">
        <v>381</v>
      </c>
      <c r="M1541" s="72" t="s">
        <v>483</v>
      </c>
      <c r="N1541" s="5" t="s">
        <v>2787</v>
      </c>
      <c r="O1541" s="5" t="s">
        <v>2786</v>
      </c>
      <c r="P1541" s="5" t="str">
        <f t="shared" si="60"/>
        <v>PAK</v>
      </c>
      <c r="R1541" s="49" t="s">
        <v>2788</v>
      </c>
      <c r="S1541" s="49" t="s">
        <v>2789</v>
      </c>
      <c r="T1541" s="49" t="str">
        <f t="shared" si="61"/>
        <v>PISLAM</v>
      </c>
      <c r="U1541" s="49" t="str">
        <f t="shared" si="62"/>
        <v>XIPISLAM</v>
      </c>
      <c r="V1541" s="90" t="s">
        <v>2808</v>
      </c>
      <c r="W1541" s="49">
        <f t="shared" si="63"/>
        <v>2005</v>
      </c>
      <c r="X1541" s="49">
        <f t="shared" si="64"/>
        <v>16</v>
      </c>
      <c r="Y1541" s="49" t="str">
        <f t="shared" si="65"/>
        <v>P16</v>
      </c>
      <c r="Z1541" s="49" t="str">
        <f t="shared" si="66"/>
        <v>XIP16</v>
      </c>
      <c r="AB1541" s="49" t="s">
        <v>2809</v>
      </c>
      <c r="AC1541" s="49">
        <f t="shared" si="67"/>
        <v>0</v>
      </c>
    </row>
    <row r="1542" spans="6:29" x14ac:dyDescent="0.25">
      <c r="F1542" s="58" t="str">
        <f t="shared" si="58"/>
        <v>XIII AK 115</v>
      </c>
      <c r="G1542" s="5">
        <v>15</v>
      </c>
      <c r="H1542" s="60">
        <v>102017566</v>
      </c>
      <c r="I1542" s="81" t="s">
        <v>1693</v>
      </c>
      <c r="J1542" s="61" t="str">
        <f t="shared" si="59"/>
        <v>102017566/0058843074</v>
      </c>
      <c r="K1542" s="85" t="s">
        <v>1694</v>
      </c>
      <c r="L1542" s="86" t="s">
        <v>379</v>
      </c>
      <c r="M1542" s="72" t="s">
        <v>483</v>
      </c>
      <c r="N1542" s="5" t="s">
        <v>2787</v>
      </c>
      <c r="O1542" s="5" t="s">
        <v>2786</v>
      </c>
      <c r="P1542" s="5" t="str">
        <f t="shared" si="60"/>
        <v>LAK</v>
      </c>
      <c r="R1542" s="88" t="s">
        <v>2788</v>
      </c>
      <c r="S1542" s="49" t="s">
        <v>2789</v>
      </c>
      <c r="T1542" s="49" t="str">
        <f t="shared" si="61"/>
        <v>LISLAM</v>
      </c>
      <c r="U1542" s="49" t="str">
        <f t="shared" si="62"/>
        <v>XILISLAM</v>
      </c>
      <c r="V1542" s="90" t="s">
        <v>2810</v>
      </c>
      <c r="W1542" s="49">
        <f t="shared" si="63"/>
        <v>2005</v>
      </c>
      <c r="X1542" s="49">
        <f t="shared" si="64"/>
        <v>16</v>
      </c>
      <c r="Y1542" s="49" t="str">
        <f t="shared" si="65"/>
        <v>L16</v>
      </c>
      <c r="Z1542" s="49" t="str">
        <f t="shared" si="66"/>
        <v>XIL16</v>
      </c>
      <c r="AB1542" s="49" t="s">
        <v>2811</v>
      </c>
      <c r="AC1542" s="49">
        <f t="shared" si="67"/>
        <v>0</v>
      </c>
    </row>
    <row r="1543" spans="6:29" x14ac:dyDescent="0.25">
      <c r="F1543" s="58" t="str">
        <f t="shared" si="58"/>
        <v>XIII AK 116</v>
      </c>
      <c r="G1543" s="5">
        <v>16</v>
      </c>
      <c r="H1543" s="60">
        <v>102017567</v>
      </c>
      <c r="I1543" s="81" t="s">
        <v>1702</v>
      </c>
      <c r="J1543" s="61" t="str">
        <f t="shared" si="59"/>
        <v>102017567/0059999624</v>
      </c>
      <c r="K1543" s="85" t="s">
        <v>1703</v>
      </c>
      <c r="L1543" s="86" t="s">
        <v>379</v>
      </c>
      <c r="M1543" s="72" t="s">
        <v>483</v>
      </c>
      <c r="N1543" s="5" t="s">
        <v>2787</v>
      </c>
      <c r="O1543" s="5" t="s">
        <v>2786</v>
      </c>
      <c r="P1543" s="5" t="str">
        <f t="shared" si="60"/>
        <v>LAK</v>
      </c>
      <c r="R1543" s="49" t="s">
        <v>2788</v>
      </c>
      <c r="S1543" s="49" t="s">
        <v>2789</v>
      </c>
      <c r="T1543" s="49" t="str">
        <f t="shared" si="61"/>
        <v>LISLAM</v>
      </c>
      <c r="U1543" s="49" t="str">
        <f t="shared" si="62"/>
        <v>XILISLAM</v>
      </c>
      <c r="V1543" s="90" t="s">
        <v>2812</v>
      </c>
      <c r="W1543" s="49">
        <f t="shared" si="63"/>
        <v>2005</v>
      </c>
      <c r="X1543" s="49">
        <f t="shared" si="64"/>
        <v>16</v>
      </c>
      <c r="Y1543" s="49" t="str">
        <f t="shared" si="65"/>
        <v>L16</v>
      </c>
      <c r="Z1543" s="49" t="str">
        <f t="shared" si="66"/>
        <v>XIL16</v>
      </c>
      <c r="AB1543" s="49" t="s">
        <v>2813</v>
      </c>
      <c r="AC1543" s="49">
        <f t="shared" si="67"/>
        <v>0</v>
      </c>
    </row>
    <row r="1544" spans="6:29" x14ac:dyDescent="0.25">
      <c r="F1544" s="58" t="str">
        <f t="shared" si="58"/>
        <v>XIII AK 117</v>
      </c>
      <c r="G1544" s="5">
        <v>17</v>
      </c>
      <c r="H1544" s="60">
        <v>102017568</v>
      </c>
      <c r="I1544" s="81" t="s">
        <v>1732</v>
      </c>
      <c r="J1544" s="61" t="str">
        <f t="shared" si="59"/>
        <v>102017568/0056170737</v>
      </c>
      <c r="K1544" s="85" t="s">
        <v>1733</v>
      </c>
      <c r="L1544" s="86" t="s">
        <v>379</v>
      </c>
      <c r="M1544" s="72" t="s">
        <v>483</v>
      </c>
      <c r="N1544" s="5" t="s">
        <v>2787</v>
      </c>
      <c r="O1544" s="5" t="s">
        <v>2786</v>
      </c>
      <c r="P1544" s="5" t="str">
        <f t="shared" si="60"/>
        <v>LAK</v>
      </c>
      <c r="R1544" s="88" t="s">
        <v>2788</v>
      </c>
      <c r="S1544" s="49" t="s">
        <v>2789</v>
      </c>
      <c r="T1544" s="49" t="str">
        <f t="shared" si="61"/>
        <v>LISLAM</v>
      </c>
      <c r="U1544" s="49" t="str">
        <f t="shared" si="62"/>
        <v>XILISLAM</v>
      </c>
      <c r="V1544" s="90" t="s">
        <v>2814</v>
      </c>
      <c r="W1544" s="49">
        <f t="shared" si="63"/>
        <v>2005</v>
      </c>
      <c r="X1544" s="49">
        <f t="shared" si="64"/>
        <v>16</v>
      </c>
      <c r="Y1544" s="49" t="str">
        <f t="shared" si="65"/>
        <v>L16</v>
      </c>
      <c r="Z1544" s="49" t="str">
        <f t="shared" si="66"/>
        <v>XIL16</v>
      </c>
      <c r="AB1544" s="49" t="s">
        <v>2815</v>
      </c>
      <c r="AC1544" s="49">
        <f t="shared" si="67"/>
        <v>0</v>
      </c>
    </row>
    <row r="1545" spans="6:29" x14ac:dyDescent="0.25">
      <c r="F1545" s="58" t="str">
        <f t="shared" si="58"/>
        <v>XIII AK 118</v>
      </c>
      <c r="G1545" s="5">
        <v>18</v>
      </c>
      <c r="H1545" s="60">
        <v>102017569</v>
      </c>
      <c r="I1545" s="81" t="s">
        <v>1754</v>
      </c>
      <c r="J1545" s="61" t="str">
        <f t="shared" si="59"/>
        <v>102017569/0059474765</v>
      </c>
      <c r="K1545" s="85" t="s">
        <v>1755</v>
      </c>
      <c r="L1545" s="86" t="s">
        <v>381</v>
      </c>
      <c r="M1545" s="72" t="s">
        <v>483</v>
      </c>
      <c r="N1545" s="5" t="s">
        <v>2787</v>
      </c>
      <c r="O1545" s="5" t="s">
        <v>2786</v>
      </c>
      <c r="P1545" s="5" t="str">
        <f t="shared" si="60"/>
        <v>PAK</v>
      </c>
      <c r="R1545" s="49" t="s">
        <v>2788</v>
      </c>
      <c r="S1545" s="49" t="s">
        <v>2789</v>
      </c>
      <c r="T1545" s="49" t="str">
        <f t="shared" si="61"/>
        <v>PISLAM</v>
      </c>
      <c r="U1545" s="49" t="str">
        <f t="shared" si="62"/>
        <v>XIPISLAM</v>
      </c>
      <c r="V1545" s="90" t="s">
        <v>2816</v>
      </c>
      <c r="W1545" s="49">
        <f t="shared" si="63"/>
        <v>2005</v>
      </c>
      <c r="X1545" s="49">
        <f t="shared" si="64"/>
        <v>16</v>
      </c>
      <c r="Y1545" s="49" t="str">
        <f t="shared" si="65"/>
        <v>P16</v>
      </c>
      <c r="Z1545" s="49" t="str">
        <f t="shared" si="66"/>
        <v>XIP16</v>
      </c>
      <c r="AB1545" s="49" t="s">
        <v>2817</v>
      </c>
      <c r="AC1545" s="49">
        <f t="shared" si="67"/>
        <v>0</v>
      </c>
    </row>
    <row r="1546" spans="6:29" x14ac:dyDescent="0.25">
      <c r="F1546" s="58" t="str">
        <f t="shared" si="58"/>
        <v>XIII AK 119</v>
      </c>
      <c r="G1546" s="5">
        <v>19</v>
      </c>
      <c r="H1546" s="60">
        <v>102017570</v>
      </c>
      <c r="I1546" s="81" t="s">
        <v>1758</v>
      </c>
      <c r="J1546" s="61" t="str">
        <f t="shared" si="59"/>
        <v>102017570/0046175914</v>
      </c>
      <c r="K1546" s="85" t="s">
        <v>1759</v>
      </c>
      <c r="L1546" s="86" t="s">
        <v>381</v>
      </c>
      <c r="M1546" s="72" t="s">
        <v>483</v>
      </c>
      <c r="N1546" s="5" t="s">
        <v>2787</v>
      </c>
      <c r="O1546" s="5" t="s">
        <v>2786</v>
      </c>
      <c r="P1546" s="5" t="str">
        <f t="shared" si="60"/>
        <v>PAK</v>
      </c>
      <c r="R1546" s="88" t="s">
        <v>2788</v>
      </c>
      <c r="S1546" s="49" t="s">
        <v>2789</v>
      </c>
      <c r="T1546" s="49" t="str">
        <f t="shared" si="61"/>
        <v>PISLAM</v>
      </c>
      <c r="U1546" s="49" t="str">
        <f t="shared" si="62"/>
        <v>XIPISLAM</v>
      </c>
      <c r="V1546" s="90" t="s">
        <v>2818</v>
      </c>
      <c r="W1546" s="49">
        <f t="shared" si="63"/>
        <v>2004</v>
      </c>
      <c r="X1546" s="49">
        <f t="shared" si="64"/>
        <v>17</v>
      </c>
      <c r="Y1546" s="49" t="str">
        <f t="shared" si="65"/>
        <v>P17</v>
      </c>
      <c r="Z1546" s="49" t="str">
        <f t="shared" si="66"/>
        <v>XIP17</v>
      </c>
      <c r="AB1546" s="49" t="s">
        <v>2819</v>
      </c>
      <c r="AC1546" s="49">
        <f t="shared" si="67"/>
        <v>0</v>
      </c>
    </row>
    <row r="1547" spans="6:29" x14ac:dyDescent="0.25">
      <c r="F1547" s="58" t="str">
        <f t="shared" si="58"/>
        <v>XIII AK 120</v>
      </c>
      <c r="G1547" s="5">
        <v>20</v>
      </c>
      <c r="H1547" s="60">
        <v>102017571</v>
      </c>
      <c r="I1547" s="81" t="s">
        <v>1766</v>
      </c>
      <c r="J1547" s="61" t="str">
        <f t="shared" si="59"/>
        <v>102017571/0058889553</v>
      </c>
      <c r="K1547" s="85" t="s">
        <v>1767</v>
      </c>
      <c r="L1547" s="86" t="s">
        <v>381</v>
      </c>
      <c r="M1547" s="72" t="s">
        <v>483</v>
      </c>
      <c r="N1547" s="5" t="s">
        <v>2787</v>
      </c>
      <c r="O1547" s="5" t="s">
        <v>2786</v>
      </c>
      <c r="P1547" s="5" t="str">
        <f t="shared" si="60"/>
        <v>PAK</v>
      </c>
      <c r="R1547" s="49" t="s">
        <v>2788</v>
      </c>
      <c r="S1547" s="49" t="s">
        <v>2789</v>
      </c>
      <c r="T1547" s="49" t="str">
        <f t="shared" si="61"/>
        <v>PISLAM</v>
      </c>
      <c r="U1547" s="49" t="str">
        <f t="shared" si="62"/>
        <v>XIPISLAM</v>
      </c>
      <c r="V1547" s="90" t="s">
        <v>2820</v>
      </c>
      <c r="W1547" s="49">
        <f t="shared" si="63"/>
        <v>2005</v>
      </c>
      <c r="X1547" s="49">
        <f t="shared" si="64"/>
        <v>16</v>
      </c>
      <c r="Y1547" s="49" t="str">
        <f t="shared" si="65"/>
        <v>P16</v>
      </c>
      <c r="Z1547" s="49" t="str">
        <f t="shared" si="66"/>
        <v>XIP16</v>
      </c>
      <c r="AB1547" s="49" t="s">
        <v>2821</v>
      </c>
      <c r="AC1547" s="49">
        <f t="shared" si="67"/>
        <v>0</v>
      </c>
    </row>
    <row r="1548" spans="6:29" x14ac:dyDescent="0.25">
      <c r="F1548" s="58" t="str">
        <f t="shared" si="58"/>
        <v>XIII AK 121</v>
      </c>
      <c r="G1548" s="5">
        <v>21</v>
      </c>
      <c r="H1548" s="60">
        <v>102017572</v>
      </c>
      <c r="I1548" s="81" t="s">
        <v>1782</v>
      </c>
      <c r="J1548" s="61" t="str">
        <f t="shared" si="59"/>
        <v>102017572/0057343896</v>
      </c>
      <c r="K1548" s="85" t="s">
        <v>1783</v>
      </c>
      <c r="L1548" s="86" t="s">
        <v>379</v>
      </c>
      <c r="M1548" s="72" t="s">
        <v>483</v>
      </c>
      <c r="N1548" s="5" t="s">
        <v>2787</v>
      </c>
      <c r="O1548" s="5" t="s">
        <v>2786</v>
      </c>
      <c r="P1548" s="5" t="str">
        <f t="shared" si="60"/>
        <v>LAK</v>
      </c>
      <c r="R1548" s="88" t="s">
        <v>2788</v>
      </c>
      <c r="S1548" s="49" t="s">
        <v>2789</v>
      </c>
      <c r="T1548" s="49" t="str">
        <f t="shared" si="61"/>
        <v>LISLAM</v>
      </c>
      <c r="U1548" s="49" t="str">
        <f t="shared" si="62"/>
        <v>XILISLAM</v>
      </c>
      <c r="V1548" s="90" t="s">
        <v>2822</v>
      </c>
      <c r="W1548" s="49">
        <f t="shared" si="63"/>
        <v>2005</v>
      </c>
      <c r="X1548" s="49">
        <f t="shared" si="64"/>
        <v>16</v>
      </c>
      <c r="Y1548" s="49" t="str">
        <f t="shared" si="65"/>
        <v>L16</v>
      </c>
      <c r="Z1548" s="49" t="str">
        <f t="shared" si="66"/>
        <v>XIL16</v>
      </c>
      <c r="AB1548" s="49" t="s">
        <v>2823</v>
      </c>
      <c r="AC1548" s="49">
        <f t="shared" si="67"/>
        <v>0</v>
      </c>
    </row>
    <row r="1549" spans="6:29" x14ac:dyDescent="0.25">
      <c r="F1549" s="58" t="str">
        <f t="shared" si="58"/>
        <v>XIII AK 122</v>
      </c>
      <c r="G1549" s="5">
        <v>22</v>
      </c>
      <c r="H1549" s="60">
        <v>102017573</v>
      </c>
      <c r="I1549" s="81" t="s">
        <v>1794</v>
      </c>
      <c r="J1549" s="61" t="str">
        <f t="shared" si="59"/>
        <v>102017573/0059410641</v>
      </c>
      <c r="K1549" s="85" t="s">
        <v>1795</v>
      </c>
      <c r="L1549" s="86" t="s">
        <v>379</v>
      </c>
      <c r="M1549" s="72" t="s">
        <v>483</v>
      </c>
      <c r="N1549" s="5" t="s">
        <v>2787</v>
      </c>
      <c r="O1549" s="5" t="s">
        <v>2786</v>
      </c>
      <c r="P1549" s="5" t="str">
        <f t="shared" si="60"/>
        <v>LAK</v>
      </c>
      <c r="R1549" s="49" t="s">
        <v>2788</v>
      </c>
      <c r="S1549" s="49" t="s">
        <v>2789</v>
      </c>
      <c r="T1549" s="49" t="str">
        <f t="shared" si="61"/>
        <v>LISLAM</v>
      </c>
      <c r="U1549" s="49" t="str">
        <f t="shared" si="62"/>
        <v>XILISLAM</v>
      </c>
      <c r="V1549" s="90" t="s">
        <v>2824</v>
      </c>
      <c r="W1549" s="49">
        <f t="shared" si="63"/>
        <v>2005</v>
      </c>
      <c r="X1549" s="49">
        <f t="shared" si="64"/>
        <v>16</v>
      </c>
      <c r="Y1549" s="49" t="str">
        <f t="shared" si="65"/>
        <v>L16</v>
      </c>
      <c r="Z1549" s="49" t="str">
        <f t="shared" si="66"/>
        <v>XIL16</v>
      </c>
      <c r="AB1549" s="49" t="s">
        <v>2825</v>
      </c>
      <c r="AC1549" s="49">
        <f t="shared" si="67"/>
        <v>0</v>
      </c>
    </row>
    <row r="1550" spans="6:29" ht="18" customHeight="1" x14ac:dyDescent="0.25">
      <c r="F1550" s="58" t="str">
        <f t="shared" si="58"/>
        <v>XIII AK 123</v>
      </c>
      <c r="G1550" s="5">
        <v>23</v>
      </c>
      <c r="H1550" s="60">
        <v>102017574</v>
      </c>
      <c r="I1550" s="84" t="s">
        <v>1812</v>
      </c>
      <c r="J1550" s="61" t="str">
        <f t="shared" si="59"/>
        <v>102017574/0045379287</v>
      </c>
      <c r="K1550" s="87" t="s">
        <v>1813</v>
      </c>
      <c r="L1550" s="86" t="s">
        <v>381</v>
      </c>
      <c r="M1550" s="72" t="s">
        <v>483</v>
      </c>
      <c r="N1550" s="5" t="s">
        <v>2787</v>
      </c>
      <c r="O1550" s="5" t="s">
        <v>2786</v>
      </c>
      <c r="P1550" s="5" t="str">
        <f t="shared" si="60"/>
        <v>PAK</v>
      </c>
      <c r="R1550" s="88" t="s">
        <v>2788</v>
      </c>
      <c r="S1550" s="49" t="s">
        <v>2789</v>
      </c>
      <c r="T1550" s="49" t="str">
        <f t="shared" si="61"/>
        <v>PISLAM</v>
      </c>
      <c r="U1550" s="49" t="str">
        <f t="shared" si="62"/>
        <v>XIPISLAM</v>
      </c>
      <c r="V1550" s="90" t="s">
        <v>2826</v>
      </c>
      <c r="W1550" s="49">
        <f t="shared" si="63"/>
        <v>2004</v>
      </c>
      <c r="X1550" s="49">
        <f t="shared" si="64"/>
        <v>17</v>
      </c>
      <c r="Y1550" s="49" t="str">
        <f t="shared" si="65"/>
        <v>P17</v>
      </c>
      <c r="Z1550" s="49" t="str">
        <f t="shared" si="66"/>
        <v>XIP17</v>
      </c>
      <c r="AB1550" s="49" t="s">
        <v>2827</v>
      </c>
      <c r="AC1550" s="49">
        <f t="shared" si="67"/>
        <v>0</v>
      </c>
    </row>
    <row r="1551" spans="6:29" x14ac:dyDescent="0.25">
      <c r="F1551" s="58" t="str">
        <f t="shared" si="58"/>
        <v>XIII AK 124</v>
      </c>
      <c r="G1551" s="5">
        <v>24</v>
      </c>
      <c r="H1551" s="60">
        <v>102017575</v>
      </c>
      <c r="I1551" s="60" t="s">
        <v>1969</v>
      </c>
      <c r="J1551" s="61" t="str">
        <f t="shared" si="59"/>
        <v>102017575/0052242649</v>
      </c>
      <c r="K1551" s="75" t="s">
        <v>1970</v>
      </c>
      <c r="L1551" s="57" t="s">
        <v>381</v>
      </c>
      <c r="M1551" s="72" t="s">
        <v>483</v>
      </c>
      <c r="N1551" s="5" t="s">
        <v>2787</v>
      </c>
      <c r="O1551" s="5" t="s">
        <v>2786</v>
      </c>
      <c r="P1551" s="5" t="str">
        <f t="shared" si="60"/>
        <v>PAK</v>
      </c>
      <c r="R1551" s="49" t="s">
        <v>2788</v>
      </c>
      <c r="S1551" s="49" t="s">
        <v>2789</v>
      </c>
      <c r="T1551" s="49" t="str">
        <f t="shared" si="61"/>
        <v>PISLAM</v>
      </c>
      <c r="U1551" s="49" t="str">
        <f t="shared" si="62"/>
        <v>XIPISLAM</v>
      </c>
      <c r="V1551" s="90" t="s">
        <v>2828</v>
      </c>
      <c r="W1551" s="49">
        <f t="shared" si="63"/>
        <v>2005</v>
      </c>
      <c r="X1551" s="49">
        <f t="shared" si="64"/>
        <v>16</v>
      </c>
      <c r="Y1551" s="49" t="str">
        <f t="shared" si="65"/>
        <v>P16</v>
      </c>
      <c r="Z1551" s="49" t="str">
        <f t="shared" si="66"/>
        <v>XIP16</v>
      </c>
      <c r="AB1551" s="49" t="s">
        <v>2829</v>
      </c>
      <c r="AC1551" s="49">
        <f t="shared" si="67"/>
        <v>0</v>
      </c>
    </row>
    <row r="1552" spans="6:29" x14ac:dyDescent="0.25">
      <c r="F1552" s="58" t="str">
        <f t="shared" si="58"/>
        <v>XIII AK 125</v>
      </c>
      <c r="G1552" s="5">
        <v>25</v>
      </c>
      <c r="H1552" s="60">
        <v>102017576</v>
      </c>
      <c r="I1552" s="81" t="s">
        <v>2004</v>
      </c>
      <c r="J1552" s="61" t="str">
        <f t="shared" si="59"/>
        <v>102017576/0056369172</v>
      </c>
      <c r="K1552" s="85" t="s">
        <v>2005</v>
      </c>
      <c r="L1552" s="86" t="s">
        <v>379</v>
      </c>
      <c r="M1552" s="72" t="s">
        <v>483</v>
      </c>
      <c r="N1552" s="5" t="s">
        <v>2787</v>
      </c>
      <c r="O1552" s="5" t="s">
        <v>2786</v>
      </c>
      <c r="P1552" s="5" t="str">
        <f t="shared" si="60"/>
        <v>LAK</v>
      </c>
      <c r="R1552" s="88" t="s">
        <v>2788</v>
      </c>
      <c r="S1552" s="49" t="s">
        <v>2789</v>
      </c>
      <c r="T1552" s="49" t="str">
        <f t="shared" si="61"/>
        <v>LISLAM</v>
      </c>
      <c r="U1552" s="49" t="str">
        <f t="shared" si="62"/>
        <v>XILISLAM</v>
      </c>
      <c r="V1552" s="90" t="s">
        <v>2830</v>
      </c>
      <c r="W1552" s="49">
        <f t="shared" si="63"/>
        <v>2005</v>
      </c>
      <c r="X1552" s="49">
        <f t="shared" si="64"/>
        <v>16</v>
      </c>
      <c r="Y1552" s="49" t="str">
        <f t="shared" si="65"/>
        <v>L16</v>
      </c>
      <c r="Z1552" s="49" t="str">
        <f t="shared" si="66"/>
        <v>XIL16</v>
      </c>
      <c r="AB1552" s="49" t="s">
        <v>2831</v>
      </c>
      <c r="AC1552" s="49">
        <f t="shared" si="67"/>
        <v>0</v>
      </c>
    </row>
    <row r="1553" spans="6:29" x14ac:dyDescent="0.25">
      <c r="F1553" s="58" t="str">
        <f t="shared" si="58"/>
        <v>XIII AK 126</v>
      </c>
      <c r="G1553" s="5">
        <v>26</v>
      </c>
      <c r="H1553" s="60">
        <v>102017577</v>
      </c>
      <c r="I1553" s="81" t="s">
        <v>2006</v>
      </c>
      <c r="J1553" s="61" t="str">
        <f t="shared" si="59"/>
        <v>102017577/0052133058</v>
      </c>
      <c r="K1553" s="85" t="s">
        <v>2007</v>
      </c>
      <c r="L1553" s="86" t="s">
        <v>379</v>
      </c>
      <c r="M1553" s="72" t="s">
        <v>483</v>
      </c>
      <c r="N1553" s="5" t="s">
        <v>2787</v>
      </c>
      <c r="O1553" s="5" t="s">
        <v>2786</v>
      </c>
      <c r="P1553" s="5" t="str">
        <f t="shared" si="60"/>
        <v>LAK</v>
      </c>
      <c r="R1553" s="49" t="s">
        <v>2788</v>
      </c>
      <c r="S1553" s="49" t="s">
        <v>2789</v>
      </c>
      <c r="T1553" s="49" t="str">
        <f t="shared" si="61"/>
        <v>LISLAM</v>
      </c>
      <c r="U1553" s="49" t="str">
        <f t="shared" si="62"/>
        <v>XILISLAM</v>
      </c>
      <c r="V1553" s="90" t="s">
        <v>2800</v>
      </c>
      <c r="W1553" s="49">
        <f t="shared" si="63"/>
        <v>2005</v>
      </c>
      <c r="X1553" s="49">
        <f t="shared" si="64"/>
        <v>16</v>
      </c>
      <c r="Y1553" s="49" t="str">
        <f t="shared" si="65"/>
        <v>L16</v>
      </c>
      <c r="Z1553" s="49" t="str">
        <f t="shared" si="66"/>
        <v>XIL16</v>
      </c>
      <c r="AB1553" s="49" t="s">
        <v>2832</v>
      </c>
      <c r="AC1553" s="49">
        <f t="shared" si="67"/>
        <v>0</v>
      </c>
    </row>
    <row r="1554" spans="6:29" x14ac:dyDescent="0.25">
      <c r="F1554" s="58" t="str">
        <f t="shared" si="58"/>
        <v>XIII AK 127</v>
      </c>
      <c r="G1554" s="5">
        <v>27</v>
      </c>
      <c r="H1554" s="60">
        <v>102017578</v>
      </c>
      <c r="I1554" s="139" t="s">
        <v>2055</v>
      </c>
      <c r="J1554" s="61" t="str">
        <f t="shared" si="59"/>
        <v>102017578/0054822962</v>
      </c>
      <c r="K1554" s="85" t="s">
        <v>2056</v>
      </c>
      <c r="L1554" s="86" t="s">
        <v>381</v>
      </c>
      <c r="M1554" s="72" t="s">
        <v>483</v>
      </c>
      <c r="N1554" s="5" t="s">
        <v>2787</v>
      </c>
      <c r="O1554" s="5" t="s">
        <v>2786</v>
      </c>
      <c r="P1554" s="5" t="str">
        <f t="shared" si="60"/>
        <v>PAK</v>
      </c>
      <c r="R1554" s="88" t="s">
        <v>2788</v>
      </c>
      <c r="S1554" s="49" t="s">
        <v>2789</v>
      </c>
      <c r="T1554" s="49" t="str">
        <f t="shared" si="61"/>
        <v>PISLAM</v>
      </c>
      <c r="U1554" s="49" t="str">
        <f t="shared" si="62"/>
        <v>XIPISLAM</v>
      </c>
      <c r="V1554" s="90" t="s">
        <v>2833</v>
      </c>
      <c r="W1554" s="49">
        <f t="shared" si="63"/>
        <v>2005</v>
      </c>
      <c r="X1554" s="49">
        <f t="shared" si="64"/>
        <v>16</v>
      </c>
      <c r="Y1554" s="49" t="str">
        <f t="shared" si="65"/>
        <v>P16</v>
      </c>
      <c r="Z1554" s="49" t="str">
        <f t="shared" si="66"/>
        <v>XIP16</v>
      </c>
      <c r="AB1554" s="49" t="s">
        <v>2834</v>
      </c>
      <c r="AC1554" s="49">
        <f t="shared" si="67"/>
        <v>0</v>
      </c>
    </row>
    <row r="1555" spans="6:29" x14ac:dyDescent="0.25">
      <c r="F1555" s="58" t="str">
        <f t="shared" si="58"/>
        <v>XIII AK 128</v>
      </c>
      <c r="G1555" s="5">
        <v>28</v>
      </c>
      <c r="H1555" s="60">
        <v>102017579</v>
      </c>
      <c r="I1555" s="81" t="s">
        <v>2073</v>
      </c>
      <c r="J1555" s="61" t="str">
        <f t="shared" si="59"/>
        <v>102017579/0044669091</v>
      </c>
      <c r="K1555" s="85" t="s">
        <v>2074</v>
      </c>
      <c r="L1555" s="86" t="s">
        <v>381</v>
      </c>
      <c r="M1555" s="72" t="s">
        <v>483</v>
      </c>
      <c r="N1555" s="5" t="s">
        <v>2787</v>
      </c>
      <c r="O1555" s="5" t="s">
        <v>2786</v>
      </c>
      <c r="P1555" s="5" t="str">
        <f t="shared" si="60"/>
        <v>PAK</v>
      </c>
      <c r="R1555" s="49" t="s">
        <v>2788</v>
      </c>
      <c r="S1555" s="49" t="s">
        <v>2789</v>
      </c>
      <c r="T1555" s="49" t="str">
        <f t="shared" si="61"/>
        <v>PISLAM</v>
      </c>
      <c r="U1555" s="49" t="str">
        <f t="shared" si="62"/>
        <v>XIPISLAM</v>
      </c>
      <c r="V1555" s="90" t="s">
        <v>2835</v>
      </c>
      <c r="W1555" s="49">
        <f t="shared" si="63"/>
        <v>2004</v>
      </c>
      <c r="X1555" s="49">
        <f t="shared" si="64"/>
        <v>17</v>
      </c>
      <c r="Y1555" s="49" t="str">
        <f t="shared" si="65"/>
        <v>P17</v>
      </c>
      <c r="Z1555" s="49" t="str">
        <f t="shared" si="66"/>
        <v>XIP17</v>
      </c>
      <c r="AB1555" s="49" t="s">
        <v>2836</v>
      </c>
      <c r="AC1555" s="49">
        <f t="shared" si="67"/>
        <v>0</v>
      </c>
    </row>
    <row r="1556" spans="6:29" x14ac:dyDescent="0.25">
      <c r="F1556" s="58" t="str">
        <f t="shared" si="58"/>
        <v>XIII AK 129</v>
      </c>
      <c r="G1556" s="5">
        <v>29</v>
      </c>
      <c r="H1556" s="60">
        <v>102017580</v>
      </c>
      <c r="I1556" s="81" t="s">
        <v>2075</v>
      </c>
      <c r="J1556" s="61" t="str">
        <f t="shared" si="59"/>
        <v>102017580/0052519110</v>
      </c>
      <c r="K1556" s="85" t="s">
        <v>2076</v>
      </c>
      <c r="L1556" s="86" t="s">
        <v>381</v>
      </c>
      <c r="M1556" s="72" t="s">
        <v>483</v>
      </c>
      <c r="N1556" s="5" t="s">
        <v>2787</v>
      </c>
      <c r="O1556" s="5" t="s">
        <v>2786</v>
      </c>
      <c r="P1556" s="5" t="str">
        <f t="shared" si="60"/>
        <v>PAK</v>
      </c>
      <c r="R1556" s="88" t="s">
        <v>2788</v>
      </c>
      <c r="S1556" s="49" t="s">
        <v>2789</v>
      </c>
      <c r="T1556" s="49" t="str">
        <f t="shared" si="61"/>
        <v>PISLAM</v>
      </c>
      <c r="U1556" s="49" t="str">
        <f t="shared" si="62"/>
        <v>XIPISLAM</v>
      </c>
      <c r="V1556" s="90" t="s">
        <v>2837</v>
      </c>
      <c r="W1556" s="49">
        <f t="shared" si="63"/>
        <v>2005</v>
      </c>
      <c r="X1556" s="49">
        <f t="shared" si="64"/>
        <v>16</v>
      </c>
      <c r="Y1556" s="49" t="str">
        <f t="shared" si="65"/>
        <v>P16</v>
      </c>
      <c r="Z1556" s="49" t="str">
        <f t="shared" si="66"/>
        <v>XIP16</v>
      </c>
      <c r="AB1556" s="49" t="s">
        <v>2838</v>
      </c>
      <c r="AC1556" s="49">
        <f t="shared" si="67"/>
        <v>0</v>
      </c>
    </row>
    <row r="1557" spans="6:29" x14ac:dyDescent="0.25">
      <c r="F1557" s="58" t="str">
        <f t="shared" si="58"/>
        <v>XIII AK 130</v>
      </c>
      <c r="G1557" s="5">
        <v>30</v>
      </c>
      <c r="H1557" s="60">
        <v>102017581</v>
      </c>
      <c r="I1557" s="81" t="s">
        <v>2083</v>
      </c>
      <c r="J1557" s="61" t="str">
        <f t="shared" si="59"/>
        <v>102017581/0049766048</v>
      </c>
      <c r="K1557" s="85" t="s">
        <v>2084</v>
      </c>
      <c r="L1557" s="86" t="s">
        <v>381</v>
      </c>
      <c r="M1557" s="72" t="s">
        <v>483</v>
      </c>
      <c r="N1557" s="5" t="s">
        <v>2787</v>
      </c>
      <c r="O1557" s="5" t="s">
        <v>2786</v>
      </c>
      <c r="P1557" s="5" t="str">
        <f t="shared" si="60"/>
        <v>PAK</v>
      </c>
      <c r="R1557" s="49" t="s">
        <v>2788</v>
      </c>
      <c r="S1557" s="49" t="s">
        <v>2789</v>
      </c>
      <c r="T1557" s="49" t="str">
        <f t="shared" si="61"/>
        <v>PISLAM</v>
      </c>
      <c r="U1557" s="49" t="str">
        <f t="shared" si="62"/>
        <v>XIPISLAM</v>
      </c>
      <c r="V1557" s="90" t="s">
        <v>2839</v>
      </c>
      <c r="W1557" s="49">
        <f t="shared" si="63"/>
        <v>2004</v>
      </c>
      <c r="X1557" s="49">
        <f t="shared" si="64"/>
        <v>17</v>
      </c>
      <c r="Y1557" s="49" t="str">
        <f t="shared" si="65"/>
        <v>P17</v>
      </c>
      <c r="Z1557" s="49" t="str">
        <f t="shared" si="66"/>
        <v>XIP17</v>
      </c>
      <c r="AB1557" s="49" t="s">
        <v>2840</v>
      </c>
      <c r="AC1557" s="49">
        <f t="shared" si="67"/>
        <v>0</v>
      </c>
    </row>
    <row r="1558" spans="6:29" x14ac:dyDescent="0.25">
      <c r="F1558" s="58" t="str">
        <f t="shared" si="58"/>
        <v>XIII AK 131</v>
      </c>
      <c r="G1558" s="5">
        <v>31</v>
      </c>
      <c r="H1558" s="60">
        <v>102017582</v>
      </c>
      <c r="I1558" s="81" t="s">
        <v>2125</v>
      </c>
      <c r="J1558" s="61" t="str">
        <f t="shared" si="59"/>
        <v>102017582/0042262917</v>
      </c>
      <c r="K1558" s="85" t="s">
        <v>2126</v>
      </c>
      <c r="L1558" s="86" t="s">
        <v>381</v>
      </c>
      <c r="M1558" s="72" t="s">
        <v>483</v>
      </c>
      <c r="N1558" s="5" t="s">
        <v>2787</v>
      </c>
      <c r="O1558" s="5" t="s">
        <v>2786</v>
      </c>
      <c r="P1558" s="5" t="str">
        <f t="shared" si="60"/>
        <v>PAK</v>
      </c>
      <c r="R1558" s="88" t="s">
        <v>2788</v>
      </c>
      <c r="S1558" s="49" t="s">
        <v>2789</v>
      </c>
      <c r="T1558" s="49" t="str">
        <f t="shared" si="61"/>
        <v>PISLAM</v>
      </c>
      <c r="U1558" s="49" t="str">
        <f t="shared" si="62"/>
        <v>XIPISLAM</v>
      </c>
      <c r="V1558" s="90" t="s">
        <v>2841</v>
      </c>
      <c r="W1558" s="49">
        <f t="shared" si="63"/>
        <v>2004</v>
      </c>
      <c r="X1558" s="49">
        <f t="shared" si="64"/>
        <v>17</v>
      </c>
      <c r="Y1558" s="49" t="str">
        <f t="shared" si="65"/>
        <v>P17</v>
      </c>
      <c r="Z1558" s="49" t="str">
        <f t="shared" si="66"/>
        <v>XIP17</v>
      </c>
      <c r="AB1558" s="49" t="s">
        <v>2842</v>
      </c>
      <c r="AC1558" s="49">
        <f t="shared" si="67"/>
        <v>0</v>
      </c>
    </row>
    <row r="1559" spans="6:29" x14ac:dyDescent="0.25">
      <c r="F1559" s="58" t="str">
        <f t="shared" si="58"/>
        <v>XIII AK 132</v>
      </c>
      <c r="G1559" s="5">
        <v>32</v>
      </c>
      <c r="H1559" s="60">
        <v>102017583</v>
      </c>
      <c r="I1559" s="81" t="s">
        <v>2215</v>
      </c>
      <c r="J1559" s="61" t="str">
        <f t="shared" si="59"/>
        <v>102017583/0057229434</v>
      </c>
      <c r="K1559" s="85" t="s">
        <v>2216</v>
      </c>
      <c r="L1559" s="86" t="s">
        <v>381</v>
      </c>
      <c r="M1559" s="72" t="s">
        <v>483</v>
      </c>
      <c r="N1559" s="5" t="s">
        <v>2787</v>
      </c>
      <c r="O1559" s="5" t="s">
        <v>2786</v>
      </c>
      <c r="P1559" s="5" t="str">
        <f t="shared" si="60"/>
        <v>PAK</v>
      </c>
      <c r="R1559" s="49" t="s">
        <v>2788</v>
      </c>
      <c r="S1559" s="49" t="s">
        <v>2789</v>
      </c>
      <c r="T1559" s="49" t="str">
        <f t="shared" si="61"/>
        <v>PISLAM</v>
      </c>
      <c r="U1559" s="49" t="str">
        <f t="shared" si="62"/>
        <v>XIPISLAM</v>
      </c>
      <c r="V1559" s="90" t="s">
        <v>2843</v>
      </c>
      <c r="W1559" s="49">
        <f t="shared" si="63"/>
        <v>2005</v>
      </c>
      <c r="X1559" s="49">
        <f t="shared" si="64"/>
        <v>16</v>
      </c>
      <c r="Y1559" s="49" t="str">
        <f t="shared" si="65"/>
        <v>P16</v>
      </c>
      <c r="Z1559" s="49" t="str">
        <f t="shared" si="66"/>
        <v>XIP16</v>
      </c>
      <c r="AB1559" s="49" t="s">
        <v>2844</v>
      </c>
      <c r="AC1559" s="49">
        <f t="shared" si="67"/>
        <v>0</v>
      </c>
    </row>
    <row r="1560" spans="6:29" x14ac:dyDescent="0.25">
      <c r="F1560" s="58" t="str">
        <f t="shared" si="58"/>
        <v>XIII AK 133</v>
      </c>
      <c r="G1560" s="5">
        <v>33</v>
      </c>
      <c r="H1560" s="60">
        <v>102017584</v>
      </c>
      <c r="I1560" s="81" t="s">
        <v>2258</v>
      </c>
      <c r="J1560" s="61" t="str">
        <f t="shared" si="59"/>
        <v>102017584/0058167167</v>
      </c>
      <c r="K1560" s="85" t="s">
        <v>2259</v>
      </c>
      <c r="L1560" s="86" t="s">
        <v>381</v>
      </c>
      <c r="M1560" s="72" t="s">
        <v>483</v>
      </c>
      <c r="N1560" s="5" t="s">
        <v>2787</v>
      </c>
      <c r="O1560" s="5" t="s">
        <v>2786</v>
      </c>
      <c r="P1560" s="5" t="str">
        <f t="shared" si="60"/>
        <v>PAK</v>
      </c>
      <c r="R1560" s="88" t="s">
        <v>2788</v>
      </c>
      <c r="S1560" s="49" t="s">
        <v>2789</v>
      </c>
      <c r="T1560" s="49" t="str">
        <f t="shared" si="61"/>
        <v>PISLAM</v>
      </c>
      <c r="U1560" s="49" t="str">
        <f t="shared" si="62"/>
        <v>XIPISLAM</v>
      </c>
      <c r="V1560" s="90" t="s">
        <v>2845</v>
      </c>
      <c r="W1560" s="49">
        <f t="shared" si="63"/>
        <v>2005</v>
      </c>
      <c r="X1560" s="49">
        <f t="shared" si="64"/>
        <v>16</v>
      </c>
      <c r="Y1560" s="49" t="str">
        <f t="shared" si="65"/>
        <v>P16</v>
      </c>
      <c r="Z1560" s="49" t="str">
        <f t="shared" si="66"/>
        <v>XIP16</v>
      </c>
      <c r="AB1560" s="49" t="s">
        <v>2846</v>
      </c>
      <c r="AC1560" s="49">
        <f t="shared" si="67"/>
        <v>0</v>
      </c>
    </row>
    <row r="1561" spans="6:29" x14ac:dyDescent="0.25">
      <c r="F1561" s="58" t="str">
        <f t="shared" si="58"/>
        <v>XIII AK 134</v>
      </c>
      <c r="G1561" s="5">
        <v>34</v>
      </c>
      <c r="H1561" s="60">
        <v>102017585</v>
      </c>
      <c r="I1561" s="81" t="s">
        <v>2340</v>
      </c>
      <c r="J1561" s="61" t="str">
        <f t="shared" si="59"/>
        <v>102017585/0051023007</v>
      </c>
      <c r="K1561" s="91" t="s">
        <v>2341</v>
      </c>
      <c r="L1561" s="86" t="s">
        <v>381</v>
      </c>
      <c r="M1561" s="72" t="s">
        <v>483</v>
      </c>
      <c r="N1561" s="5" t="s">
        <v>2787</v>
      </c>
      <c r="O1561" s="5" t="s">
        <v>2786</v>
      </c>
      <c r="P1561" s="5" t="str">
        <f t="shared" si="60"/>
        <v>PAK</v>
      </c>
      <c r="R1561" s="49" t="s">
        <v>2788</v>
      </c>
      <c r="S1561" s="49" t="s">
        <v>2789</v>
      </c>
      <c r="T1561" s="49" t="str">
        <f t="shared" si="61"/>
        <v>PISLAM</v>
      </c>
      <c r="U1561" s="49" t="str">
        <f t="shared" si="62"/>
        <v>XIPISLAM</v>
      </c>
      <c r="V1561" s="90" t="s">
        <v>2847</v>
      </c>
      <c r="W1561" s="49">
        <f t="shared" si="63"/>
        <v>2005</v>
      </c>
      <c r="X1561" s="49">
        <f t="shared" si="64"/>
        <v>16</v>
      </c>
      <c r="Y1561" s="49" t="str">
        <f t="shared" si="65"/>
        <v>P16</v>
      </c>
      <c r="Z1561" s="49" t="str">
        <f t="shared" si="66"/>
        <v>XIP16</v>
      </c>
      <c r="AB1561" s="49" t="s">
        <v>2848</v>
      </c>
      <c r="AC1561" s="49">
        <f t="shared" si="67"/>
        <v>0</v>
      </c>
    </row>
    <row r="1562" spans="6:29" ht="18" customHeight="1" x14ac:dyDescent="0.25">
      <c r="F1562" s="58" t="str">
        <f t="shared" si="58"/>
        <v>XIII AK 21</v>
      </c>
      <c r="G1562" s="5">
        <v>1</v>
      </c>
      <c r="H1562" s="60">
        <v>102017586</v>
      </c>
      <c r="I1562" s="84" t="s">
        <v>1621</v>
      </c>
      <c r="J1562" s="61" t="str">
        <f t="shared" si="59"/>
        <v>102017586/0046306973</v>
      </c>
      <c r="K1562" s="92" t="s">
        <v>1622</v>
      </c>
      <c r="L1562" s="86" t="s">
        <v>379</v>
      </c>
      <c r="M1562" s="72" t="s">
        <v>449</v>
      </c>
      <c r="N1562" s="5" t="s">
        <v>2787</v>
      </c>
      <c r="O1562" s="5" t="s">
        <v>2786</v>
      </c>
      <c r="P1562" s="5" t="str">
        <f t="shared" si="60"/>
        <v>LAK</v>
      </c>
      <c r="R1562" s="88" t="s">
        <v>2788</v>
      </c>
      <c r="S1562" s="49" t="s">
        <v>2789</v>
      </c>
      <c r="T1562" s="49" t="str">
        <f t="shared" si="61"/>
        <v>LISLAM</v>
      </c>
      <c r="U1562" s="49" t="str">
        <f t="shared" si="62"/>
        <v>XILISLAM</v>
      </c>
      <c r="V1562" s="90" t="s">
        <v>2849</v>
      </c>
      <c r="W1562" s="49">
        <f t="shared" si="63"/>
        <v>2004</v>
      </c>
      <c r="X1562" s="49">
        <f t="shared" si="64"/>
        <v>17</v>
      </c>
      <c r="Y1562" s="49" t="str">
        <f t="shared" si="65"/>
        <v>L17</v>
      </c>
      <c r="Z1562" s="49" t="str">
        <f t="shared" si="66"/>
        <v>XIL17</v>
      </c>
      <c r="AB1562" s="49" t="s">
        <v>2850</v>
      </c>
      <c r="AC1562" s="49">
        <f t="shared" si="67"/>
        <v>0</v>
      </c>
    </row>
    <row r="1563" spans="6:29" x14ac:dyDescent="0.25">
      <c r="F1563" s="58" t="str">
        <f t="shared" si="58"/>
        <v>XIII AK 22</v>
      </c>
      <c r="G1563" s="5">
        <v>2</v>
      </c>
      <c r="H1563" s="60">
        <v>102017587</v>
      </c>
      <c r="I1563" s="81" t="s">
        <v>1633</v>
      </c>
      <c r="J1563" s="61" t="str">
        <f t="shared" si="59"/>
        <v>102017587/0045464947</v>
      </c>
      <c r="K1563" s="91" t="s">
        <v>1634</v>
      </c>
      <c r="L1563" s="86" t="s">
        <v>379</v>
      </c>
      <c r="M1563" s="72" t="s">
        <v>449</v>
      </c>
      <c r="N1563" s="5" t="s">
        <v>2787</v>
      </c>
      <c r="O1563" s="5" t="s">
        <v>2786</v>
      </c>
      <c r="P1563" s="5" t="str">
        <f t="shared" si="60"/>
        <v>LAK</v>
      </c>
      <c r="R1563" s="49" t="s">
        <v>2788</v>
      </c>
      <c r="S1563" s="49" t="s">
        <v>2789</v>
      </c>
      <c r="T1563" s="49" t="str">
        <f t="shared" si="61"/>
        <v>LISLAM</v>
      </c>
      <c r="U1563" s="49" t="str">
        <f t="shared" si="62"/>
        <v>XILISLAM</v>
      </c>
      <c r="V1563" s="90" t="s">
        <v>2851</v>
      </c>
      <c r="W1563" s="49">
        <f t="shared" si="63"/>
        <v>2004</v>
      </c>
      <c r="X1563" s="49">
        <f t="shared" si="64"/>
        <v>17</v>
      </c>
      <c r="Y1563" s="49" t="str">
        <f t="shared" si="65"/>
        <v>L17</v>
      </c>
      <c r="Z1563" s="49" t="str">
        <f t="shared" si="66"/>
        <v>XIL17</v>
      </c>
      <c r="AB1563" s="49" t="s">
        <v>2852</v>
      </c>
      <c r="AC1563" s="49">
        <f t="shared" si="67"/>
        <v>0</v>
      </c>
    </row>
    <row r="1564" spans="6:29" x14ac:dyDescent="0.25">
      <c r="F1564" s="58" t="str">
        <f t="shared" si="58"/>
        <v>XIII AK 23</v>
      </c>
      <c r="G1564" s="5">
        <v>3</v>
      </c>
      <c r="H1564" s="60">
        <v>102017588</v>
      </c>
      <c r="I1564" s="81" t="s">
        <v>1659</v>
      </c>
      <c r="J1564" s="61" t="str">
        <f t="shared" si="59"/>
        <v>102017588/0026860281</v>
      </c>
      <c r="K1564" s="91" t="s">
        <v>1660</v>
      </c>
      <c r="L1564" s="86" t="s">
        <v>381</v>
      </c>
      <c r="M1564" s="72" t="s">
        <v>449</v>
      </c>
      <c r="N1564" s="5" t="s">
        <v>2787</v>
      </c>
      <c r="O1564" s="5" t="s">
        <v>2786</v>
      </c>
      <c r="P1564" s="5" t="str">
        <f t="shared" si="60"/>
        <v>PAK</v>
      </c>
      <c r="R1564" s="88" t="s">
        <v>2788</v>
      </c>
      <c r="S1564" s="49" t="s">
        <v>2789</v>
      </c>
      <c r="T1564" s="49" t="str">
        <f t="shared" si="61"/>
        <v>PISLAM</v>
      </c>
      <c r="U1564" s="49" t="str">
        <f t="shared" si="62"/>
        <v>XIPISLAM</v>
      </c>
      <c r="V1564" s="90" t="s">
        <v>2853</v>
      </c>
      <c r="W1564" s="49">
        <f t="shared" si="63"/>
        <v>2005</v>
      </c>
      <c r="X1564" s="49">
        <f t="shared" si="64"/>
        <v>16</v>
      </c>
      <c r="Y1564" s="49" t="str">
        <f t="shared" si="65"/>
        <v>P16</v>
      </c>
      <c r="Z1564" s="49" t="str">
        <f t="shared" si="66"/>
        <v>XIP16</v>
      </c>
      <c r="AC1564" s="49">
        <f>SUM(AC1532:AC1563)</f>
        <v>0</v>
      </c>
    </row>
    <row r="1565" spans="6:29" x14ac:dyDescent="0.25">
      <c r="F1565" s="58" t="str">
        <f t="shared" si="58"/>
        <v>XIII AK 24</v>
      </c>
      <c r="G1565" s="5">
        <v>4</v>
      </c>
      <c r="H1565" s="60">
        <v>102017589</v>
      </c>
      <c r="I1565" s="81" t="s">
        <v>1687</v>
      </c>
      <c r="J1565" s="61" t="str">
        <f t="shared" si="59"/>
        <v>102017589/0055764409</v>
      </c>
      <c r="K1565" s="91" t="s">
        <v>1688</v>
      </c>
      <c r="L1565" s="86" t="s">
        <v>381</v>
      </c>
      <c r="M1565" s="72" t="s">
        <v>449</v>
      </c>
      <c r="N1565" s="5" t="s">
        <v>2787</v>
      </c>
      <c r="O1565" s="5" t="s">
        <v>2786</v>
      </c>
      <c r="P1565" s="5" t="str">
        <f t="shared" si="60"/>
        <v>PAK</v>
      </c>
      <c r="R1565" s="49" t="s">
        <v>2788</v>
      </c>
      <c r="S1565" s="49" t="s">
        <v>2789</v>
      </c>
      <c r="T1565" s="49" t="str">
        <f t="shared" si="61"/>
        <v>PISLAM</v>
      </c>
      <c r="U1565" s="49" t="str">
        <f t="shared" si="62"/>
        <v>XIPISLAM</v>
      </c>
      <c r="V1565" s="90" t="s">
        <v>2854</v>
      </c>
      <c r="W1565" s="49">
        <f t="shared" si="63"/>
        <v>2005</v>
      </c>
      <c r="X1565" s="49">
        <f t="shared" si="64"/>
        <v>16</v>
      </c>
      <c r="Y1565" s="49" t="str">
        <f t="shared" si="65"/>
        <v>P16</v>
      </c>
      <c r="Z1565" s="49" t="str">
        <f t="shared" si="66"/>
        <v>XIP16</v>
      </c>
    </row>
    <row r="1566" spans="6:29" x14ac:dyDescent="0.25">
      <c r="F1566" s="58" t="str">
        <f t="shared" si="58"/>
        <v>XIII AK 25</v>
      </c>
      <c r="G1566" s="5">
        <v>5</v>
      </c>
      <c r="H1566" s="60">
        <v>102017591</v>
      </c>
      <c r="I1566" s="81" t="s">
        <v>1697</v>
      </c>
      <c r="J1566" s="61" t="str">
        <f t="shared" si="59"/>
        <v>102017591/0046624490</v>
      </c>
      <c r="K1566" s="91" t="s">
        <v>1698</v>
      </c>
      <c r="L1566" s="86" t="s">
        <v>381</v>
      </c>
      <c r="M1566" s="72" t="s">
        <v>449</v>
      </c>
      <c r="N1566" s="5" t="s">
        <v>2787</v>
      </c>
      <c r="O1566" s="5" t="s">
        <v>2786</v>
      </c>
      <c r="P1566" s="5" t="str">
        <f t="shared" si="60"/>
        <v>PAK</v>
      </c>
      <c r="R1566" s="88" t="s">
        <v>2788</v>
      </c>
      <c r="S1566" s="49" t="s">
        <v>2789</v>
      </c>
      <c r="T1566" s="49" t="str">
        <f t="shared" si="61"/>
        <v>PISLAM</v>
      </c>
      <c r="U1566" s="49" t="str">
        <f t="shared" si="62"/>
        <v>XIPISLAM</v>
      </c>
      <c r="V1566" s="90" t="s">
        <v>2855</v>
      </c>
      <c r="W1566" s="49">
        <f t="shared" si="63"/>
        <v>2005</v>
      </c>
      <c r="X1566" s="49">
        <f t="shared" si="64"/>
        <v>16</v>
      </c>
      <c r="Y1566" s="49" t="str">
        <f t="shared" si="65"/>
        <v>P16</v>
      </c>
      <c r="Z1566" s="49" t="str">
        <f t="shared" si="66"/>
        <v>XIP16</v>
      </c>
    </row>
    <row r="1567" spans="6:29" x14ac:dyDescent="0.25">
      <c r="F1567" s="58" t="str">
        <f t="shared" si="58"/>
        <v>XIII AK 26</v>
      </c>
      <c r="G1567" s="5">
        <v>6</v>
      </c>
      <c r="H1567" s="60">
        <v>102017592</v>
      </c>
      <c r="I1567" s="81" t="s">
        <v>1718</v>
      </c>
      <c r="J1567" s="61" t="str">
        <f t="shared" si="59"/>
        <v>102017592/0048221108</v>
      </c>
      <c r="K1567" s="91" t="s">
        <v>1719</v>
      </c>
      <c r="L1567" s="86" t="s">
        <v>381</v>
      </c>
      <c r="M1567" s="72" t="s">
        <v>449</v>
      </c>
      <c r="N1567" s="5" t="s">
        <v>2787</v>
      </c>
      <c r="O1567" s="5" t="s">
        <v>2786</v>
      </c>
      <c r="P1567" s="5" t="str">
        <f t="shared" si="60"/>
        <v>PAK</v>
      </c>
      <c r="R1567" s="49" t="s">
        <v>2788</v>
      </c>
      <c r="S1567" s="49" t="s">
        <v>2789</v>
      </c>
      <c r="T1567" s="49" t="str">
        <f t="shared" si="61"/>
        <v>PISLAM</v>
      </c>
      <c r="U1567" s="49" t="str">
        <f t="shared" si="62"/>
        <v>XIPISLAM</v>
      </c>
      <c r="V1567" s="90" t="s">
        <v>2856</v>
      </c>
      <c r="W1567" s="49">
        <f t="shared" si="63"/>
        <v>2004</v>
      </c>
      <c r="X1567" s="49">
        <f t="shared" si="64"/>
        <v>17</v>
      </c>
      <c r="Y1567" s="49" t="str">
        <f t="shared" si="65"/>
        <v>P17</v>
      </c>
      <c r="Z1567" s="49" t="str">
        <f t="shared" si="66"/>
        <v>XIP17</v>
      </c>
    </row>
    <row r="1568" spans="6:29" x14ac:dyDescent="0.25">
      <c r="F1568" s="58" t="str">
        <f t="shared" si="58"/>
        <v>XIII AK 27</v>
      </c>
      <c r="G1568" s="5">
        <v>7</v>
      </c>
      <c r="H1568" s="60">
        <v>102017593</v>
      </c>
      <c r="I1568" s="60" t="s">
        <v>1720</v>
      </c>
      <c r="J1568" s="61" t="str">
        <f t="shared" si="59"/>
        <v>102017593/0049571415</v>
      </c>
      <c r="K1568" s="75" t="s">
        <v>1721</v>
      </c>
      <c r="L1568" s="57" t="s">
        <v>381</v>
      </c>
      <c r="M1568" s="72" t="s">
        <v>449</v>
      </c>
      <c r="N1568" s="5" t="s">
        <v>2787</v>
      </c>
      <c r="O1568" s="5" t="s">
        <v>2786</v>
      </c>
      <c r="P1568" s="5" t="str">
        <f t="shared" si="60"/>
        <v>PAK</v>
      </c>
      <c r="R1568" s="88" t="s">
        <v>2788</v>
      </c>
      <c r="S1568" s="49" t="s">
        <v>2789</v>
      </c>
      <c r="T1568" s="49" t="str">
        <f t="shared" si="61"/>
        <v>PISLAM</v>
      </c>
      <c r="U1568" s="49" t="str">
        <f t="shared" si="62"/>
        <v>XIPISLAM</v>
      </c>
      <c r="V1568" s="90" t="s">
        <v>2857</v>
      </c>
      <c r="W1568" s="49">
        <f t="shared" si="63"/>
        <v>2004</v>
      </c>
      <c r="X1568" s="49">
        <f t="shared" si="64"/>
        <v>17</v>
      </c>
      <c r="Y1568" s="49" t="str">
        <f t="shared" si="65"/>
        <v>P17</v>
      </c>
      <c r="Z1568" s="49" t="str">
        <f t="shared" si="66"/>
        <v>XIP17</v>
      </c>
    </row>
    <row r="1569" spans="6:26" x14ac:dyDescent="0.25">
      <c r="F1569" s="58" t="str">
        <f t="shared" si="58"/>
        <v>XIII AK 28</v>
      </c>
      <c r="G1569" s="5">
        <v>8</v>
      </c>
      <c r="H1569" s="60">
        <v>102017594</v>
      </c>
      <c r="I1569" s="81" t="s">
        <v>1722</v>
      </c>
      <c r="J1569" s="61" t="str">
        <f t="shared" si="59"/>
        <v>102017594/0053652068</v>
      </c>
      <c r="K1569" s="91" t="s">
        <v>1723</v>
      </c>
      <c r="L1569" s="86" t="s">
        <v>381</v>
      </c>
      <c r="M1569" s="72" t="s">
        <v>449</v>
      </c>
      <c r="N1569" s="5" t="s">
        <v>2787</v>
      </c>
      <c r="O1569" s="5" t="s">
        <v>2786</v>
      </c>
      <c r="P1569" s="5" t="str">
        <f t="shared" si="60"/>
        <v>PAK</v>
      </c>
      <c r="R1569" s="49" t="s">
        <v>2788</v>
      </c>
      <c r="S1569" s="49" t="s">
        <v>2789</v>
      </c>
      <c r="T1569" s="49" t="str">
        <f t="shared" si="61"/>
        <v>PISLAM</v>
      </c>
      <c r="U1569" s="49" t="str">
        <f t="shared" si="62"/>
        <v>XIPISLAM</v>
      </c>
      <c r="V1569" s="90" t="s">
        <v>2858</v>
      </c>
      <c r="W1569" s="49">
        <f t="shared" si="63"/>
        <v>2005</v>
      </c>
      <c r="X1569" s="49">
        <f t="shared" si="64"/>
        <v>16</v>
      </c>
      <c r="Y1569" s="49" t="str">
        <f t="shared" si="65"/>
        <v>P16</v>
      </c>
      <c r="Z1569" s="49" t="str">
        <f t="shared" si="66"/>
        <v>XIP16</v>
      </c>
    </row>
    <row r="1570" spans="6:26" x14ac:dyDescent="0.25">
      <c r="F1570" s="58" t="str">
        <f t="shared" si="58"/>
        <v>XIII AK 29</v>
      </c>
      <c r="G1570" s="5">
        <v>9</v>
      </c>
      <c r="H1570" s="60">
        <v>102017595</v>
      </c>
      <c r="I1570" s="81" t="s">
        <v>1728</v>
      </c>
      <c r="J1570" s="61" t="str">
        <f t="shared" si="59"/>
        <v>102017595/3057932331</v>
      </c>
      <c r="K1570" s="91" t="s">
        <v>1729</v>
      </c>
      <c r="L1570" s="86" t="s">
        <v>381</v>
      </c>
      <c r="M1570" s="72" t="s">
        <v>449</v>
      </c>
      <c r="N1570" s="5" t="s">
        <v>2787</v>
      </c>
      <c r="O1570" s="5" t="s">
        <v>2786</v>
      </c>
      <c r="P1570" s="5" t="str">
        <f t="shared" si="60"/>
        <v>PAK</v>
      </c>
      <c r="R1570" s="88" t="s">
        <v>2788</v>
      </c>
      <c r="S1570" s="49" t="s">
        <v>2789</v>
      </c>
      <c r="T1570" s="49" t="str">
        <f t="shared" si="61"/>
        <v>PISLAM</v>
      </c>
      <c r="U1570" s="49" t="str">
        <f t="shared" si="62"/>
        <v>XIPISLAM</v>
      </c>
      <c r="V1570" s="90" t="s">
        <v>2859</v>
      </c>
      <c r="W1570" s="49">
        <f t="shared" si="63"/>
        <v>2005</v>
      </c>
      <c r="X1570" s="49">
        <f t="shared" si="64"/>
        <v>16</v>
      </c>
      <c r="Y1570" s="49" t="str">
        <f t="shared" si="65"/>
        <v>P16</v>
      </c>
      <c r="Z1570" s="49" t="str">
        <f t="shared" si="66"/>
        <v>XIP16</v>
      </c>
    </row>
    <row r="1571" spans="6:26" x14ac:dyDescent="0.25">
      <c r="F1571" s="58" t="str">
        <f t="shared" si="58"/>
        <v>XIII AK 210</v>
      </c>
      <c r="G1571" s="5">
        <v>10</v>
      </c>
      <c r="H1571" s="60">
        <v>102017596</v>
      </c>
      <c r="I1571" s="81" t="s">
        <v>1748</v>
      </c>
      <c r="J1571" s="61" t="str">
        <f t="shared" si="59"/>
        <v>102017596/0047779628</v>
      </c>
      <c r="K1571" s="91" t="s">
        <v>1749</v>
      </c>
      <c r="L1571" s="86" t="s">
        <v>381</v>
      </c>
      <c r="M1571" s="72" t="s">
        <v>449</v>
      </c>
      <c r="N1571" s="5" t="s">
        <v>2787</v>
      </c>
      <c r="O1571" s="5" t="s">
        <v>2786</v>
      </c>
      <c r="P1571" s="5" t="str">
        <f t="shared" si="60"/>
        <v>PAK</v>
      </c>
      <c r="R1571" s="49" t="s">
        <v>2788</v>
      </c>
      <c r="S1571" s="49" t="s">
        <v>2789</v>
      </c>
      <c r="T1571" s="49" t="str">
        <f t="shared" si="61"/>
        <v>PISLAM</v>
      </c>
      <c r="U1571" s="49" t="str">
        <f t="shared" si="62"/>
        <v>XIPISLAM</v>
      </c>
      <c r="V1571" s="90" t="s">
        <v>2860</v>
      </c>
      <c r="W1571" s="49">
        <f t="shared" si="63"/>
        <v>2004</v>
      </c>
      <c r="X1571" s="49">
        <f t="shared" si="64"/>
        <v>17</v>
      </c>
      <c r="Y1571" s="49" t="str">
        <f t="shared" si="65"/>
        <v>P17</v>
      </c>
      <c r="Z1571" s="49" t="str">
        <f t="shared" si="66"/>
        <v>XIP17</v>
      </c>
    </row>
    <row r="1572" spans="6:26" x14ac:dyDescent="0.25">
      <c r="F1572" s="58" t="str">
        <f t="shared" si="58"/>
        <v>XIII AK 211</v>
      </c>
      <c r="G1572" s="5">
        <v>11</v>
      </c>
      <c r="H1572" s="60">
        <v>102017597</v>
      </c>
      <c r="I1572" s="81" t="s">
        <v>1810</v>
      </c>
      <c r="J1572" s="61" t="str">
        <f t="shared" si="59"/>
        <v>102017597/0067619518</v>
      </c>
      <c r="K1572" s="91" t="s">
        <v>1811</v>
      </c>
      <c r="L1572" s="86" t="s">
        <v>379</v>
      </c>
      <c r="M1572" s="72" t="s">
        <v>449</v>
      </c>
      <c r="N1572" s="5" t="s">
        <v>2787</v>
      </c>
      <c r="O1572" s="5" t="s">
        <v>2786</v>
      </c>
      <c r="P1572" s="5" t="str">
        <f t="shared" si="60"/>
        <v>LAK</v>
      </c>
      <c r="R1572" s="88" t="s">
        <v>2788</v>
      </c>
      <c r="S1572" s="49" t="s">
        <v>2789</v>
      </c>
      <c r="T1572" s="49" t="str">
        <f t="shared" si="61"/>
        <v>LISLAM</v>
      </c>
      <c r="U1572" s="49" t="str">
        <f t="shared" si="62"/>
        <v>XILISLAM</v>
      </c>
      <c r="V1572" s="90" t="s">
        <v>2861</v>
      </c>
      <c r="W1572" s="49">
        <f t="shared" si="63"/>
        <v>2006</v>
      </c>
      <c r="X1572" s="49">
        <f t="shared" si="64"/>
        <v>15</v>
      </c>
      <c r="Y1572" s="49" t="str">
        <f t="shared" si="65"/>
        <v>L15</v>
      </c>
      <c r="Z1572" s="49" t="str">
        <f t="shared" si="66"/>
        <v>XIL15</v>
      </c>
    </row>
    <row r="1573" spans="6:26" x14ac:dyDescent="0.25">
      <c r="F1573" s="58" t="str">
        <f t="shared" si="58"/>
        <v>XIII AK 212</v>
      </c>
      <c r="G1573" s="5">
        <v>12</v>
      </c>
      <c r="H1573" s="60">
        <v>102017598</v>
      </c>
      <c r="I1573" s="81" t="s">
        <v>1816</v>
      </c>
      <c r="J1573" s="61" t="str">
        <f t="shared" si="59"/>
        <v>102017598/0042040171</v>
      </c>
      <c r="K1573" s="91" t="s">
        <v>1817</v>
      </c>
      <c r="L1573" s="86" t="s">
        <v>379</v>
      </c>
      <c r="M1573" s="72" t="s">
        <v>449</v>
      </c>
      <c r="N1573" s="5" t="s">
        <v>2787</v>
      </c>
      <c r="O1573" s="5" t="s">
        <v>2786</v>
      </c>
      <c r="P1573" s="5" t="str">
        <f t="shared" si="60"/>
        <v>LAK</v>
      </c>
      <c r="R1573" s="49" t="s">
        <v>2788</v>
      </c>
      <c r="S1573" s="49" t="s">
        <v>2789</v>
      </c>
      <c r="T1573" s="49" t="str">
        <f t="shared" si="61"/>
        <v>LISLAM</v>
      </c>
      <c r="U1573" s="49" t="str">
        <f t="shared" si="62"/>
        <v>XILISLAM</v>
      </c>
      <c r="V1573" s="90" t="s">
        <v>2862</v>
      </c>
      <c r="W1573" s="49">
        <f t="shared" si="63"/>
        <v>2005</v>
      </c>
      <c r="X1573" s="49">
        <f t="shared" si="64"/>
        <v>16</v>
      </c>
      <c r="Y1573" s="49" t="str">
        <f t="shared" si="65"/>
        <v>L16</v>
      </c>
      <c r="Z1573" s="49" t="str">
        <f t="shared" si="66"/>
        <v>XIL16</v>
      </c>
    </row>
    <row r="1574" spans="6:26" x14ac:dyDescent="0.25">
      <c r="F1574" s="58" t="str">
        <f t="shared" si="58"/>
        <v>XIII AK 213</v>
      </c>
      <c r="G1574" s="5">
        <v>13</v>
      </c>
      <c r="H1574" s="60">
        <v>102017599</v>
      </c>
      <c r="I1574" s="81" t="s">
        <v>1830</v>
      </c>
      <c r="J1574" s="61" t="str">
        <f t="shared" si="59"/>
        <v>102017599/0042708140</v>
      </c>
      <c r="K1574" s="91" t="s">
        <v>1831</v>
      </c>
      <c r="L1574" s="86" t="s">
        <v>379</v>
      </c>
      <c r="M1574" s="72" t="s">
        <v>449</v>
      </c>
      <c r="N1574" s="5" t="s">
        <v>2787</v>
      </c>
      <c r="O1574" s="5" t="s">
        <v>2786</v>
      </c>
      <c r="P1574" s="5" t="str">
        <f t="shared" si="60"/>
        <v>LAK</v>
      </c>
      <c r="R1574" s="88" t="s">
        <v>2788</v>
      </c>
      <c r="S1574" s="49" t="s">
        <v>2789</v>
      </c>
      <c r="T1574" s="49" t="str">
        <f t="shared" si="61"/>
        <v>LISLAM</v>
      </c>
      <c r="U1574" s="49" t="str">
        <f t="shared" si="62"/>
        <v>XILISLAM</v>
      </c>
      <c r="V1574" s="90" t="s">
        <v>2863</v>
      </c>
      <c r="W1574" s="49">
        <f t="shared" si="63"/>
        <v>2004</v>
      </c>
      <c r="X1574" s="49">
        <f t="shared" si="64"/>
        <v>17</v>
      </c>
      <c r="Y1574" s="49" t="str">
        <f t="shared" si="65"/>
        <v>L17</v>
      </c>
      <c r="Z1574" s="49" t="str">
        <f t="shared" si="66"/>
        <v>XIL17</v>
      </c>
    </row>
    <row r="1575" spans="6:26" x14ac:dyDescent="0.25">
      <c r="F1575" s="58" t="str">
        <f t="shared" si="58"/>
        <v>XIII AK 214</v>
      </c>
      <c r="G1575" s="5">
        <v>14</v>
      </c>
      <c r="H1575" s="60">
        <v>102017600</v>
      </c>
      <c r="I1575" s="81" t="s">
        <v>1842</v>
      </c>
      <c r="J1575" s="61" t="str">
        <f t="shared" si="59"/>
        <v>102017600/0044092347</v>
      </c>
      <c r="K1575" s="91" t="s">
        <v>1843</v>
      </c>
      <c r="L1575" s="86" t="s">
        <v>379</v>
      </c>
      <c r="M1575" s="72" t="s">
        <v>449</v>
      </c>
      <c r="N1575" s="5" t="s">
        <v>2787</v>
      </c>
      <c r="O1575" s="5" t="s">
        <v>2786</v>
      </c>
      <c r="P1575" s="5" t="str">
        <f t="shared" si="60"/>
        <v>LAK</v>
      </c>
      <c r="R1575" s="49" t="s">
        <v>2788</v>
      </c>
      <c r="S1575" s="49" t="s">
        <v>2789</v>
      </c>
      <c r="T1575" s="49" t="str">
        <f t="shared" si="61"/>
        <v>LISLAM</v>
      </c>
      <c r="U1575" s="49" t="str">
        <f t="shared" si="62"/>
        <v>XILISLAM</v>
      </c>
      <c r="V1575" s="90" t="s">
        <v>2864</v>
      </c>
      <c r="W1575" s="49">
        <f t="shared" si="63"/>
        <v>2005</v>
      </c>
      <c r="X1575" s="49">
        <f t="shared" si="64"/>
        <v>16</v>
      </c>
      <c r="Y1575" s="49" t="str">
        <f t="shared" si="65"/>
        <v>L16</v>
      </c>
      <c r="Z1575" s="49" t="str">
        <f t="shared" si="66"/>
        <v>XIL16</v>
      </c>
    </row>
    <row r="1576" spans="6:26" x14ac:dyDescent="0.25">
      <c r="F1576" s="58" t="str">
        <f t="shared" si="58"/>
        <v>XIII AK 215</v>
      </c>
      <c r="G1576" s="5">
        <v>15</v>
      </c>
      <c r="H1576" s="60">
        <v>102017601</v>
      </c>
      <c r="I1576" s="81" t="s">
        <v>1852</v>
      </c>
      <c r="J1576" s="61" t="str">
        <f t="shared" si="59"/>
        <v>102017601/0053178352</v>
      </c>
      <c r="K1576" s="91" t="s">
        <v>1853</v>
      </c>
      <c r="L1576" s="86" t="s">
        <v>379</v>
      </c>
      <c r="M1576" s="72" t="s">
        <v>449</v>
      </c>
      <c r="N1576" s="5" t="s">
        <v>2787</v>
      </c>
      <c r="O1576" s="5" t="s">
        <v>2786</v>
      </c>
      <c r="P1576" s="5" t="str">
        <f t="shared" si="60"/>
        <v>LAK</v>
      </c>
      <c r="R1576" s="88" t="s">
        <v>2788</v>
      </c>
      <c r="S1576" s="49" t="s">
        <v>2789</v>
      </c>
      <c r="T1576" s="49" t="str">
        <f t="shared" si="61"/>
        <v>LISLAM</v>
      </c>
      <c r="U1576" s="49" t="str">
        <f t="shared" si="62"/>
        <v>XILISLAM</v>
      </c>
      <c r="V1576" s="90" t="s">
        <v>2865</v>
      </c>
      <c r="W1576" s="49">
        <f t="shared" si="63"/>
        <v>2005</v>
      </c>
      <c r="X1576" s="49">
        <f t="shared" si="64"/>
        <v>16</v>
      </c>
      <c r="Y1576" s="49" t="str">
        <f t="shared" si="65"/>
        <v>L16</v>
      </c>
      <c r="Z1576" s="49" t="str">
        <f t="shared" si="66"/>
        <v>XIL16</v>
      </c>
    </row>
    <row r="1577" spans="6:26" x14ac:dyDescent="0.25">
      <c r="F1577" s="58" t="str">
        <f t="shared" si="58"/>
        <v>XIII AK 216</v>
      </c>
      <c r="G1577" s="5">
        <v>16</v>
      </c>
      <c r="H1577" s="60">
        <v>102017602</v>
      </c>
      <c r="I1577" s="81" t="s">
        <v>1860</v>
      </c>
      <c r="J1577" s="61" t="str">
        <f t="shared" si="59"/>
        <v>102017602/0054368657</v>
      </c>
      <c r="K1577" s="91" t="s">
        <v>1861</v>
      </c>
      <c r="L1577" s="86" t="s">
        <v>379</v>
      </c>
      <c r="M1577" s="72" t="s">
        <v>449</v>
      </c>
      <c r="N1577" s="5" t="s">
        <v>2787</v>
      </c>
      <c r="O1577" s="5" t="s">
        <v>2786</v>
      </c>
      <c r="P1577" s="5" t="str">
        <f t="shared" si="60"/>
        <v>LAK</v>
      </c>
      <c r="R1577" s="49" t="s">
        <v>2788</v>
      </c>
      <c r="S1577" s="49" t="s">
        <v>2789</v>
      </c>
      <c r="T1577" s="49" t="str">
        <f t="shared" si="61"/>
        <v>LISLAM</v>
      </c>
      <c r="U1577" s="49" t="str">
        <f t="shared" si="62"/>
        <v>XILISLAM</v>
      </c>
      <c r="V1577" s="90" t="s">
        <v>2866</v>
      </c>
      <c r="W1577" s="49">
        <f t="shared" si="63"/>
        <v>2005</v>
      </c>
      <c r="X1577" s="49">
        <f t="shared" si="64"/>
        <v>16</v>
      </c>
      <c r="Y1577" s="49" t="str">
        <f t="shared" si="65"/>
        <v>L16</v>
      </c>
      <c r="Z1577" s="49" t="str">
        <f t="shared" si="66"/>
        <v>XIL16</v>
      </c>
    </row>
    <row r="1578" spans="6:26" ht="12.95" customHeight="1" x14ac:dyDescent="0.25">
      <c r="F1578" s="58" t="str">
        <f t="shared" si="58"/>
        <v>XIII AK 217</v>
      </c>
      <c r="G1578" s="5">
        <v>17</v>
      </c>
      <c r="H1578" s="60">
        <v>102017603</v>
      </c>
      <c r="I1578" s="84" t="s">
        <v>1862</v>
      </c>
      <c r="J1578" s="61" t="str">
        <f t="shared" si="59"/>
        <v>102017603/0048164306</v>
      </c>
      <c r="K1578" s="92" t="s">
        <v>1863</v>
      </c>
      <c r="L1578" s="86" t="s">
        <v>381</v>
      </c>
      <c r="M1578" s="72" t="s">
        <v>449</v>
      </c>
      <c r="N1578" s="5" t="s">
        <v>2787</v>
      </c>
      <c r="O1578" s="5" t="s">
        <v>2786</v>
      </c>
      <c r="P1578" s="5" t="str">
        <f t="shared" si="60"/>
        <v>PAK</v>
      </c>
      <c r="R1578" s="88" t="s">
        <v>2788</v>
      </c>
      <c r="S1578" s="49" t="s">
        <v>2789</v>
      </c>
      <c r="T1578" s="49" t="str">
        <f t="shared" si="61"/>
        <v>PISLAM</v>
      </c>
      <c r="U1578" s="49" t="str">
        <f t="shared" si="62"/>
        <v>XIPISLAM</v>
      </c>
      <c r="V1578" s="90" t="s">
        <v>2867</v>
      </c>
      <c r="W1578" s="49">
        <f t="shared" si="63"/>
        <v>2004</v>
      </c>
      <c r="X1578" s="49">
        <f t="shared" si="64"/>
        <v>17</v>
      </c>
      <c r="Y1578" s="49" t="str">
        <f t="shared" si="65"/>
        <v>P17</v>
      </c>
      <c r="Z1578" s="49" t="str">
        <f t="shared" si="66"/>
        <v>XIP17</v>
      </c>
    </row>
    <row r="1579" spans="6:26" ht="30" x14ac:dyDescent="0.25">
      <c r="F1579" s="58" t="str">
        <f t="shared" si="58"/>
        <v>XIII AK 218</v>
      </c>
      <c r="G1579" s="5">
        <v>18</v>
      </c>
      <c r="H1579" s="60">
        <v>102017604</v>
      </c>
      <c r="I1579" s="84" t="s">
        <v>1864</v>
      </c>
      <c r="J1579" s="61" t="str">
        <f t="shared" si="59"/>
        <v>102017604/3040788393</v>
      </c>
      <c r="K1579" s="92" t="s">
        <v>1865</v>
      </c>
      <c r="L1579" s="86" t="s">
        <v>381</v>
      </c>
      <c r="M1579" s="72" t="s">
        <v>449</v>
      </c>
      <c r="N1579" s="5" t="s">
        <v>2787</v>
      </c>
      <c r="O1579" s="5" t="s">
        <v>2786</v>
      </c>
      <c r="P1579" s="5" t="str">
        <f t="shared" si="60"/>
        <v>PAK</v>
      </c>
      <c r="R1579" s="49" t="s">
        <v>2788</v>
      </c>
      <c r="S1579" s="49" t="s">
        <v>2789</v>
      </c>
      <c r="T1579" s="49" t="str">
        <f t="shared" si="61"/>
        <v>PISLAM</v>
      </c>
      <c r="U1579" s="49" t="str">
        <f t="shared" si="62"/>
        <v>XIPISLAM</v>
      </c>
      <c r="V1579" s="90" t="s">
        <v>2868</v>
      </c>
      <c r="W1579" s="49">
        <f t="shared" si="63"/>
        <v>2004</v>
      </c>
      <c r="X1579" s="49">
        <f t="shared" si="64"/>
        <v>17</v>
      </c>
      <c r="Y1579" s="49" t="str">
        <f t="shared" si="65"/>
        <v>P17</v>
      </c>
      <c r="Z1579" s="49" t="str">
        <f t="shared" si="66"/>
        <v>XIP17</v>
      </c>
    </row>
    <row r="1580" spans="6:26" ht="15" customHeight="1" x14ac:dyDescent="0.25">
      <c r="F1580" s="58" t="str">
        <f t="shared" si="58"/>
        <v>XIII AK 219</v>
      </c>
      <c r="G1580" s="5">
        <v>19</v>
      </c>
      <c r="H1580" s="60">
        <v>102017605</v>
      </c>
      <c r="I1580" s="84" t="s">
        <v>1876</v>
      </c>
      <c r="J1580" s="61" t="str">
        <f t="shared" si="59"/>
        <v>102017605/0059838872</v>
      </c>
      <c r="K1580" s="92" t="s">
        <v>1877</v>
      </c>
      <c r="L1580" s="86" t="s">
        <v>381</v>
      </c>
      <c r="M1580" s="72" t="s">
        <v>449</v>
      </c>
      <c r="N1580" s="5" t="s">
        <v>2787</v>
      </c>
      <c r="O1580" s="5" t="s">
        <v>2786</v>
      </c>
      <c r="P1580" s="5" t="str">
        <f t="shared" si="60"/>
        <v>PAK</v>
      </c>
      <c r="R1580" s="49" t="s">
        <v>2788</v>
      </c>
      <c r="S1580" s="49" t="s">
        <v>2789</v>
      </c>
      <c r="T1580" s="49" t="str">
        <f t="shared" si="61"/>
        <v>PISLAM</v>
      </c>
      <c r="U1580" s="49" t="str">
        <f t="shared" si="62"/>
        <v>XIPISLAM</v>
      </c>
      <c r="V1580" s="90" t="s">
        <v>2869</v>
      </c>
      <c r="W1580" s="49">
        <f t="shared" si="63"/>
        <v>2005</v>
      </c>
      <c r="X1580" s="49">
        <f t="shared" si="64"/>
        <v>16</v>
      </c>
      <c r="Y1580" s="49" t="str">
        <f t="shared" si="65"/>
        <v>P16</v>
      </c>
      <c r="Z1580" s="49" t="str">
        <f t="shared" si="66"/>
        <v>XIP16</v>
      </c>
    </row>
    <row r="1581" spans="6:26" ht="30" x14ac:dyDescent="0.25">
      <c r="F1581" s="58" t="str">
        <f t="shared" si="58"/>
        <v>XIII AK 220</v>
      </c>
      <c r="G1581" s="5">
        <v>20</v>
      </c>
      <c r="H1581" s="60">
        <v>102017606</v>
      </c>
      <c r="I1581" s="84" t="s">
        <v>1893</v>
      </c>
      <c r="J1581" s="61" t="str">
        <f t="shared" si="59"/>
        <v>102017606/0056045368</v>
      </c>
      <c r="K1581" s="92" t="s">
        <v>1894</v>
      </c>
      <c r="L1581" s="86" t="s">
        <v>381</v>
      </c>
      <c r="M1581" s="72" t="s">
        <v>449</v>
      </c>
      <c r="N1581" s="5" t="s">
        <v>2787</v>
      </c>
      <c r="O1581" s="5" t="s">
        <v>2786</v>
      </c>
      <c r="P1581" s="5" t="str">
        <f t="shared" si="60"/>
        <v>PAK</v>
      </c>
      <c r="R1581" s="49" t="s">
        <v>2788</v>
      </c>
      <c r="S1581" s="49" t="s">
        <v>2789</v>
      </c>
      <c r="T1581" s="49" t="str">
        <f t="shared" si="61"/>
        <v>PISLAM</v>
      </c>
      <c r="U1581" s="49" t="str">
        <f t="shared" si="62"/>
        <v>XIPISLAM</v>
      </c>
      <c r="V1581" s="90" t="s">
        <v>2870</v>
      </c>
      <c r="W1581" s="49">
        <f t="shared" si="63"/>
        <v>2005</v>
      </c>
      <c r="X1581" s="49">
        <f t="shared" si="64"/>
        <v>16</v>
      </c>
      <c r="Y1581" s="49" t="str">
        <f t="shared" si="65"/>
        <v>P16</v>
      </c>
      <c r="Z1581" s="49" t="str">
        <f t="shared" si="66"/>
        <v>XIP16</v>
      </c>
    </row>
    <row r="1582" spans="6:26" ht="15" customHeight="1" x14ac:dyDescent="0.25">
      <c r="F1582" s="58" t="str">
        <f t="shared" si="58"/>
        <v>XIII AK 221</v>
      </c>
      <c r="G1582" s="5">
        <v>21</v>
      </c>
      <c r="H1582" s="60">
        <v>102017607</v>
      </c>
      <c r="I1582" s="84" t="s">
        <v>1911</v>
      </c>
      <c r="J1582" s="61" t="str">
        <f t="shared" si="59"/>
        <v>102017607/0048777370</v>
      </c>
      <c r="K1582" s="92" t="s">
        <v>1912</v>
      </c>
      <c r="L1582" s="86" t="s">
        <v>381</v>
      </c>
      <c r="M1582" s="72" t="s">
        <v>449</v>
      </c>
      <c r="N1582" s="5" t="s">
        <v>2787</v>
      </c>
      <c r="O1582" s="5" t="s">
        <v>2786</v>
      </c>
      <c r="P1582" s="5" t="str">
        <f t="shared" si="60"/>
        <v>PAK</v>
      </c>
      <c r="R1582" s="49" t="s">
        <v>2788</v>
      </c>
      <c r="S1582" s="49" t="s">
        <v>2789</v>
      </c>
      <c r="T1582" s="49" t="str">
        <f t="shared" si="61"/>
        <v>PISLAM</v>
      </c>
      <c r="U1582" s="49" t="str">
        <f t="shared" si="62"/>
        <v>XIPISLAM</v>
      </c>
      <c r="V1582" s="90" t="s">
        <v>2871</v>
      </c>
      <c r="W1582" s="49">
        <f t="shared" si="63"/>
        <v>2004</v>
      </c>
      <c r="X1582" s="49">
        <f t="shared" si="64"/>
        <v>17</v>
      </c>
      <c r="Y1582" s="49" t="str">
        <f t="shared" si="65"/>
        <v>P17</v>
      </c>
      <c r="Z1582" s="49" t="str">
        <f t="shared" si="66"/>
        <v>XIP17</v>
      </c>
    </row>
    <row r="1583" spans="6:26" x14ac:dyDescent="0.25">
      <c r="F1583" s="58" t="str">
        <f t="shared" si="58"/>
        <v>XIII AK 222</v>
      </c>
      <c r="G1583" s="5">
        <v>22</v>
      </c>
      <c r="H1583" s="60">
        <v>102017608</v>
      </c>
      <c r="I1583" s="81" t="s">
        <v>1917</v>
      </c>
      <c r="J1583" s="61" t="str">
        <f t="shared" si="59"/>
        <v>102017608/0042248510</v>
      </c>
      <c r="K1583" s="91" t="s">
        <v>1918</v>
      </c>
      <c r="L1583" s="86" t="s">
        <v>381</v>
      </c>
      <c r="M1583" s="72" t="s">
        <v>449</v>
      </c>
      <c r="N1583" s="5" t="s">
        <v>2787</v>
      </c>
      <c r="O1583" s="5" t="s">
        <v>2786</v>
      </c>
      <c r="P1583" s="5" t="str">
        <f t="shared" si="60"/>
        <v>PAK</v>
      </c>
      <c r="R1583" s="49" t="s">
        <v>2872</v>
      </c>
      <c r="S1583" s="49" t="s">
        <v>2789</v>
      </c>
      <c r="T1583" s="49" t="str">
        <f t="shared" si="61"/>
        <v>PHINDU</v>
      </c>
      <c r="U1583" s="49" t="str">
        <f t="shared" si="62"/>
        <v>XIPHINDU</v>
      </c>
      <c r="V1583" s="90" t="s">
        <v>2873</v>
      </c>
      <c r="W1583" s="49">
        <f t="shared" si="63"/>
        <v>2004</v>
      </c>
      <c r="X1583" s="49">
        <f t="shared" si="64"/>
        <v>17</v>
      </c>
      <c r="Y1583" s="49" t="str">
        <f t="shared" si="65"/>
        <v>P17</v>
      </c>
      <c r="Z1583" s="49" t="str">
        <f t="shared" si="66"/>
        <v>XIP17</v>
      </c>
    </row>
    <row r="1584" spans="6:26" x14ac:dyDescent="0.25">
      <c r="F1584" s="58" t="str">
        <f t="shared" si="58"/>
        <v>XIII AK 223</v>
      </c>
      <c r="G1584" s="5">
        <v>23</v>
      </c>
      <c r="H1584" s="60">
        <v>102017609</v>
      </c>
      <c r="I1584" s="81" t="s">
        <v>1923</v>
      </c>
      <c r="J1584" s="61" t="str">
        <f t="shared" si="59"/>
        <v>102017609/0051467739</v>
      </c>
      <c r="K1584" s="91" t="s">
        <v>1924</v>
      </c>
      <c r="L1584" s="86" t="s">
        <v>379</v>
      </c>
      <c r="M1584" s="72" t="s">
        <v>449</v>
      </c>
      <c r="N1584" s="5" t="s">
        <v>2787</v>
      </c>
      <c r="O1584" s="5" t="s">
        <v>2786</v>
      </c>
      <c r="P1584" s="5" t="str">
        <f t="shared" si="60"/>
        <v>LAK</v>
      </c>
      <c r="R1584" s="49" t="s">
        <v>2788</v>
      </c>
      <c r="S1584" s="49" t="s">
        <v>2789</v>
      </c>
      <c r="T1584" s="49" t="str">
        <f t="shared" si="61"/>
        <v>LISLAM</v>
      </c>
      <c r="U1584" s="49" t="str">
        <f t="shared" si="62"/>
        <v>XILISLAM</v>
      </c>
      <c r="V1584" s="90" t="s">
        <v>2874</v>
      </c>
      <c r="W1584" s="49">
        <f t="shared" si="63"/>
        <v>2005</v>
      </c>
      <c r="X1584" s="49">
        <f t="shared" si="64"/>
        <v>16</v>
      </c>
      <c r="Y1584" s="49" t="str">
        <f t="shared" si="65"/>
        <v>L16</v>
      </c>
      <c r="Z1584" s="49" t="str">
        <f t="shared" si="66"/>
        <v>XIL16</v>
      </c>
    </row>
    <row r="1585" spans="6:26" x14ac:dyDescent="0.25">
      <c r="F1585" s="58" t="str">
        <f t="shared" si="58"/>
        <v>XIII AK 224</v>
      </c>
      <c r="G1585" s="5">
        <v>24</v>
      </c>
      <c r="H1585" s="60">
        <v>102017610</v>
      </c>
      <c r="I1585" s="81" t="s">
        <v>2010</v>
      </c>
      <c r="J1585" s="61" t="str">
        <f t="shared" si="59"/>
        <v>102017610/0047939247</v>
      </c>
      <c r="K1585" s="91" t="s">
        <v>2011</v>
      </c>
      <c r="L1585" s="86" t="s">
        <v>379</v>
      </c>
      <c r="M1585" s="72" t="s">
        <v>449</v>
      </c>
      <c r="N1585" s="5" t="s">
        <v>2787</v>
      </c>
      <c r="O1585" s="5" t="s">
        <v>2786</v>
      </c>
      <c r="P1585" s="5" t="str">
        <f t="shared" si="60"/>
        <v>LAK</v>
      </c>
      <c r="R1585" s="49" t="s">
        <v>2788</v>
      </c>
      <c r="S1585" s="49" t="s">
        <v>2789</v>
      </c>
      <c r="T1585" s="49" t="str">
        <f t="shared" si="61"/>
        <v>LISLAM</v>
      </c>
      <c r="U1585" s="49" t="str">
        <f t="shared" si="62"/>
        <v>XILISLAM</v>
      </c>
      <c r="V1585" s="90" t="s">
        <v>2856</v>
      </c>
      <c r="W1585" s="49">
        <f t="shared" si="63"/>
        <v>2004</v>
      </c>
      <c r="X1585" s="49">
        <f t="shared" si="64"/>
        <v>17</v>
      </c>
      <c r="Y1585" s="49" t="str">
        <f t="shared" si="65"/>
        <v>L17</v>
      </c>
      <c r="Z1585" s="49" t="str">
        <f t="shared" si="66"/>
        <v>XIL17</v>
      </c>
    </row>
    <row r="1586" spans="6:26" x14ac:dyDescent="0.25">
      <c r="F1586" s="58" t="str">
        <f t="shared" si="58"/>
        <v>XIII AK 225</v>
      </c>
      <c r="G1586" s="5">
        <v>25</v>
      </c>
      <c r="H1586" s="60">
        <v>102017611</v>
      </c>
      <c r="I1586" s="81" t="s">
        <v>2046</v>
      </c>
      <c r="J1586" s="61" t="str">
        <f t="shared" si="59"/>
        <v>102017611/0053262035</v>
      </c>
      <c r="K1586" s="91" t="s">
        <v>2047</v>
      </c>
      <c r="L1586" s="86" t="s">
        <v>381</v>
      </c>
      <c r="M1586" s="72" t="s">
        <v>449</v>
      </c>
      <c r="N1586" s="5" t="s">
        <v>2787</v>
      </c>
      <c r="O1586" s="5" t="s">
        <v>2786</v>
      </c>
      <c r="P1586" s="5" t="str">
        <f t="shared" si="60"/>
        <v>PAK</v>
      </c>
      <c r="R1586" s="49" t="s">
        <v>2788</v>
      </c>
      <c r="S1586" s="49" t="s">
        <v>2789</v>
      </c>
      <c r="T1586" s="49" t="str">
        <f t="shared" si="61"/>
        <v>PISLAM</v>
      </c>
      <c r="U1586" s="49" t="str">
        <f t="shared" si="62"/>
        <v>XIPISLAM</v>
      </c>
      <c r="V1586" s="90" t="s">
        <v>2875</v>
      </c>
      <c r="W1586" s="49">
        <f t="shared" si="63"/>
        <v>2005</v>
      </c>
      <c r="X1586" s="49">
        <f t="shared" si="64"/>
        <v>16</v>
      </c>
      <c r="Y1586" s="49" t="str">
        <f t="shared" si="65"/>
        <v>P16</v>
      </c>
      <c r="Z1586" s="49" t="str">
        <f t="shared" si="66"/>
        <v>XIP16</v>
      </c>
    </row>
    <row r="1587" spans="6:26" x14ac:dyDescent="0.25">
      <c r="F1587" s="58" t="str">
        <f t="shared" si="58"/>
        <v>XIII AK 226</v>
      </c>
      <c r="G1587" s="5">
        <v>26</v>
      </c>
      <c r="H1587" s="60">
        <v>102017612</v>
      </c>
      <c r="I1587" s="81" t="s">
        <v>2139</v>
      </c>
      <c r="J1587" s="61" t="str">
        <f t="shared" si="59"/>
        <v>102017612/0034221560</v>
      </c>
      <c r="K1587" s="91" t="s">
        <v>2140</v>
      </c>
      <c r="L1587" s="86" t="s">
        <v>381</v>
      </c>
      <c r="M1587" s="72" t="s">
        <v>449</v>
      </c>
      <c r="N1587" s="5" t="s">
        <v>2787</v>
      </c>
      <c r="O1587" s="5" t="s">
        <v>2786</v>
      </c>
      <c r="P1587" s="5" t="str">
        <f t="shared" si="60"/>
        <v>PAK</v>
      </c>
      <c r="R1587" s="49" t="s">
        <v>2788</v>
      </c>
      <c r="S1587" s="49" t="s">
        <v>2789</v>
      </c>
      <c r="T1587" s="49" t="str">
        <f t="shared" si="61"/>
        <v>PISLAM</v>
      </c>
      <c r="U1587" s="49" t="str">
        <f t="shared" si="62"/>
        <v>XIPISLAM</v>
      </c>
      <c r="V1587" s="90" t="s">
        <v>2876</v>
      </c>
      <c r="W1587" s="49">
        <f t="shared" si="63"/>
        <v>2005</v>
      </c>
      <c r="X1587" s="49">
        <f t="shared" si="64"/>
        <v>16</v>
      </c>
      <c r="Y1587" s="49" t="str">
        <f t="shared" si="65"/>
        <v>P16</v>
      </c>
      <c r="Z1587" s="49" t="str">
        <f t="shared" si="66"/>
        <v>XIP16</v>
      </c>
    </row>
    <row r="1588" spans="6:26" x14ac:dyDescent="0.25">
      <c r="F1588" s="58" t="str">
        <f t="shared" si="58"/>
        <v>XIII AK 227</v>
      </c>
      <c r="G1588" s="5">
        <v>27</v>
      </c>
      <c r="H1588" s="60">
        <v>102017613</v>
      </c>
      <c r="I1588" s="81" t="s">
        <v>2161</v>
      </c>
      <c r="J1588" s="61" t="str">
        <f t="shared" si="59"/>
        <v>102017613/0053712934</v>
      </c>
      <c r="K1588" s="91" t="s">
        <v>2162</v>
      </c>
      <c r="L1588" s="86" t="s">
        <v>381</v>
      </c>
      <c r="M1588" s="72" t="s">
        <v>449</v>
      </c>
      <c r="N1588" s="5" t="s">
        <v>2787</v>
      </c>
      <c r="O1588" s="5" t="s">
        <v>2786</v>
      </c>
      <c r="P1588" s="5" t="str">
        <f t="shared" si="60"/>
        <v>PAK</v>
      </c>
      <c r="R1588" s="49" t="s">
        <v>2788</v>
      </c>
      <c r="S1588" s="49" t="s">
        <v>2789</v>
      </c>
      <c r="T1588" s="49" t="str">
        <f t="shared" si="61"/>
        <v>PISLAM</v>
      </c>
      <c r="U1588" s="49" t="str">
        <f t="shared" si="62"/>
        <v>XIPISLAM</v>
      </c>
      <c r="V1588" s="90" t="s">
        <v>2877</v>
      </c>
      <c r="W1588" s="49">
        <f t="shared" si="63"/>
        <v>2005</v>
      </c>
      <c r="X1588" s="49">
        <f t="shared" si="64"/>
        <v>16</v>
      </c>
      <c r="Y1588" s="49" t="str">
        <f t="shared" si="65"/>
        <v>P16</v>
      </c>
      <c r="Z1588" s="49" t="str">
        <f t="shared" si="66"/>
        <v>XIP16</v>
      </c>
    </row>
    <row r="1589" spans="6:26" x14ac:dyDescent="0.25">
      <c r="F1589" s="58" t="str">
        <f t="shared" ref="F1589:F1645" si="68">M1589&amp;G1589</f>
        <v>XIII AK 228</v>
      </c>
      <c r="G1589" s="5">
        <v>28</v>
      </c>
      <c r="H1589" s="60">
        <v>102017614</v>
      </c>
      <c r="I1589" s="81" t="s">
        <v>2183</v>
      </c>
      <c r="J1589" s="61" t="str">
        <f t="shared" ref="J1589:J1645" si="69">H1589&amp;"/"&amp;I1589</f>
        <v>102017614/0046698915</v>
      </c>
      <c r="K1589" s="91" t="s">
        <v>2184</v>
      </c>
      <c r="L1589" s="86" t="s">
        <v>381</v>
      </c>
      <c r="M1589" s="72" t="s">
        <v>449</v>
      </c>
      <c r="N1589" s="5" t="s">
        <v>2787</v>
      </c>
      <c r="O1589" s="5" t="s">
        <v>2786</v>
      </c>
      <c r="P1589" s="5" t="str">
        <f t="shared" ref="P1589:P1645" si="70">L1589&amp;O1589</f>
        <v>PAK</v>
      </c>
      <c r="R1589" s="49" t="s">
        <v>2788</v>
      </c>
      <c r="S1589" s="49" t="s">
        <v>2789</v>
      </c>
      <c r="T1589" s="49" t="str">
        <f t="shared" si="61"/>
        <v>PISLAM</v>
      </c>
      <c r="U1589" s="49" t="str">
        <f t="shared" si="62"/>
        <v>XIPISLAM</v>
      </c>
      <c r="V1589" s="90" t="s">
        <v>2878</v>
      </c>
      <c r="W1589" s="49">
        <f t="shared" si="63"/>
        <v>2004</v>
      </c>
      <c r="X1589" s="49">
        <f t="shared" si="64"/>
        <v>17</v>
      </c>
      <c r="Y1589" s="49" t="str">
        <f t="shared" si="65"/>
        <v>P17</v>
      </c>
      <c r="Z1589" s="49" t="str">
        <f t="shared" si="66"/>
        <v>XIP17</v>
      </c>
    </row>
    <row r="1590" spans="6:26" x14ac:dyDescent="0.25">
      <c r="F1590" s="58" t="str">
        <f t="shared" si="68"/>
        <v>XIII AK 229</v>
      </c>
      <c r="G1590" s="5">
        <v>29</v>
      </c>
      <c r="H1590" s="60">
        <v>102017616</v>
      </c>
      <c r="I1590" s="81" t="s">
        <v>2209</v>
      </c>
      <c r="J1590" s="61" t="str">
        <f t="shared" si="69"/>
        <v>102017616/0058563823</v>
      </c>
      <c r="K1590" s="91" t="s">
        <v>2210</v>
      </c>
      <c r="L1590" s="86" t="s">
        <v>381</v>
      </c>
      <c r="M1590" s="72" t="s">
        <v>449</v>
      </c>
      <c r="N1590" s="5" t="s">
        <v>2787</v>
      </c>
      <c r="O1590" s="5" t="s">
        <v>2786</v>
      </c>
      <c r="P1590" s="5" t="str">
        <f t="shared" si="70"/>
        <v>PAK</v>
      </c>
      <c r="R1590" s="49" t="s">
        <v>2788</v>
      </c>
      <c r="S1590" s="49" t="s">
        <v>2789</v>
      </c>
      <c r="T1590" s="49" t="str">
        <f t="shared" si="61"/>
        <v>PISLAM</v>
      </c>
      <c r="U1590" s="49" t="str">
        <f t="shared" si="62"/>
        <v>XIPISLAM</v>
      </c>
      <c r="V1590" s="90" t="s">
        <v>2879</v>
      </c>
      <c r="W1590" s="49">
        <f t="shared" si="63"/>
        <v>2005</v>
      </c>
      <c r="X1590" s="49">
        <f t="shared" si="64"/>
        <v>16</v>
      </c>
      <c r="Y1590" s="49" t="str">
        <f t="shared" si="65"/>
        <v>P16</v>
      </c>
      <c r="Z1590" s="49" t="str">
        <f t="shared" si="66"/>
        <v>XIP16</v>
      </c>
    </row>
    <row r="1591" spans="6:26" x14ac:dyDescent="0.25">
      <c r="F1591" s="58" t="str">
        <f t="shared" si="68"/>
        <v>XIII AK 230</v>
      </c>
      <c r="G1591" s="5">
        <v>30</v>
      </c>
      <c r="H1591" s="60">
        <v>102017617</v>
      </c>
      <c r="I1591" s="81" t="s">
        <v>2213</v>
      </c>
      <c r="J1591" s="61" t="str">
        <f t="shared" si="69"/>
        <v>102017617/0062457012</v>
      </c>
      <c r="K1591" s="91" t="s">
        <v>2214</v>
      </c>
      <c r="L1591" s="86" t="s">
        <v>381</v>
      </c>
      <c r="M1591" s="72" t="s">
        <v>449</v>
      </c>
      <c r="N1591" s="5" t="s">
        <v>2787</v>
      </c>
      <c r="O1591" s="5" t="s">
        <v>2786</v>
      </c>
      <c r="P1591" s="5" t="str">
        <f t="shared" si="70"/>
        <v>PAK</v>
      </c>
      <c r="R1591" s="49" t="s">
        <v>2788</v>
      </c>
      <c r="S1591" s="49" t="s">
        <v>2789</v>
      </c>
      <c r="T1591" s="49" t="str">
        <f t="shared" si="61"/>
        <v>PISLAM</v>
      </c>
      <c r="U1591" s="49" t="str">
        <f t="shared" si="62"/>
        <v>XIPISLAM</v>
      </c>
      <c r="V1591" s="90" t="s">
        <v>2880</v>
      </c>
      <c r="W1591" s="49">
        <f t="shared" si="63"/>
        <v>2005</v>
      </c>
      <c r="X1591" s="49">
        <f t="shared" si="64"/>
        <v>16</v>
      </c>
      <c r="Y1591" s="49" t="str">
        <f t="shared" si="65"/>
        <v>P16</v>
      </c>
      <c r="Z1591" s="49" t="str">
        <f t="shared" si="66"/>
        <v>XIP16</v>
      </c>
    </row>
    <row r="1592" spans="6:26" x14ac:dyDescent="0.25">
      <c r="F1592" s="58" t="str">
        <f t="shared" si="68"/>
        <v>XIII AK 231</v>
      </c>
      <c r="G1592" s="5">
        <v>31</v>
      </c>
      <c r="H1592" s="60">
        <v>102017618</v>
      </c>
      <c r="I1592" s="81" t="s">
        <v>2231</v>
      </c>
      <c r="J1592" s="61" t="str">
        <f t="shared" si="69"/>
        <v>102017618/0057884007</v>
      </c>
      <c r="K1592" s="91" t="s">
        <v>2232</v>
      </c>
      <c r="L1592" s="86" t="s">
        <v>381</v>
      </c>
      <c r="M1592" s="72" t="s">
        <v>449</v>
      </c>
      <c r="N1592" s="5" t="s">
        <v>2787</v>
      </c>
      <c r="O1592" s="5" t="s">
        <v>2786</v>
      </c>
      <c r="P1592" s="5" t="str">
        <f t="shared" si="70"/>
        <v>PAK</v>
      </c>
      <c r="R1592" s="49" t="s">
        <v>2788</v>
      </c>
      <c r="S1592" s="49" t="s">
        <v>2789</v>
      </c>
      <c r="T1592" s="49" t="str">
        <f t="shared" ref="T1592:T1653" si="71">L1592&amp;R1592</f>
        <v>PISLAM</v>
      </c>
      <c r="U1592" s="49" t="str">
        <f t="shared" ref="U1592:U1653" si="72">S1592&amp;T1592</f>
        <v>XIPISLAM</v>
      </c>
      <c r="V1592" s="90" t="s">
        <v>2881</v>
      </c>
      <c r="W1592" s="49">
        <f t="shared" ref="W1592:W1653" si="73">YEAR(V1592)</f>
        <v>2005</v>
      </c>
      <c r="X1592" s="49">
        <f t="shared" ref="X1592:X1653" si="74">2021-W1592</f>
        <v>16</v>
      </c>
      <c r="Y1592" s="49" t="str">
        <f t="shared" ref="Y1592:Y1653" si="75">L1592&amp;X1592</f>
        <v>P16</v>
      </c>
      <c r="Z1592" s="49" t="str">
        <f t="shared" ref="Z1592:Z1653" si="76">S1592&amp;Y1592</f>
        <v>XIP16</v>
      </c>
    </row>
    <row r="1593" spans="6:26" x14ac:dyDescent="0.25">
      <c r="F1593" s="58" t="str">
        <f t="shared" si="68"/>
        <v>XIII AK 232</v>
      </c>
      <c r="G1593" s="5">
        <v>32</v>
      </c>
      <c r="H1593" s="60">
        <v>102017620</v>
      </c>
      <c r="I1593" s="81" t="s">
        <v>2288</v>
      </c>
      <c r="J1593" s="61" t="str">
        <f t="shared" si="69"/>
        <v>102017620/0045408551</v>
      </c>
      <c r="K1593" s="91" t="s">
        <v>2289</v>
      </c>
      <c r="L1593" s="86" t="s">
        <v>381</v>
      </c>
      <c r="M1593" s="72" t="s">
        <v>449</v>
      </c>
      <c r="N1593" s="5" t="s">
        <v>2787</v>
      </c>
      <c r="O1593" s="5" t="s">
        <v>2786</v>
      </c>
      <c r="P1593" s="5" t="str">
        <f t="shared" si="70"/>
        <v>PAK</v>
      </c>
      <c r="R1593" s="49" t="s">
        <v>2788</v>
      </c>
      <c r="S1593" s="49" t="s">
        <v>2789</v>
      </c>
      <c r="T1593" s="49" t="str">
        <f t="shared" si="71"/>
        <v>PISLAM</v>
      </c>
      <c r="U1593" s="49" t="str">
        <f t="shared" si="72"/>
        <v>XIPISLAM</v>
      </c>
      <c r="V1593" s="90" t="s">
        <v>2882</v>
      </c>
      <c r="W1593" s="49">
        <f t="shared" si="73"/>
        <v>2004</v>
      </c>
      <c r="X1593" s="49">
        <f t="shared" si="74"/>
        <v>17</v>
      </c>
      <c r="Y1593" s="49" t="str">
        <f t="shared" si="75"/>
        <v>P17</v>
      </c>
      <c r="Z1593" s="49" t="str">
        <f t="shared" si="76"/>
        <v>XIP17</v>
      </c>
    </row>
    <row r="1594" spans="6:26" x14ac:dyDescent="0.25">
      <c r="F1594" s="58" t="str">
        <f t="shared" si="68"/>
        <v>XIII AK 233</v>
      </c>
      <c r="G1594" s="5">
        <v>33</v>
      </c>
      <c r="H1594" s="60">
        <v>102017621</v>
      </c>
      <c r="I1594" s="81" t="s">
        <v>2360</v>
      </c>
      <c r="J1594" s="61" t="str">
        <f t="shared" si="69"/>
        <v>102017621/0047703961</v>
      </c>
      <c r="K1594" s="91" t="s">
        <v>2361</v>
      </c>
      <c r="L1594" s="86" t="s">
        <v>381</v>
      </c>
      <c r="M1594" s="72" t="s">
        <v>449</v>
      </c>
      <c r="N1594" s="5" t="s">
        <v>2787</v>
      </c>
      <c r="O1594" s="5" t="s">
        <v>2786</v>
      </c>
      <c r="P1594" s="5" t="str">
        <f t="shared" si="70"/>
        <v>PAK</v>
      </c>
      <c r="R1594" s="49" t="s">
        <v>2788</v>
      </c>
      <c r="S1594" s="49" t="s">
        <v>2789</v>
      </c>
      <c r="T1594" s="49" t="str">
        <f t="shared" si="71"/>
        <v>PISLAM</v>
      </c>
      <c r="U1594" s="49" t="str">
        <f t="shared" si="72"/>
        <v>XIPISLAM</v>
      </c>
      <c r="V1594" s="90" t="s">
        <v>2883</v>
      </c>
      <c r="W1594" s="49">
        <f t="shared" si="73"/>
        <v>2004</v>
      </c>
      <c r="X1594" s="49">
        <f t="shared" si="74"/>
        <v>17</v>
      </c>
      <c r="Y1594" s="49" t="str">
        <f t="shared" si="75"/>
        <v>P17</v>
      </c>
      <c r="Z1594" s="49" t="str">
        <f t="shared" si="76"/>
        <v>XIP17</v>
      </c>
    </row>
    <row r="1595" spans="6:26" x14ac:dyDescent="0.25">
      <c r="F1595" s="58" t="str">
        <f t="shared" si="68"/>
        <v>XIII AK 31</v>
      </c>
      <c r="G1595" s="5">
        <v>1</v>
      </c>
      <c r="H1595" s="60">
        <v>102017622</v>
      </c>
      <c r="I1595" s="81" t="s">
        <v>1635</v>
      </c>
      <c r="J1595" s="61" t="str">
        <f t="shared" si="69"/>
        <v>102017622/0044852787</v>
      </c>
      <c r="K1595" s="69" t="s">
        <v>1636</v>
      </c>
      <c r="L1595" s="86" t="s">
        <v>381</v>
      </c>
      <c r="M1595" s="72" t="s">
        <v>455</v>
      </c>
      <c r="N1595" s="5" t="s">
        <v>2787</v>
      </c>
      <c r="O1595" s="5" t="s">
        <v>2786</v>
      </c>
      <c r="P1595" s="5" t="str">
        <f t="shared" si="70"/>
        <v>PAK</v>
      </c>
      <c r="R1595" s="49" t="s">
        <v>2788</v>
      </c>
      <c r="S1595" s="49" t="s">
        <v>2789</v>
      </c>
      <c r="T1595" s="49" t="str">
        <f t="shared" si="71"/>
        <v>PISLAM</v>
      </c>
      <c r="U1595" s="49" t="str">
        <f t="shared" si="72"/>
        <v>XIPISLAM</v>
      </c>
      <c r="V1595" s="90" t="s">
        <v>2884</v>
      </c>
      <c r="W1595" s="49">
        <f t="shared" si="73"/>
        <v>2004</v>
      </c>
      <c r="X1595" s="49">
        <f t="shared" si="74"/>
        <v>17</v>
      </c>
      <c r="Y1595" s="49" t="str">
        <f t="shared" si="75"/>
        <v>P17</v>
      </c>
      <c r="Z1595" s="49" t="str">
        <f t="shared" si="76"/>
        <v>XIP17</v>
      </c>
    </row>
    <row r="1596" spans="6:26" x14ac:dyDescent="0.25">
      <c r="F1596" s="58" t="str">
        <f t="shared" si="68"/>
        <v>XIII AK 32</v>
      </c>
      <c r="G1596" s="5">
        <v>2</v>
      </c>
      <c r="H1596" s="60">
        <v>102017623</v>
      </c>
      <c r="I1596" s="81" t="s">
        <v>1669</v>
      </c>
      <c r="J1596" s="61" t="str">
        <f t="shared" si="69"/>
        <v>102017623/0045607400</v>
      </c>
      <c r="K1596" s="69" t="s">
        <v>1670</v>
      </c>
      <c r="L1596" s="86" t="s">
        <v>379</v>
      </c>
      <c r="M1596" s="72" t="s">
        <v>455</v>
      </c>
      <c r="N1596" s="5" t="s">
        <v>2787</v>
      </c>
      <c r="O1596" s="5" t="s">
        <v>2786</v>
      </c>
      <c r="P1596" s="5" t="str">
        <f t="shared" si="70"/>
        <v>LAK</v>
      </c>
      <c r="R1596" s="49" t="s">
        <v>2788</v>
      </c>
      <c r="S1596" s="49" t="s">
        <v>2789</v>
      </c>
      <c r="T1596" s="49" t="str">
        <f t="shared" si="71"/>
        <v>LISLAM</v>
      </c>
      <c r="U1596" s="49" t="str">
        <f t="shared" si="72"/>
        <v>XILISLAM</v>
      </c>
      <c r="V1596" s="90" t="s">
        <v>2885</v>
      </c>
      <c r="W1596" s="49">
        <f t="shared" si="73"/>
        <v>2004</v>
      </c>
      <c r="X1596" s="49">
        <f t="shared" si="74"/>
        <v>17</v>
      </c>
      <c r="Y1596" s="49" t="str">
        <f t="shared" si="75"/>
        <v>L17</v>
      </c>
      <c r="Z1596" s="49" t="str">
        <f t="shared" si="76"/>
        <v>XIL17</v>
      </c>
    </row>
    <row r="1597" spans="6:26" x14ac:dyDescent="0.25">
      <c r="F1597" s="58" t="str">
        <f t="shared" si="68"/>
        <v>XIII AK 33</v>
      </c>
      <c r="G1597" s="5">
        <v>3</v>
      </c>
      <c r="H1597" s="60">
        <v>102017624</v>
      </c>
      <c r="I1597" s="81" t="s">
        <v>1716</v>
      </c>
      <c r="J1597" s="61" t="str">
        <f t="shared" si="69"/>
        <v>102017624/0058367427</v>
      </c>
      <c r="K1597" s="69" t="s">
        <v>1717</v>
      </c>
      <c r="L1597" s="86" t="s">
        <v>381</v>
      </c>
      <c r="M1597" s="72" t="s">
        <v>455</v>
      </c>
      <c r="N1597" s="5" t="s">
        <v>2787</v>
      </c>
      <c r="O1597" s="5" t="s">
        <v>2786</v>
      </c>
      <c r="P1597" s="5" t="str">
        <f t="shared" si="70"/>
        <v>PAK</v>
      </c>
      <c r="R1597" s="49" t="s">
        <v>2788</v>
      </c>
      <c r="S1597" s="49" t="s">
        <v>2789</v>
      </c>
      <c r="T1597" s="49" t="str">
        <f t="shared" si="71"/>
        <v>PISLAM</v>
      </c>
      <c r="U1597" s="49" t="str">
        <f t="shared" si="72"/>
        <v>XIPISLAM</v>
      </c>
      <c r="V1597" s="90" t="s">
        <v>2886</v>
      </c>
      <c r="W1597" s="49">
        <f t="shared" si="73"/>
        <v>2005</v>
      </c>
      <c r="X1597" s="49">
        <f t="shared" si="74"/>
        <v>16</v>
      </c>
      <c r="Y1597" s="49" t="str">
        <f t="shared" si="75"/>
        <v>P16</v>
      </c>
      <c r="Z1597" s="49" t="str">
        <f t="shared" si="76"/>
        <v>XIP16</v>
      </c>
    </row>
    <row r="1598" spans="6:26" ht="30" x14ac:dyDescent="0.25">
      <c r="F1598" s="58" t="str">
        <f t="shared" si="68"/>
        <v>XIII AK 34</v>
      </c>
      <c r="G1598" s="5">
        <v>4</v>
      </c>
      <c r="H1598" s="60">
        <v>102017625</v>
      </c>
      <c r="I1598" s="84" t="s">
        <v>1724</v>
      </c>
      <c r="J1598" s="61" t="str">
        <f t="shared" si="69"/>
        <v>102017625/004732257</v>
      </c>
      <c r="K1598" s="69" t="s">
        <v>1725</v>
      </c>
      <c r="L1598" s="86" t="s">
        <v>379</v>
      </c>
      <c r="M1598" s="72" t="s">
        <v>455</v>
      </c>
      <c r="N1598" s="5" t="s">
        <v>2787</v>
      </c>
      <c r="O1598" s="5" t="s">
        <v>2786</v>
      </c>
      <c r="P1598" s="5" t="str">
        <f t="shared" si="70"/>
        <v>LAK</v>
      </c>
      <c r="R1598" s="49" t="s">
        <v>2788</v>
      </c>
      <c r="S1598" s="49" t="s">
        <v>2789</v>
      </c>
      <c r="T1598" s="49" t="str">
        <f t="shared" si="71"/>
        <v>LISLAM</v>
      </c>
      <c r="U1598" s="49" t="str">
        <f t="shared" si="72"/>
        <v>XILISLAM</v>
      </c>
      <c r="V1598" s="90" t="s">
        <v>2887</v>
      </c>
      <c r="W1598" s="49">
        <f t="shared" si="73"/>
        <v>2004</v>
      </c>
      <c r="X1598" s="49">
        <f t="shared" si="74"/>
        <v>17</v>
      </c>
      <c r="Y1598" s="49" t="str">
        <f t="shared" si="75"/>
        <v>L17</v>
      </c>
      <c r="Z1598" s="49" t="str">
        <f t="shared" si="76"/>
        <v>XIL17</v>
      </c>
    </row>
    <row r="1599" spans="6:26" x14ac:dyDescent="0.25">
      <c r="F1599" s="58" t="str">
        <f t="shared" si="68"/>
        <v>XIII AK 35</v>
      </c>
      <c r="G1599" s="5">
        <v>5</v>
      </c>
      <c r="H1599" s="60">
        <v>102017626</v>
      </c>
      <c r="I1599" s="81" t="s">
        <v>1736</v>
      </c>
      <c r="J1599" s="61" t="str">
        <f t="shared" si="69"/>
        <v>102017626/0055808266</v>
      </c>
      <c r="K1599" s="69" t="s">
        <v>1737</v>
      </c>
      <c r="L1599" s="86" t="s">
        <v>381</v>
      </c>
      <c r="M1599" s="72" t="s">
        <v>455</v>
      </c>
      <c r="N1599" s="5" t="s">
        <v>2787</v>
      </c>
      <c r="O1599" s="5" t="s">
        <v>2786</v>
      </c>
      <c r="P1599" s="5" t="str">
        <f t="shared" si="70"/>
        <v>PAK</v>
      </c>
      <c r="R1599" s="49" t="s">
        <v>2788</v>
      </c>
      <c r="S1599" s="49" t="s">
        <v>2789</v>
      </c>
      <c r="T1599" s="49" t="str">
        <f t="shared" si="71"/>
        <v>PISLAM</v>
      </c>
      <c r="U1599" s="49" t="str">
        <f t="shared" si="72"/>
        <v>XIPISLAM</v>
      </c>
      <c r="V1599" s="90" t="s">
        <v>2888</v>
      </c>
      <c r="W1599" s="49">
        <f t="shared" si="73"/>
        <v>2004</v>
      </c>
      <c r="X1599" s="49">
        <f t="shared" si="74"/>
        <v>17</v>
      </c>
      <c r="Y1599" s="49" t="str">
        <f t="shared" si="75"/>
        <v>P17</v>
      </c>
      <c r="Z1599" s="49" t="str">
        <f t="shared" si="76"/>
        <v>XIP17</v>
      </c>
    </row>
    <row r="1600" spans="6:26" x14ac:dyDescent="0.25">
      <c r="F1600" s="58" t="str">
        <f t="shared" si="68"/>
        <v>XIII AK 36</v>
      </c>
      <c r="G1600" s="5">
        <v>6</v>
      </c>
      <c r="H1600" s="60">
        <v>102017627</v>
      </c>
      <c r="I1600" s="81" t="s">
        <v>1740</v>
      </c>
      <c r="J1600" s="61" t="str">
        <f t="shared" si="69"/>
        <v>102017627/0053550044</v>
      </c>
      <c r="K1600" s="69" t="s">
        <v>1741</v>
      </c>
      <c r="L1600" s="86" t="s">
        <v>381</v>
      </c>
      <c r="M1600" s="72" t="s">
        <v>455</v>
      </c>
      <c r="N1600" s="5" t="s">
        <v>2787</v>
      </c>
      <c r="O1600" s="5" t="s">
        <v>2786</v>
      </c>
      <c r="P1600" s="5" t="str">
        <f t="shared" si="70"/>
        <v>PAK</v>
      </c>
      <c r="R1600" s="49" t="s">
        <v>2788</v>
      </c>
      <c r="S1600" s="49" t="s">
        <v>2789</v>
      </c>
      <c r="T1600" s="49" t="str">
        <f t="shared" si="71"/>
        <v>PISLAM</v>
      </c>
      <c r="U1600" s="49" t="str">
        <f t="shared" si="72"/>
        <v>XIPISLAM</v>
      </c>
      <c r="V1600" s="90" t="s">
        <v>2889</v>
      </c>
      <c r="W1600" s="49">
        <f t="shared" si="73"/>
        <v>2005</v>
      </c>
      <c r="X1600" s="49">
        <f t="shared" si="74"/>
        <v>16</v>
      </c>
      <c r="Y1600" s="49" t="str">
        <f t="shared" si="75"/>
        <v>P16</v>
      </c>
      <c r="Z1600" s="49" t="str">
        <f t="shared" si="76"/>
        <v>XIP16</v>
      </c>
    </row>
    <row r="1601" spans="6:26" x14ac:dyDescent="0.25">
      <c r="F1601" s="58" t="str">
        <f t="shared" si="68"/>
        <v>XIII AK 37</v>
      </c>
      <c r="G1601" s="5">
        <v>7</v>
      </c>
      <c r="H1601" s="60">
        <v>102017628</v>
      </c>
      <c r="I1601" s="81" t="s">
        <v>1762</v>
      </c>
      <c r="J1601" s="61" t="str">
        <f t="shared" si="69"/>
        <v>102017628/0066693137</v>
      </c>
      <c r="K1601" s="69" t="s">
        <v>1763</v>
      </c>
      <c r="L1601" s="86" t="s">
        <v>381</v>
      </c>
      <c r="M1601" s="72" t="s">
        <v>455</v>
      </c>
      <c r="N1601" s="5" t="s">
        <v>2787</v>
      </c>
      <c r="O1601" s="5" t="s">
        <v>2786</v>
      </c>
      <c r="P1601" s="5" t="str">
        <f t="shared" si="70"/>
        <v>PAK</v>
      </c>
      <c r="R1601" s="49" t="s">
        <v>2788</v>
      </c>
      <c r="S1601" s="49" t="s">
        <v>2789</v>
      </c>
      <c r="T1601" s="49" t="str">
        <f t="shared" si="71"/>
        <v>PISLAM</v>
      </c>
      <c r="U1601" s="49" t="str">
        <f t="shared" si="72"/>
        <v>XIPISLAM</v>
      </c>
      <c r="V1601" s="90" t="s">
        <v>2890</v>
      </c>
      <c r="W1601" s="49">
        <f t="shared" si="73"/>
        <v>2006</v>
      </c>
      <c r="X1601" s="49">
        <f t="shared" si="74"/>
        <v>15</v>
      </c>
      <c r="Y1601" s="49" t="str">
        <f t="shared" si="75"/>
        <v>P15</v>
      </c>
      <c r="Z1601" s="49" t="str">
        <f t="shared" si="76"/>
        <v>XIP15</v>
      </c>
    </row>
    <row r="1602" spans="6:26" x14ac:dyDescent="0.25">
      <c r="F1602" s="58" t="str">
        <f t="shared" si="68"/>
        <v>XIII AK 38</v>
      </c>
      <c r="G1602" s="5">
        <v>8</v>
      </c>
      <c r="H1602" s="60">
        <v>102017629</v>
      </c>
      <c r="I1602" s="81" t="s">
        <v>1788</v>
      </c>
      <c r="J1602" s="61" t="str">
        <f t="shared" si="69"/>
        <v>102017629/0056850206</v>
      </c>
      <c r="K1602" s="69" t="s">
        <v>1789</v>
      </c>
      <c r="L1602" s="86" t="s">
        <v>379</v>
      </c>
      <c r="M1602" s="72" t="s">
        <v>455</v>
      </c>
      <c r="N1602" s="5" t="s">
        <v>2787</v>
      </c>
      <c r="O1602" s="5" t="s">
        <v>2786</v>
      </c>
      <c r="P1602" s="5" t="str">
        <f t="shared" si="70"/>
        <v>LAK</v>
      </c>
      <c r="R1602" s="49" t="s">
        <v>2788</v>
      </c>
      <c r="S1602" s="49" t="s">
        <v>2789</v>
      </c>
      <c r="T1602" s="49" t="str">
        <f t="shared" si="71"/>
        <v>LISLAM</v>
      </c>
      <c r="U1602" s="49" t="str">
        <f t="shared" si="72"/>
        <v>XILISLAM</v>
      </c>
      <c r="V1602" s="90" t="s">
        <v>2891</v>
      </c>
      <c r="W1602" s="49">
        <f t="shared" si="73"/>
        <v>2005</v>
      </c>
      <c r="X1602" s="49">
        <f t="shared" si="74"/>
        <v>16</v>
      </c>
      <c r="Y1602" s="49" t="str">
        <f t="shared" si="75"/>
        <v>L16</v>
      </c>
      <c r="Z1602" s="49" t="str">
        <f t="shared" si="76"/>
        <v>XIL16</v>
      </c>
    </row>
    <row r="1603" spans="6:26" x14ac:dyDescent="0.25">
      <c r="F1603" s="58" t="str">
        <f t="shared" si="68"/>
        <v>XIII AK 39</v>
      </c>
      <c r="G1603" s="5">
        <v>9</v>
      </c>
      <c r="H1603" s="60">
        <v>102017630</v>
      </c>
      <c r="I1603" s="81" t="s">
        <v>1846</v>
      </c>
      <c r="J1603" s="61" t="str">
        <f t="shared" si="69"/>
        <v>102017630/0046855450</v>
      </c>
      <c r="K1603" s="69" t="s">
        <v>1847</v>
      </c>
      <c r="L1603" s="86" t="s">
        <v>381</v>
      </c>
      <c r="M1603" s="72" t="s">
        <v>455</v>
      </c>
      <c r="N1603" s="5" t="s">
        <v>2787</v>
      </c>
      <c r="O1603" s="5" t="s">
        <v>2786</v>
      </c>
      <c r="P1603" s="5" t="str">
        <f t="shared" si="70"/>
        <v>PAK</v>
      </c>
      <c r="R1603" s="49" t="s">
        <v>2788</v>
      </c>
      <c r="S1603" s="49" t="s">
        <v>2789</v>
      </c>
      <c r="T1603" s="49" t="str">
        <f t="shared" si="71"/>
        <v>PISLAM</v>
      </c>
      <c r="U1603" s="49" t="str">
        <f t="shared" si="72"/>
        <v>XIPISLAM</v>
      </c>
      <c r="V1603" s="90" t="s">
        <v>2892</v>
      </c>
      <c r="W1603" s="49">
        <f t="shared" si="73"/>
        <v>2004</v>
      </c>
      <c r="X1603" s="49">
        <f t="shared" si="74"/>
        <v>17</v>
      </c>
      <c r="Y1603" s="49" t="str">
        <f t="shared" si="75"/>
        <v>P17</v>
      </c>
      <c r="Z1603" s="49" t="str">
        <f t="shared" si="76"/>
        <v>XIP17</v>
      </c>
    </row>
    <row r="1604" spans="6:26" x14ac:dyDescent="0.25">
      <c r="F1604" s="58" t="str">
        <f t="shared" si="68"/>
        <v>XIII AK 310</v>
      </c>
      <c r="G1604" s="5">
        <v>10</v>
      </c>
      <c r="H1604" s="60">
        <v>102017631</v>
      </c>
      <c r="I1604" s="81" t="s">
        <v>1872</v>
      </c>
      <c r="J1604" s="61" t="str">
        <f t="shared" si="69"/>
        <v>102017631/0044878131</v>
      </c>
      <c r="K1604" s="69" t="s">
        <v>1873</v>
      </c>
      <c r="L1604" s="86" t="s">
        <v>381</v>
      </c>
      <c r="M1604" s="72" t="s">
        <v>455</v>
      </c>
      <c r="N1604" s="5" t="s">
        <v>2787</v>
      </c>
      <c r="O1604" s="5" t="s">
        <v>2786</v>
      </c>
      <c r="P1604" s="5" t="str">
        <f t="shared" si="70"/>
        <v>PAK</v>
      </c>
      <c r="R1604" s="49" t="s">
        <v>2788</v>
      </c>
      <c r="S1604" s="49" t="s">
        <v>2789</v>
      </c>
      <c r="T1604" s="49" t="str">
        <f t="shared" si="71"/>
        <v>PISLAM</v>
      </c>
      <c r="U1604" s="49" t="str">
        <f t="shared" si="72"/>
        <v>XIPISLAM</v>
      </c>
      <c r="V1604" s="90" t="s">
        <v>2878</v>
      </c>
      <c r="W1604" s="49">
        <f t="shared" si="73"/>
        <v>2004</v>
      </c>
      <c r="X1604" s="49">
        <f t="shared" si="74"/>
        <v>17</v>
      </c>
      <c r="Y1604" s="49" t="str">
        <f t="shared" si="75"/>
        <v>P17</v>
      </c>
      <c r="Z1604" s="49" t="str">
        <f t="shared" si="76"/>
        <v>XIP17</v>
      </c>
    </row>
    <row r="1605" spans="6:26" ht="30" x14ac:dyDescent="0.25">
      <c r="F1605" s="58" t="str">
        <f t="shared" si="68"/>
        <v>XIII AK 311</v>
      </c>
      <c r="G1605" s="5">
        <v>11</v>
      </c>
      <c r="H1605" s="60">
        <v>102017632</v>
      </c>
      <c r="I1605" s="84" t="s">
        <v>1897</v>
      </c>
      <c r="J1605" s="61" t="str">
        <f t="shared" si="69"/>
        <v>102017632/0042885452</v>
      </c>
      <c r="K1605" s="69" t="s">
        <v>1898</v>
      </c>
      <c r="L1605" s="86" t="s">
        <v>379</v>
      </c>
      <c r="M1605" s="72" t="s">
        <v>455</v>
      </c>
      <c r="N1605" s="5" t="s">
        <v>2787</v>
      </c>
      <c r="O1605" s="5" t="s">
        <v>2786</v>
      </c>
      <c r="P1605" s="5" t="str">
        <f t="shared" si="70"/>
        <v>LAK</v>
      </c>
      <c r="R1605" s="49" t="s">
        <v>2788</v>
      </c>
      <c r="S1605" s="49" t="s">
        <v>2789</v>
      </c>
      <c r="T1605" s="49" t="str">
        <f t="shared" si="71"/>
        <v>LISLAM</v>
      </c>
      <c r="U1605" s="49" t="str">
        <f t="shared" si="72"/>
        <v>XILISLAM</v>
      </c>
      <c r="V1605" s="90" t="s">
        <v>2893</v>
      </c>
      <c r="W1605" s="49">
        <f t="shared" si="73"/>
        <v>2004</v>
      </c>
      <c r="X1605" s="49">
        <f t="shared" si="74"/>
        <v>17</v>
      </c>
      <c r="Y1605" s="49" t="str">
        <f t="shared" si="75"/>
        <v>L17</v>
      </c>
      <c r="Z1605" s="49" t="str">
        <f t="shared" si="76"/>
        <v>XIL17</v>
      </c>
    </row>
    <row r="1606" spans="6:26" ht="30" x14ac:dyDescent="0.25">
      <c r="F1606" s="58" t="str">
        <f t="shared" si="68"/>
        <v>XIII AK 312</v>
      </c>
      <c r="G1606" s="5">
        <v>12</v>
      </c>
      <c r="H1606" s="60">
        <v>102017633</v>
      </c>
      <c r="I1606" s="84" t="s">
        <v>1927</v>
      </c>
      <c r="J1606" s="61" t="str">
        <f t="shared" si="69"/>
        <v>102017633/0053399118</v>
      </c>
      <c r="K1606" s="69" t="s">
        <v>1928</v>
      </c>
      <c r="L1606" s="86" t="s">
        <v>381</v>
      </c>
      <c r="M1606" s="72" t="s">
        <v>455</v>
      </c>
      <c r="N1606" s="5" t="s">
        <v>2787</v>
      </c>
      <c r="O1606" s="5" t="s">
        <v>2786</v>
      </c>
      <c r="P1606" s="5" t="str">
        <f t="shared" si="70"/>
        <v>PAK</v>
      </c>
      <c r="R1606" s="49" t="s">
        <v>2788</v>
      </c>
      <c r="S1606" s="49" t="s">
        <v>2789</v>
      </c>
      <c r="T1606" s="49" t="str">
        <f t="shared" si="71"/>
        <v>PISLAM</v>
      </c>
      <c r="U1606" s="49" t="str">
        <f t="shared" si="72"/>
        <v>XIPISLAM</v>
      </c>
      <c r="V1606" s="90" t="s">
        <v>2894</v>
      </c>
      <c r="W1606" s="49">
        <f t="shared" si="73"/>
        <v>2005</v>
      </c>
      <c r="X1606" s="49">
        <f t="shared" si="74"/>
        <v>16</v>
      </c>
      <c r="Y1606" s="49" t="str">
        <f t="shared" si="75"/>
        <v>P16</v>
      </c>
      <c r="Z1606" s="49" t="str">
        <f t="shared" si="76"/>
        <v>XIP16</v>
      </c>
    </row>
    <row r="1607" spans="6:26" ht="30" x14ac:dyDescent="0.25">
      <c r="F1607" s="58" t="str">
        <f t="shared" si="68"/>
        <v>XIII AK 313</v>
      </c>
      <c r="G1607" s="5">
        <v>13</v>
      </c>
      <c r="H1607" s="60">
        <v>102017635</v>
      </c>
      <c r="I1607" s="84" t="s">
        <v>1941</v>
      </c>
      <c r="J1607" s="61" t="str">
        <f t="shared" si="69"/>
        <v>102017635/0038999740</v>
      </c>
      <c r="K1607" s="69" t="s">
        <v>1942</v>
      </c>
      <c r="L1607" s="86" t="s">
        <v>381</v>
      </c>
      <c r="M1607" s="72" t="s">
        <v>455</v>
      </c>
      <c r="N1607" s="5" t="s">
        <v>2787</v>
      </c>
      <c r="O1607" s="5" t="s">
        <v>2786</v>
      </c>
      <c r="P1607" s="5" t="str">
        <f t="shared" si="70"/>
        <v>PAK</v>
      </c>
      <c r="R1607" s="49" t="s">
        <v>2788</v>
      </c>
      <c r="S1607" s="49" t="s">
        <v>2789</v>
      </c>
      <c r="T1607" s="49" t="str">
        <f t="shared" si="71"/>
        <v>PISLAM</v>
      </c>
      <c r="U1607" s="49" t="str">
        <f t="shared" si="72"/>
        <v>XIPISLAM</v>
      </c>
      <c r="V1607" s="90" t="s">
        <v>2895</v>
      </c>
      <c r="W1607" s="49">
        <f t="shared" si="73"/>
        <v>2005</v>
      </c>
      <c r="X1607" s="49">
        <f t="shared" si="74"/>
        <v>16</v>
      </c>
      <c r="Y1607" s="49" t="str">
        <f t="shared" si="75"/>
        <v>P16</v>
      </c>
      <c r="Z1607" s="49" t="str">
        <f t="shared" si="76"/>
        <v>XIP16</v>
      </c>
    </row>
    <row r="1608" spans="6:26" ht="30" x14ac:dyDescent="0.25">
      <c r="F1608" s="58" t="str">
        <f t="shared" si="68"/>
        <v>XIII AK 314</v>
      </c>
      <c r="G1608" s="5">
        <v>14</v>
      </c>
      <c r="H1608" s="60">
        <v>102017638</v>
      </c>
      <c r="I1608" s="84" t="s">
        <v>1957</v>
      </c>
      <c r="J1608" s="61" t="str">
        <f t="shared" si="69"/>
        <v>102017638/0056040403</v>
      </c>
      <c r="K1608" s="69" t="s">
        <v>1958</v>
      </c>
      <c r="L1608" s="86" t="s">
        <v>381</v>
      </c>
      <c r="M1608" s="72" t="s">
        <v>455</v>
      </c>
      <c r="N1608" s="5" t="s">
        <v>2787</v>
      </c>
      <c r="O1608" s="5" t="s">
        <v>2786</v>
      </c>
      <c r="P1608" s="5" t="str">
        <f t="shared" si="70"/>
        <v>PAK</v>
      </c>
      <c r="R1608" s="49" t="s">
        <v>2788</v>
      </c>
      <c r="S1608" s="49" t="s">
        <v>2789</v>
      </c>
      <c r="T1608" s="49" t="str">
        <f t="shared" si="71"/>
        <v>PISLAM</v>
      </c>
      <c r="U1608" s="49" t="str">
        <f t="shared" si="72"/>
        <v>XIPISLAM</v>
      </c>
      <c r="V1608" s="90" t="s">
        <v>2879</v>
      </c>
      <c r="W1608" s="49">
        <f t="shared" si="73"/>
        <v>2005</v>
      </c>
      <c r="X1608" s="49">
        <f t="shared" si="74"/>
        <v>16</v>
      </c>
      <c r="Y1608" s="49" t="str">
        <f t="shared" si="75"/>
        <v>P16</v>
      </c>
      <c r="Z1608" s="49" t="str">
        <f t="shared" si="76"/>
        <v>XIP16</v>
      </c>
    </row>
    <row r="1609" spans="6:26" x14ac:dyDescent="0.25">
      <c r="F1609" s="58" t="str">
        <f t="shared" si="68"/>
        <v>XIII AK 315</v>
      </c>
      <c r="G1609" s="5">
        <v>15</v>
      </c>
      <c r="H1609" s="60">
        <v>102017640</v>
      </c>
      <c r="I1609" s="81" t="s">
        <v>1965</v>
      </c>
      <c r="J1609" s="61" t="str">
        <f t="shared" si="69"/>
        <v>102017640/0049158508</v>
      </c>
      <c r="K1609" s="69" t="s">
        <v>1966</v>
      </c>
      <c r="L1609" s="86" t="s">
        <v>379</v>
      </c>
      <c r="M1609" s="72" t="s">
        <v>455</v>
      </c>
      <c r="N1609" s="5" t="s">
        <v>2787</v>
      </c>
      <c r="O1609" s="5" t="s">
        <v>2786</v>
      </c>
      <c r="P1609" s="5" t="str">
        <f t="shared" si="70"/>
        <v>LAK</v>
      </c>
      <c r="R1609" s="49" t="s">
        <v>2788</v>
      </c>
      <c r="S1609" s="49" t="s">
        <v>2789</v>
      </c>
      <c r="T1609" s="49" t="str">
        <f t="shared" si="71"/>
        <v>LISLAM</v>
      </c>
      <c r="U1609" s="49" t="str">
        <f t="shared" si="72"/>
        <v>XILISLAM</v>
      </c>
      <c r="V1609" s="90" t="s">
        <v>2896</v>
      </c>
      <c r="W1609" s="49">
        <f t="shared" si="73"/>
        <v>2004</v>
      </c>
      <c r="X1609" s="49">
        <f t="shared" si="74"/>
        <v>17</v>
      </c>
      <c r="Y1609" s="49" t="str">
        <f t="shared" si="75"/>
        <v>L17</v>
      </c>
      <c r="Z1609" s="49" t="str">
        <f t="shared" si="76"/>
        <v>XIL17</v>
      </c>
    </row>
    <row r="1610" spans="6:26" x14ac:dyDescent="0.25">
      <c r="F1610" s="58" t="str">
        <f t="shared" si="68"/>
        <v>XIII AK 316</v>
      </c>
      <c r="G1610" s="5">
        <v>16</v>
      </c>
      <c r="H1610" s="60">
        <v>102017641</v>
      </c>
      <c r="I1610" s="139" t="s">
        <v>1988</v>
      </c>
      <c r="J1610" s="61" t="str">
        <f t="shared" si="69"/>
        <v>102017641/0042067139</v>
      </c>
      <c r="K1610" s="69" t="s">
        <v>1989</v>
      </c>
      <c r="L1610" s="86" t="s">
        <v>379</v>
      </c>
      <c r="M1610" s="72" t="s">
        <v>455</v>
      </c>
      <c r="N1610" s="5" t="s">
        <v>2787</v>
      </c>
      <c r="O1610" s="5" t="s">
        <v>2786</v>
      </c>
      <c r="P1610" s="5" t="str">
        <f t="shared" si="70"/>
        <v>LAK</v>
      </c>
      <c r="R1610" s="49" t="s">
        <v>2788</v>
      </c>
      <c r="S1610" s="49" t="s">
        <v>2789</v>
      </c>
      <c r="T1610" s="49" t="str">
        <f t="shared" si="71"/>
        <v>LISLAM</v>
      </c>
      <c r="U1610" s="49" t="str">
        <f t="shared" si="72"/>
        <v>XILISLAM</v>
      </c>
      <c r="V1610" s="90" t="s">
        <v>2897</v>
      </c>
      <c r="W1610" s="49">
        <f t="shared" si="73"/>
        <v>2004</v>
      </c>
      <c r="X1610" s="49">
        <f t="shared" si="74"/>
        <v>17</v>
      </c>
      <c r="Y1610" s="49" t="str">
        <f t="shared" si="75"/>
        <v>L17</v>
      </c>
      <c r="Z1610" s="49" t="str">
        <f t="shared" si="76"/>
        <v>XIL17</v>
      </c>
    </row>
    <row r="1611" spans="6:26" x14ac:dyDescent="0.25">
      <c r="F1611" s="58" t="str">
        <f t="shared" si="68"/>
        <v>XIII AK 317</v>
      </c>
      <c r="G1611" s="5">
        <v>17</v>
      </c>
      <c r="H1611" s="60">
        <v>102017642</v>
      </c>
      <c r="I1611" s="81" t="s">
        <v>1990</v>
      </c>
      <c r="J1611" s="61" t="str">
        <f t="shared" si="69"/>
        <v>102017642/0057671725</v>
      </c>
      <c r="K1611" s="69" t="s">
        <v>1991</v>
      </c>
      <c r="L1611" s="86" t="s">
        <v>379</v>
      </c>
      <c r="M1611" s="72" t="s">
        <v>455</v>
      </c>
      <c r="N1611" s="5" t="s">
        <v>2787</v>
      </c>
      <c r="O1611" s="5" t="s">
        <v>2786</v>
      </c>
      <c r="P1611" s="5" t="str">
        <f t="shared" si="70"/>
        <v>LAK</v>
      </c>
      <c r="R1611" s="49" t="s">
        <v>2788</v>
      </c>
      <c r="S1611" s="49" t="s">
        <v>2789</v>
      </c>
      <c r="T1611" s="49" t="str">
        <f t="shared" si="71"/>
        <v>LISLAM</v>
      </c>
      <c r="U1611" s="49" t="str">
        <f t="shared" si="72"/>
        <v>XILISLAM</v>
      </c>
      <c r="V1611" s="90" t="s">
        <v>2898</v>
      </c>
      <c r="W1611" s="49">
        <f t="shared" si="73"/>
        <v>2005</v>
      </c>
      <c r="X1611" s="49">
        <f t="shared" si="74"/>
        <v>16</v>
      </c>
      <c r="Y1611" s="49" t="str">
        <f t="shared" si="75"/>
        <v>L16</v>
      </c>
      <c r="Z1611" s="49" t="str">
        <f t="shared" si="76"/>
        <v>XIL16</v>
      </c>
    </row>
    <row r="1612" spans="6:26" x14ac:dyDescent="0.25">
      <c r="F1612" s="58" t="str">
        <f t="shared" si="68"/>
        <v>XIII AK 318</v>
      </c>
      <c r="G1612" s="5">
        <v>18</v>
      </c>
      <c r="H1612" s="60">
        <v>102017643</v>
      </c>
      <c r="I1612" s="81" t="s">
        <v>2000</v>
      </c>
      <c r="J1612" s="61" t="str">
        <f t="shared" si="69"/>
        <v>102017643/0047312606</v>
      </c>
      <c r="K1612" s="69" t="s">
        <v>2001</v>
      </c>
      <c r="L1612" s="86" t="s">
        <v>379</v>
      </c>
      <c r="M1612" s="72" t="s">
        <v>455</v>
      </c>
      <c r="N1612" s="5" t="s">
        <v>2787</v>
      </c>
      <c r="O1612" s="5" t="s">
        <v>2786</v>
      </c>
      <c r="P1612" s="5" t="str">
        <f t="shared" si="70"/>
        <v>LAK</v>
      </c>
      <c r="R1612" s="49" t="s">
        <v>2788</v>
      </c>
      <c r="S1612" s="49" t="s">
        <v>2789</v>
      </c>
      <c r="T1612" s="49" t="str">
        <f t="shared" si="71"/>
        <v>LISLAM</v>
      </c>
      <c r="U1612" s="49" t="str">
        <f t="shared" si="72"/>
        <v>XILISLAM</v>
      </c>
      <c r="V1612" s="90" t="s">
        <v>2899</v>
      </c>
      <c r="W1612" s="49">
        <f t="shared" si="73"/>
        <v>2004</v>
      </c>
      <c r="X1612" s="49">
        <f t="shared" si="74"/>
        <v>17</v>
      </c>
      <c r="Y1612" s="49" t="str">
        <f t="shared" si="75"/>
        <v>L17</v>
      </c>
      <c r="Z1612" s="49" t="str">
        <f t="shared" si="76"/>
        <v>XIL17</v>
      </c>
    </row>
    <row r="1613" spans="6:26" x14ac:dyDescent="0.25">
      <c r="F1613" s="58" t="str">
        <f t="shared" si="68"/>
        <v>XIII AK 319</v>
      </c>
      <c r="G1613" s="5">
        <v>19</v>
      </c>
      <c r="H1613" s="60">
        <v>102017644</v>
      </c>
      <c r="I1613" s="139" t="s">
        <v>2014</v>
      </c>
      <c r="J1613" s="61" t="str">
        <f t="shared" si="69"/>
        <v>102017644/0057715355</v>
      </c>
      <c r="K1613" s="69" t="s">
        <v>2015</v>
      </c>
      <c r="L1613" s="86" t="s">
        <v>379</v>
      </c>
      <c r="M1613" s="72" t="s">
        <v>455</v>
      </c>
      <c r="N1613" s="5" t="s">
        <v>2787</v>
      </c>
      <c r="O1613" s="5" t="s">
        <v>2786</v>
      </c>
      <c r="P1613" s="5" t="str">
        <f t="shared" si="70"/>
        <v>LAK</v>
      </c>
      <c r="R1613" s="49" t="s">
        <v>2788</v>
      </c>
      <c r="S1613" s="49" t="s">
        <v>2789</v>
      </c>
      <c r="T1613" s="49" t="str">
        <f t="shared" si="71"/>
        <v>LISLAM</v>
      </c>
      <c r="U1613" s="49" t="str">
        <f t="shared" si="72"/>
        <v>XILISLAM</v>
      </c>
      <c r="V1613" s="90" t="s">
        <v>2900</v>
      </c>
      <c r="W1613" s="49">
        <f t="shared" si="73"/>
        <v>2005</v>
      </c>
      <c r="X1613" s="49">
        <f t="shared" si="74"/>
        <v>16</v>
      </c>
      <c r="Y1613" s="49" t="str">
        <f t="shared" si="75"/>
        <v>L16</v>
      </c>
      <c r="Z1613" s="49" t="str">
        <f t="shared" si="76"/>
        <v>XIL16</v>
      </c>
    </row>
    <row r="1614" spans="6:26" x14ac:dyDescent="0.25">
      <c r="F1614" s="58" t="str">
        <f t="shared" si="68"/>
        <v>XIII AK 320</v>
      </c>
      <c r="G1614" s="5">
        <v>20</v>
      </c>
      <c r="H1614" s="60">
        <v>102017645</v>
      </c>
      <c r="I1614" s="81" t="s">
        <v>2057</v>
      </c>
      <c r="J1614" s="61" t="str">
        <f t="shared" si="69"/>
        <v>102017645/0059911689</v>
      </c>
      <c r="K1614" s="69" t="s">
        <v>2058</v>
      </c>
      <c r="L1614" s="86" t="s">
        <v>381</v>
      </c>
      <c r="M1614" s="72" t="s">
        <v>455</v>
      </c>
      <c r="N1614" s="5" t="s">
        <v>2787</v>
      </c>
      <c r="O1614" s="5" t="s">
        <v>2786</v>
      </c>
      <c r="P1614" s="5" t="str">
        <f t="shared" si="70"/>
        <v>PAK</v>
      </c>
      <c r="R1614" s="49" t="s">
        <v>2788</v>
      </c>
      <c r="S1614" s="49" t="s">
        <v>2789</v>
      </c>
      <c r="T1614" s="49" t="str">
        <f t="shared" si="71"/>
        <v>PISLAM</v>
      </c>
      <c r="U1614" s="49" t="str">
        <f t="shared" si="72"/>
        <v>XIPISLAM</v>
      </c>
      <c r="V1614" s="90" t="s">
        <v>2901</v>
      </c>
      <c r="W1614" s="49">
        <f t="shared" si="73"/>
        <v>2005</v>
      </c>
      <c r="X1614" s="49">
        <f t="shared" si="74"/>
        <v>16</v>
      </c>
      <c r="Y1614" s="49" t="str">
        <f t="shared" si="75"/>
        <v>P16</v>
      </c>
      <c r="Z1614" s="49" t="str">
        <f t="shared" si="76"/>
        <v>XIP16</v>
      </c>
    </row>
    <row r="1615" spans="6:26" x14ac:dyDescent="0.25">
      <c r="F1615" s="58" t="str">
        <f t="shared" si="68"/>
        <v>XIII AK 321</v>
      </c>
      <c r="G1615" s="5">
        <v>21</v>
      </c>
      <c r="H1615" s="60">
        <v>102017646</v>
      </c>
      <c r="I1615" s="81" t="s">
        <v>2059</v>
      </c>
      <c r="J1615" s="61" t="str">
        <f t="shared" si="69"/>
        <v>102017646/0053032082</v>
      </c>
      <c r="K1615" s="69" t="s">
        <v>2060</v>
      </c>
      <c r="L1615" s="86" t="s">
        <v>381</v>
      </c>
      <c r="M1615" s="72" t="s">
        <v>455</v>
      </c>
      <c r="N1615" s="5" t="s">
        <v>2787</v>
      </c>
      <c r="O1615" s="5" t="s">
        <v>2786</v>
      </c>
      <c r="P1615" s="5" t="str">
        <f t="shared" si="70"/>
        <v>PAK</v>
      </c>
      <c r="R1615" s="49" t="s">
        <v>2788</v>
      </c>
      <c r="S1615" s="49" t="s">
        <v>2789</v>
      </c>
      <c r="T1615" s="49" t="str">
        <f t="shared" si="71"/>
        <v>PISLAM</v>
      </c>
      <c r="U1615" s="49" t="str">
        <f t="shared" si="72"/>
        <v>XIPISLAM</v>
      </c>
      <c r="V1615" s="90" t="s">
        <v>2874</v>
      </c>
      <c r="W1615" s="49">
        <f t="shared" si="73"/>
        <v>2005</v>
      </c>
      <c r="X1615" s="49">
        <f t="shared" si="74"/>
        <v>16</v>
      </c>
      <c r="Y1615" s="49" t="str">
        <f t="shared" si="75"/>
        <v>P16</v>
      </c>
      <c r="Z1615" s="49" t="str">
        <f t="shared" si="76"/>
        <v>XIP16</v>
      </c>
    </row>
    <row r="1616" spans="6:26" ht="30" x14ac:dyDescent="0.25">
      <c r="F1616" s="58" t="str">
        <f t="shared" si="68"/>
        <v>XIII AK 322</v>
      </c>
      <c r="G1616" s="5">
        <v>22</v>
      </c>
      <c r="H1616" s="60">
        <v>102017647</v>
      </c>
      <c r="I1616" s="84" t="s">
        <v>2077</v>
      </c>
      <c r="J1616" s="61" t="str">
        <f t="shared" si="69"/>
        <v>102017647/0057493244</v>
      </c>
      <c r="K1616" s="69" t="s">
        <v>2078</v>
      </c>
      <c r="L1616" s="86" t="s">
        <v>381</v>
      </c>
      <c r="M1616" s="72" t="s">
        <v>455</v>
      </c>
      <c r="N1616" s="5" t="s">
        <v>2787</v>
      </c>
      <c r="O1616" s="5" t="s">
        <v>2786</v>
      </c>
      <c r="P1616" s="5" t="str">
        <f t="shared" si="70"/>
        <v>PAK</v>
      </c>
      <c r="R1616" s="49" t="s">
        <v>2788</v>
      </c>
      <c r="S1616" s="49" t="s">
        <v>2789</v>
      </c>
      <c r="T1616" s="49" t="str">
        <f t="shared" si="71"/>
        <v>PISLAM</v>
      </c>
      <c r="U1616" s="49" t="str">
        <f t="shared" si="72"/>
        <v>XIPISLAM</v>
      </c>
      <c r="V1616" s="90" t="s">
        <v>2902</v>
      </c>
      <c r="W1616" s="49">
        <f t="shared" si="73"/>
        <v>2005</v>
      </c>
      <c r="X1616" s="49">
        <f t="shared" si="74"/>
        <v>16</v>
      </c>
      <c r="Y1616" s="49" t="str">
        <f t="shared" si="75"/>
        <v>P16</v>
      </c>
      <c r="Z1616" s="49" t="str">
        <f t="shared" si="76"/>
        <v>XIP16</v>
      </c>
    </row>
    <row r="1617" spans="6:26" x14ac:dyDescent="0.25">
      <c r="F1617" s="58" t="str">
        <f t="shared" si="68"/>
        <v>XIII AK 323</v>
      </c>
      <c r="G1617" s="5">
        <v>23</v>
      </c>
      <c r="H1617" s="60">
        <v>102017648</v>
      </c>
      <c r="I1617" s="81" t="s">
        <v>2121</v>
      </c>
      <c r="J1617" s="61" t="str">
        <f t="shared" si="69"/>
        <v>102017648/0059669051</v>
      </c>
      <c r="K1617" s="69" t="s">
        <v>2122</v>
      </c>
      <c r="L1617" s="86" t="s">
        <v>381</v>
      </c>
      <c r="M1617" s="72" t="s">
        <v>455</v>
      </c>
      <c r="N1617" s="5" t="s">
        <v>2787</v>
      </c>
      <c r="O1617" s="5" t="s">
        <v>2786</v>
      </c>
      <c r="P1617" s="5" t="str">
        <f t="shared" si="70"/>
        <v>PAK</v>
      </c>
      <c r="R1617" s="49" t="s">
        <v>2788</v>
      </c>
      <c r="S1617" s="49" t="s">
        <v>2789</v>
      </c>
      <c r="T1617" s="49" t="str">
        <f t="shared" si="71"/>
        <v>PISLAM</v>
      </c>
      <c r="U1617" s="49" t="str">
        <f t="shared" si="72"/>
        <v>XIPISLAM</v>
      </c>
      <c r="V1617" s="90" t="s">
        <v>2903</v>
      </c>
      <c r="W1617" s="49">
        <f t="shared" si="73"/>
        <v>2005</v>
      </c>
      <c r="X1617" s="49">
        <f t="shared" si="74"/>
        <v>16</v>
      </c>
      <c r="Y1617" s="49" t="str">
        <f t="shared" si="75"/>
        <v>P16</v>
      </c>
      <c r="Z1617" s="49" t="str">
        <f t="shared" si="76"/>
        <v>XIP16</v>
      </c>
    </row>
    <row r="1618" spans="6:26" ht="18" customHeight="1" x14ac:dyDescent="0.25">
      <c r="F1618" s="58" t="str">
        <f t="shared" si="68"/>
        <v>XIII AK 324</v>
      </c>
      <c r="G1618" s="5">
        <v>24</v>
      </c>
      <c r="H1618" s="60">
        <v>102017649</v>
      </c>
      <c r="I1618" s="81" t="s">
        <v>2201</v>
      </c>
      <c r="J1618" s="61" t="str">
        <f t="shared" si="69"/>
        <v>102017649/0056038309</v>
      </c>
      <c r="K1618" s="94" t="s">
        <v>2202</v>
      </c>
      <c r="L1618" s="86" t="s">
        <v>381</v>
      </c>
      <c r="M1618" s="72" t="s">
        <v>455</v>
      </c>
      <c r="N1618" s="5" t="s">
        <v>2787</v>
      </c>
      <c r="O1618" s="5" t="s">
        <v>2786</v>
      </c>
      <c r="P1618" s="5" t="str">
        <f t="shared" si="70"/>
        <v>PAK</v>
      </c>
      <c r="R1618" s="49" t="s">
        <v>2788</v>
      </c>
      <c r="S1618" s="49" t="s">
        <v>2789</v>
      </c>
      <c r="T1618" s="49" t="str">
        <f t="shared" si="71"/>
        <v>PISLAM</v>
      </c>
      <c r="U1618" s="49" t="str">
        <f t="shared" si="72"/>
        <v>XIPISLAM</v>
      </c>
      <c r="V1618" s="90" t="s">
        <v>2837</v>
      </c>
      <c r="W1618" s="49">
        <f t="shared" si="73"/>
        <v>2005</v>
      </c>
      <c r="X1618" s="49">
        <f t="shared" si="74"/>
        <v>16</v>
      </c>
      <c r="Y1618" s="49" t="str">
        <f t="shared" si="75"/>
        <v>P16</v>
      </c>
      <c r="Z1618" s="49" t="str">
        <f t="shared" si="76"/>
        <v>XIP16</v>
      </c>
    </row>
    <row r="1619" spans="6:26" x14ac:dyDescent="0.25">
      <c r="F1619" s="58" t="str">
        <f t="shared" si="68"/>
        <v>XIII AK 325</v>
      </c>
      <c r="G1619" s="5">
        <v>25</v>
      </c>
      <c r="H1619" s="60">
        <v>102017650</v>
      </c>
      <c r="I1619" s="81" t="s">
        <v>2217</v>
      </c>
      <c r="J1619" s="61" t="str">
        <f t="shared" si="69"/>
        <v>102017650/0059963354</v>
      </c>
      <c r="K1619" s="69" t="s">
        <v>2218</v>
      </c>
      <c r="L1619" s="86" t="s">
        <v>381</v>
      </c>
      <c r="M1619" s="72" t="s">
        <v>455</v>
      </c>
      <c r="N1619" s="5" t="s">
        <v>2787</v>
      </c>
      <c r="O1619" s="5" t="s">
        <v>2786</v>
      </c>
      <c r="P1619" s="5" t="str">
        <f t="shared" si="70"/>
        <v>PAK</v>
      </c>
      <c r="R1619" s="49" t="s">
        <v>2788</v>
      </c>
      <c r="S1619" s="49" t="s">
        <v>2789</v>
      </c>
      <c r="T1619" s="49" t="str">
        <f t="shared" si="71"/>
        <v>PISLAM</v>
      </c>
      <c r="U1619" s="49" t="str">
        <f t="shared" si="72"/>
        <v>XIPISLAM</v>
      </c>
      <c r="V1619" s="90" t="s">
        <v>2904</v>
      </c>
      <c r="W1619" s="49">
        <f t="shared" si="73"/>
        <v>2005</v>
      </c>
      <c r="X1619" s="49">
        <f t="shared" si="74"/>
        <v>16</v>
      </c>
      <c r="Y1619" s="49" t="str">
        <f t="shared" si="75"/>
        <v>P16</v>
      </c>
      <c r="Z1619" s="49" t="str">
        <f t="shared" si="76"/>
        <v>XIP16</v>
      </c>
    </row>
    <row r="1620" spans="6:26" x14ac:dyDescent="0.25">
      <c r="F1620" s="58" t="str">
        <f t="shared" si="68"/>
        <v>XIII AK 326</v>
      </c>
      <c r="G1620" s="5">
        <v>26</v>
      </c>
      <c r="H1620" s="93">
        <v>101917331</v>
      </c>
      <c r="I1620" s="131" t="s">
        <v>2233</v>
      </c>
      <c r="J1620" s="61" t="str">
        <f t="shared" si="69"/>
        <v>101917331/0042616293</v>
      </c>
      <c r="K1620" s="69" t="s">
        <v>2234</v>
      </c>
      <c r="L1620" s="57" t="s">
        <v>381</v>
      </c>
      <c r="M1620" s="72" t="s">
        <v>455</v>
      </c>
      <c r="N1620" s="5" t="s">
        <v>2787</v>
      </c>
      <c r="O1620" s="5" t="s">
        <v>2786</v>
      </c>
      <c r="P1620" s="5" t="str">
        <f t="shared" si="70"/>
        <v>PAK</v>
      </c>
      <c r="R1620" s="49" t="s">
        <v>2905</v>
      </c>
      <c r="S1620" s="49" t="s">
        <v>2789</v>
      </c>
      <c r="T1620" s="49" t="str">
        <f t="shared" si="71"/>
        <v>PIslam</v>
      </c>
      <c r="U1620" s="49" t="str">
        <f t="shared" si="72"/>
        <v>XIPIslam</v>
      </c>
      <c r="V1620" s="95">
        <v>38031</v>
      </c>
      <c r="W1620" s="49">
        <f t="shared" si="73"/>
        <v>2004</v>
      </c>
      <c r="X1620" s="49">
        <f t="shared" si="74"/>
        <v>17</v>
      </c>
      <c r="Y1620" s="49" t="str">
        <f t="shared" si="75"/>
        <v>P17</v>
      </c>
      <c r="Z1620" s="49" t="str">
        <f t="shared" si="76"/>
        <v>XIP17</v>
      </c>
    </row>
    <row r="1621" spans="6:26" x14ac:dyDescent="0.25">
      <c r="F1621" s="58" t="str">
        <f t="shared" si="68"/>
        <v>XIII AK 327</v>
      </c>
      <c r="G1621" s="5">
        <v>27</v>
      </c>
      <c r="H1621" s="60">
        <v>102017651</v>
      </c>
      <c r="I1621" s="81" t="s">
        <v>2235</v>
      </c>
      <c r="J1621" s="61" t="str">
        <f t="shared" si="69"/>
        <v>102017651/3044893474</v>
      </c>
      <c r="K1621" s="69" t="s">
        <v>2236</v>
      </c>
      <c r="L1621" s="86" t="s">
        <v>381</v>
      </c>
      <c r="M1621" s="72" t="s">
        <v>455</v>
      </c>
      <c r="N1621" s="5" t="s">
        <v>2787</v>
      </c>
      <c r="O1621" s="5" t="s">
        <v>2786</v>
      </c>
      <c r="P1621" s="5" t="str">
        <f t="shared" si="70"/>
        <v>PAK</v>
      </c>
      <c r="R1621" s="49" t="s">
        <v>2788</v>
      </c>
      <c r="S1621" s="49" t="s">
        <v>2789</v>
      </c>
      <c r="T1621" s="49" t="str">
        <f t="shared" si="71"/>
        <v>PISLAM</v>
      </c>
      <c r="U1621" s="49" t="str">
        <f t="shared" si="72"/>
        <v>XIPISLAM</v>
      </c>
      <c r="V1621" s="140" t="s">
        <v>2906</v>
      </c>
      <c r="W1621" s="49">
        <f t="shared" si="73"/>
        <v>2005</v>
      </c>
      <c r="X1621" s="49">
        <f t="shared" si="74"/>
        <v>16</v>
      </c>
      <c r="Y1621" s="49" t="str">
        <f t="shared" si="75"/>
        <v>P16</v>
      </c>
      <c r="Z1621" s="49" t="str">
        <f t="shared" si="76"/>
        <v>XIP16</v>
      </c>
    </row>
    <row r="1622" spans="6:26" x14ac:dyDescent="0.25">
      <c r="F1622" s="58" t="str">
        <f t="shared" si="68"/>
        <v>XIII AK 328</v>
      </c>
      <c r="G1622" s="5">
        <v>28</v>
      </c>
      <c r="H1622" s="60">
        <v>102017652</v>
      </c>
      <c r="I1622" s="81" t="s">
        <v>2246</v>
      </c>
      <c r="J1622" s="61" t="str">
        <f t="shared" si="69"/>
        <v>102017652/0053408024</v>
      </c>
      <c r="K1622" s="69" t="s">
        <v>2247</v>
      </c>
      <c r="L1622" s="86" t="s">
        <v>381</v>
      </c>
      <c r="M1622" s="72" t="s">
        <v>455</v>
      </c>
      <c r="N1622" s="5" t="s">
        <v>2787</v>
      </c>
      <c r="O1622" s="5" t="s">
        <v>2786</v>
      </c>
      <c r="P1622" s="5" t="str">
        <f t="shared" si="70"/>
        <v>PAK</v>
      </c>
      <c r="R1622" s="49" t="s">
        <v>2907</v>
      </c>
      <c r="S1622" s="49" t="s">
        <v>2789</v>
      </c>
      <c r="T1622" s="49" t="str">
        <f t="shared" si="71"/>
        <v>PKRISTEN</v>
      </c>
      <c r="U1622" s="49" t="str">
        <f t="shared" si="72"/>
        <v>XIPKRISTEN</v>
      </c>
      <c r="V1622" s="90" t="s">
        <v>2908</v>
      </c>
      <c r="W1622" s="49">
        <f t="shared" si="73"/>
        <v>2005</v>
      </c>
      <c r="X1622" s="49">
        <f t="shared" si="74"/>
        <v>16</v>
      </c>
      <c r="Y1622" s="49" t="str">
        <f t="shared" si="75"/>
        <v>P16</v>
      </c>
      <c r="Z1622" s="49" t="str">
        <f t="shared" si="76"/>
        <v>XIP16</v>
      </c>
    </row>
    <row r="1623" spans="6:26" x14ac:dyDescent="0.25">
      <c r="F1623" s="58" t="str">
        <f t="shared" si="68"/>
        <v>XIII AK 329</v>
      </c>
      <c r="G1623" s="5">
        <v>29</v>
      </c>
      <c r="H1623" s="60">
        <v>102017653</v>
      </c>
      <c r="I1623" s="81" t="s">
        <v>2250</v>
      </c>
      <c r="J1623" s="61" t="str">
        <f t="shared" si="69"/>
        <v>102017653/0051613812</v>
      </c>
      <c r="K1623" s="69" t="s">
        <v>2909</v>
      </c>
      <c r="L1623" s="86" t="s">
        <v>381</v>
      </c>
      <c r="M1623" s="72" t="s">
        <v>455</v>
      </c>
      <c r="N1623" s="5" t="s">
        <v>2787</v>
      </c>
      <c r="O1623" s="5" t="s">
        <v>2786</v>
      </c>
      <c r="P1623" s="5" t="str">
        <f t="shared" si="70"/>
        <v>PAK</v>
      </c>
      <c r="R1623" s="49" t="s">
        <v>2788</v>
      </c>
      <c r="S1623" s="49" t="s">
        <v>2789</v>
      </c>
      <c r="T1623" s="49" t="str">
        <f t="shared" si="71"/>
        <v>PISLAM</v>
      </c>
      <c r="U1623" s="49" t="str">
        <f t="shared" si="72"/>
        <v>XIPISLAM</v>
      </c>
      <c r="V1623" s="90" t="s">
        <v>2910</v>
      </c>
      <c r="W1623" s="49">
        <f t="shared" si="73"/>
        <v>2005</v>
      </c>
      <c r="X1623" s="49">
        <f t="shared" si="74"/>
        <v>16</v>
      </c>
      <c r="Y1623" s="49" t="str">
        <f t="shared" si="75"/>
        <v>P16</v>
      </c>
      <c r="Z1623" s="49" t="str">
        <f t="shared" si="76"/>
        <v>XIP16</v>
      </c>
    </row>
    <row r="1624" spans="6:26" x14ac:dyDescent="0.25">
      <c r="F1624" s="58" t="str">
        <f t="shared" si="68"/>
        <v>XIII AK 330</v>
      </c>
      <c r="G1624" s="5">
        <v>30</v>
      </c>
      <c r="H1624" s="60">
        <v>102017654</v>
      </c>
      <c r="I1624" s="81" t="s">
        <v>2254</v>
      </c>
      <c r="J1624" s="61" t="str">
        <f t="shared" si="69"/>
        <v>102017654/0043469613</v>
      </c>
      <c r="K1624" s="69" t="s">
        <v>2255</v>
      </c>
      <c r="L1624" s="86" t="s">
        <v>381</v>
      </c>
      <c r="M1624" s="72" t="s">
        <v>455</v>
      </c>
      <c r="N1624" s="5" t="s">
        <v>2787</v>
      </c>
      <c r="O1624" s="5" t="s">
        <v>2786</v>
      </c>
      <c r="P1624" s="5" t="str">
        <f t="shared" si="70"/>
        <v>PAK</v>
      </c>
      <c r="R1624" s="49" t="s">
        <v>2788</v>
      </c>
      <c r="S1624" s="49" t="s">
        <v>2789</v>
      </c>
      <c r="T1624" s="49" t="str">
        <f t="shared" si="71"/>
        <v>PISLAM</v>
      </c>
      <c r="U1624" s="49" t="str">
        <f t="shared" si="72"/>
        <v>XIPISLAM</v>
      </c>
      <c r="V1624" s="90" t="s">
        <v>2911</v>
      </c>
      <c r="W1624" s="49">
        <f t="shared" si="73"/>
        <v>2004</v>
      </c>
      <c r="X1624" s="49">
        <f t="shared" si="74"/>
        <v>17</v>
      </c>
      <c r="Y1624" s="49" t="str">
        <f t="shared" si="75"/>
        <v>P17</v>
      </c>
      <c r="Z1624" s="49" t="str">
        <f t="shared" si="76"/>
        <v>XIP17</v>
      </c>
    </row>
    <row r="1625" spans="6:26" x14ac:dyDescent="0.25">
      <c r="F1625" s="58" t="str">
        <f t="shared" si="68"/>
        <v>XIII AK 331</v>
      </c>
      <c r="G1625" s="5">
        <v>31</v>
      </c>
      <c r="H1625" s="60">
        <v>102017655</v>
      </c>
      <c r="I1625" s="81" t="s">
        <v>2262</v>
      </c>
      <c r="J1625" s="61" t="str">
        <f t="shared" si="69"/>
        <v>102017655/0055494635</v>
      </c>
      <c r="K1625" s="69" t="s">
        <v>2263</v>
      </c>
      <c r="L1625" s="86" t="s">
        <v>381</v>
      </c>
      <c r="M1625" s="72" t="s">
        <v>455</v>
      </c>
      <c r="N1625" s="5" t="s">
        <v>2787</v>
      </c>
      <c r="O1625" s="5" t="s">
        <v>2786</v>
      </c>
      <c r="P1625" s="5" t="str">
        <f t="shared" si="70"/>
        <v>PAK</v>
      </c>
      <c r="R1625" s="49" t="s">
        <v>2788</v>
      </c>
      <c r="S1625" s="49" t="s">
        <v>2789</v>
      </c>
      <c r="T1625" s="49" t="str">
        <f t="shared" si="71"/>
        <v>PISLAM</v>
      </c>
      <c r="U1625" s="49" t="str">
        <f t="shared" si="72"/>
        <v>XIPISLAM</v>
      </c>
      <c r="V1625" s="90" t="s">
        <v>2912</v>
      </c>
      <c r="W1625" s="49">
        <f t="shared" si="73"/>
        <v>2005</v>
      </c>
      <c r="X1625" s="49">
        <f t="shared" si="74"/>
        <v>16</v>
      </c>
      <c r="Y1625" s="49" t="str">
        <f t="shared" si="75"/>
        <v>P16</v>
      </c>
      <c r="Z1625" s="49" t="str">
        <f t="shared" si="76"/>
        <v>XIP16</v>
      </c>
    </row>
    <row r="1626" spans="6:26" x14ac:dyDescent="0.25">
      <c r="F1626" s="58" t="str">
        <f t="shared" si="68"/>
        <v>XIII AK 332</v>
      </c>
      <c r="G1626" s="5">
        <v>32</v>
      </c>
      <c r="H1626" s="60">
        <v>102017656</v>
      </c>
      <c r="I1626" s="81" t="s">
        <v>2308</v>
      </c>
      <c r="J1626" s="61" t="str">
        <f t="shared" si="69"/>
        <v>102017656/0053699172</v>
      </c>
      <c r="K1626" s="69" t="s">
        <v>2309</v>
      </c>
      <c r="L1626" s="86" t="s">
        <v>381</v>
      </c>
      <c r="M1626" s="72" t="s">
        <v>455</v>
      </c>
      <c r="N1626" s="5" t="s">
        <v>2787</v>
      </c>
      <c r="O1626" s="5" t="s">
        <v>2786</v>
      </c>
      <c r="P1626" s="5" t="str">
        <f t="shared" si="70"/>
        <v>PAK</v>
      </c>
      <c r="R1626" s="49" t="s">
        <v>2788</v>
      </c>
      <c r="S1626" s="49" t="s">
        <v>2789</v>
      </c>
      <c r="T1626" s="49" t="str">
        <f t="shared" si="71"/>
        <v>PISLAM</v>
      </c>
      <c r="U1626" s="49" t="str">
        <f t="shared" si="72"/>
        <v>XIPISLAM</v>
      </c>
      <c r="V1626" s="90" t="s">
        <v>2913</v>
      </c>
      <c r="W1626" s="49">
        <f t="shared" si="73"/>
        <v>2005</v>
      </c>
      <c r="X1626" s="49">
        <f t="shared" si="74"/>
        <v>16</v>
      </c>
      <c r="Y1626" s="49" t="str">
        <f t="shared" si="75"/>
        <v>P16</v>
      </c>
      <c r="Z1626" s="49" t="str">
        <f t="shared" si="76"/>
        <v>XIP16</v>
      </c>
    </row>
    <row r="1627" spans="6:26" x14ac:dyDescent="0.25">
      <c r="F1627" s="58" t="str">
        <f t="shared" si="68"/>
        <v>XIII AK 333</v>
      </c>
      <c r="G1627" s="5">
        <v>33</v>
      </c>
      <c r="H1627" s="60">
        <v>102017657</v>
      </c>
      <c r="I1627" s="81" t="s">
        <v>2354</v>
      </c>
      <c r="J1627" s="61" t="str">
        <f t="shared" si="69"/>
        <v>102017657/0051251158</v>
      </c>
      <c r="K1627" s="69" t="s">
        <v>2355</v>
      </c>
      <c r="L1627" s="86" t="s">
        <v>381</v>
      </c>
      <c r="M1627" s="72" t="s">
        <v>455</v>
      </c>
      <c r="N1627" s="5" t="s">
        <v>2787</v>
      </c>
      <c r="O1627" s="5" t="s">
        <v>2786</v>
      </c>
      <c r="P1627" s="5" t="str">
        <f t="shared" si="70"/>
        <v>PAK</v>
      </c>
      <c r="R1627" s="49" t="s">
        <v>2788</v>
      </c>
      <c r="S1627" s="49" t="s">
        <v>2789</v>
      </c>
      <c r="T1627" s="49" t="str">
        <f t="shared" si="71"/>
        <v>PISLAM</v>
      </c>
      <c r="U1627" s="49" t="str">
        <f t="shared" si="72"/>
        <v>XIPISLAM</v>
      </c>
      <c r="V1627" s="90" t="s">
        <v>2914</v>
      </c>
      <c r="W1627" s="49">
        <f t="shared" si="73"/>
        <v>2005</v>
      </c>
      <c r="X1627" s="49">
        <f t="shared" si="74"/>
        <v>16</v>
      </c>
      <c r="Y1627" s="49" t="str">
        <f t="shared" si="75"/>
        <v>P16</v>
      </c>
      <c r="Z1627" s="49" t="str">
        <f t="shared" si="76"/>
        <v>XIP16</v>
      </c>
    </row>
    <row r="1628" spans="6:26" x14ac:dyDescent="0.25">
      <c r="F1628" s="58" t="str">
        <f t="shared" si="68"/>
        <v>XIII AK 41</v>
      </c>
      <c r="G1628" s="5">
        <v>1</v>
      </c>
      <c r="H1628" s="60">
        <v>102017658</v>
      </c>
      <c r="I1628" s="81" t="s">
        <v>1645</v>
      </c>
      <c r="J1628" s="61" t="str">
        <f t="shared" si="69"/>
        <v>102017658/0052592312</v>
      </c>
      <c r="K1628" s="69" t="s">
        <v>1646</v>
      </c>
      <c r="L1628" s="86" t="s">
        <v>381</v>
      </c>
      <c r="M1628" s="72" t="s">
        <v>443</v>
      </c>
      <c r="N1628" s="5" t="s">
        <v>2787</v>
      </c>
      <c r="O1628" s="5" t="s">
        <v>2786</v>
      </c>
      <c r="P1628" s="5" t="str">
        <f t="shared" si="70"/>
        <v>PAK</v>
      </c>
      <c r="R1628" s="49" t="s">
        <v>2788</v>
      </c>
      <c r="S1628" s="49" t="s">
        <v>2789</v>
      </c>
      <c r="T1628" s="49" t="str">
        <f t="shared" si="71"/>
        <v>PISLAM</v>
      </c>
      <c r="U1628" s="49" t="str">
        <f t="shared" si="72"/>
        <v>XIPISLAM</v>
      </c>
      <c r="V1628" s="90" t="s">
        <v>2915</v>
      </c>
      <c r="W1628" s="49">
        <f t="shared" si="73"/>
        <v>2005</v>
      </c>
      <c r="X1628" s="49">
        <f t="shared" si="74"/>
        <v>16</v>
      </c>
      <c r="Y1628" s="49" t="str">
        <f t="shared" si="75"/>
        <v>P16</v>
      </c>
      <c r="Z1628" s="49" t="str">
        <f t="shared" si="76"/>
        <v>XIP16</v>
      </c>
    </row>
    <row r="1629" spans="6:26" x14ac:dyDescent="0.25">
      <c r="F1629" s="58" t="str">
        <f t="shared" si="68"/>
        <v>XIII AK 42</v>
      </c>
      <c r="G1629" s="5">
        <v>2</v>
      </c>
      <c r="H1629" s="60">
        <v>102017659</v>
      </c>
      <c r="I1629" s="81" t="s">
        <v>1655</v>
      </c>
      <c r="J1629" s="61" t="str">
        <f t="shared" si="69"/>
        <v>102017659/0059640170</v>
      </c>
      <c r="K1629" s="69" t="s">
        <v>1656</v>
      </c>
      <c r="L1629" s="86" t="s">
        <v>381</v>
      </c>
      <c r="M1629" s="72" t="s">
        <v>443</v>
      </c>
      <c r="N1629" s="5" t="s">
        <v>2787</v>
      </c>
      <c r="O1629" s="5" t="s">
        <v>2786</v>
      </c>
      <c r="P1629" s="5" t="str">
        <f t="shared" si="70"/>
        <v>PAK</v>
      </c>
      <c r="R1629" s="49" t="s">
        <v>2788</v>
      </c>
      <c r="S1629" s="49" t="s">
        <v>2789</v>
      </c>
      <c r="T1629" s="49" t="str">
        <f t="shared" si="71"/>
        <v>PISLAM</v>
      </c>
      <c r="U1629" s="49" t="str">
        <f t="shared" si="72"/>
        <v>XIPISLAM</v>
      </c>
      <c r="V1629" s="90" t="s">
        <v>2916</v>
      </c>
      <c r="W1629" s="49">
        <f t="shared" si="73"/>
        <v>2004</v>
      </c>
      <c r="X1629" s="49">
        <f t="shared" si="74"/>
        <v>17</v>
      </c>
      <c r="Y1629" s="49" t="str">
        <f t="shared" si="75"/>
        <v>P17</v>
      </c>
      <c r="Z1629" s="49" t="str">
        <f t="shared" si="76"/>
        <v>XIP17</v>
      </c>
    </row>
    <row r="1630" spans="6:26" x14ac:dyDescent="0.25">
      <c r="F1630" s="58" t="str">
        <f t="shared" si="68"/>
        <v>XIII AK 43</v>
      </c>
      <c r="G1630" s="5">
        <v>3</v>
      </c>
      <c r="H1630" s="60">
        <v>102017660</v>
      </c>
      <c r="I1630" s="81" t="s">
        <v>1679</v>
      </c>
      <c r="J1630" s="61" t="str">
        <f t="shared" si="69"/>
        <v>102017660/0042963064</v>
      </c>
      <c r="K1630" s="69" t="s">
        <v>1680</v>
      </c>
      <c r="L1630" s="86" t="s">
        <v>381</v>
      </c>
      <c r="M1630" s="72" t="s">
        <v>443</v>
      </c>
      <c r="N1630" s="5" t="s">
        <v>2787</v>
      </c>
      <c r="O1630" s="5" t="s">
        <v>2786</v>
      </c>
      <c r="P1630" s="5" t="str">
        <f t="shared" si="70"/>
        <v>PAK</v>
      </c>
      <c r="R1630" s="49" t="s">
        <v>2788</v>
      </c>
      <c r="S1630" s="49" t="s">
        <v>2789</v>
      </c>
      <c r="T1630" s="49" t="str">
        <f t="shared" si="71"/>
        <v>PISLAM</v>
      </c>
      <c r="U1630" s="49" t="str">
        <f t="shared" si="72"/>
        <v>XIPISLAM</v>
      </c>
      <c r="V1630" s="90" t="s">
        <v>2917</v>
      </c>
      <c r="W1630" s="49">
        <f t="shared" si="73"/>
        <v>2004</v>
      </c>
      <c r="X1630" s="49">
        <f t="shared" si="74"/>
        <v>17</v>
      </c>
      <c r="Y1630" s="49" t="str">
        <f t="shared" si="75"/>
        <v>P17</v>
      </c>
      <c r="Z1630" s="49" t="str">
        <f t="shared" si="76"/>
        <v>XIP17</v>
      </c>
    </row>
    <row r="1631" spans="6:26" x14ac:dyDescent="0.25">
      <c r="F1631" s="58" t="str">
        <f t="shared" si="68"/>
        <v>XIII AK 44</v>
      </c>
      <c r="G1631" s="5">
        <v>4</v>
      </c>
      <c r="H1631" s="60">
        <v>102017661</v>
      </c>
      <c r="I1631" s="81" t="s">
        <v>1708</v>
      </c>
      <c r="J1631" s="61" t="str">
        <f t="shared" si="69"/>
        <v>102017661/0073806326</v>
      </c>
      <c r="K1631" s="69" t="s">
        <v>1709</v>
      </c>
      <c r="L1631" s="86" t="s">
        <v>379</v>
      </c>
      <c r="M1631" s="72" t="s">
        <v>443</v>
      </c>
      <c r="N1631" s="5" t="s">
        <v>2787</v>
      </c>
      <c r="O1631" s="5" t="s">
        <v>2786</v>
      </c>
      <c r="P1631" s="5" t="str">
        <f t="shared" si="70"/>
        <v>LAK</v>
      </c>
      <c r="R1631" s="49" t="s">
        <v>2788</v>
      </c>
      <c r="S1631" s="49" t="s">
        <v>2789</v>
      </c>
      <c r="T1631" s="49" t="str">
        <f t="shared" si="71"/>
        <v>LISLAM</v>
      </c>
      <c r="U1631" s="49" t="str">
        <f t="shared" si="72"/>
        <v>XILISLAM</v>
      </c>
      <c r="V1631" s="90" t="s">
        <v>2918</v>
      </c>
      <c r="W1631" s="49">
        <f t="shared" si="73"/>
        <v>2007</v>
      </c>
      <c r="X1631" s="49">
        <f t="shared" si="74"/>
        <v>14</v>
      </c>
      <c r="Y1631" s="49" t="str">
        <f t="shared" si="75"/>
        <v>L14</v>
      </c>
      <c r="Z1631" s="49" t="str">
        <f t="shared" si="76"/>
        <v>XIL14</v>
      </c>
    </row>
    <row r="1632" spans="6:26" x14ac:dyDescent="0.25">
      <c r="F1632" s="58" t="str">
        <f t="shared" si="68"/>
        <v>XIII AK 45</v>
      </c>
      <c r="G1632" s="5">
        <v>5</v>
      </c>
      <c r="H1632" s="60">
        <v>102017662</v>
      </c>
      <c r="I1632" s="81" t="s">
        <v>1712</v>
      </c>
      <c r="J1632" s="61" t="str">
        <f t="shared" si="69"/>
        <v>102017662/0052037446</v>
      </c>
      <c r="K1632" s="69" t="s">
        <v>1713</v>
      </c>
      <c r="L1632" s="86" t="s">
        <v>381</v>
      </c>
      <c r="M1632" s="72" t="s">
        <v>443</v>
      </c>
      <c r="N1632" s="5" t="s">
        <v>2787</v>
      </c>
      <c r="O1632" s="5" t="s">
        <v>2786</v>
      </c>
      <c r="P1632" s="5" t="str">
        <f t="shared" si="70"/>
        <v>PAK</v>
      </c>
      <c r="R1632" s="49" t="s">
        <v>2788</v>
      </c>
      <c r="S1632" s="49" t="s">
        <v>2789</v>
      </c>
      <c r="T1632" s="49" t="str">
        <f t="shared" si="71"/>
        <v>PISLAM</v>
      </c>
      <c r="U1632" s="49" t="str">
        <f t="shared" si="72"/>
        <v>XIPISLAM</v>
      </c>
      <c r="V1632" s="90" t="s">
        <v>2881</v>
      </c>
      <c r="W1632" s="49">
        <f t="shared" si="73"/>
        <v>2005</v>
      </c>
      <c r="X1632" s="49">
        <f t="shared" si="74"/>
        <v>16</v>
      </c>
      <c r="Y1632" s="49" t="str">
        <f t="shared" si="75"/>
        <v>P16</v>
      </c>
      <c r="Z1632" s="49" t="str">
        <f t="shared" si="76"/>
        <v>XIP16</v>
      </c>
    </row>
    <row r="1633" spans="6:26" x14ac:dyDescent="0.25">
      <c r="F1633" s="58" t="str">
        <f t="shared" si="68"/>
        <v>XIII AK 46</v>
      </c>
      <c r="G1633" s="5">
        <v>6</v>
      </c>
      <c r="H1633" s="60">
        <v>102017663</v>
      </c>
      <c r="I1633" s="81" t="s">
        <v>1772</v>
      </c>
      <c r="J1633" s="61" t="str">
        <f t="shared" si="69"/>
        <v>102017663/0053652071</v>
      </c>
      <c r="K1633" s="69" t="s">
        <v>1773</v>
      </c>
      <c r="L1633" s="86" t="s">
        <v>381</v>
      </c>
      <c r="M1633" s="72" t="s">
        <v>443</v>
      </c>
      <c r="N1633" s="5" t="s">
        <v>2787</v>
      </c>
      <c r="O1633" s="5" t="s">
        <v>2786</v>
      </c>
      <c r="P1633" s="5" t="str">
        <f t="shared" si="70"/>
        <v>PAK</v>
      </c>
      <c r="R1633" s="49" t="s">
        <v>2788</v>
      </c>
      <c r="S1633" s="49" t="s">
        <v>2789</v>
      </c>
      <c r="T1633" s="49" t="str">
        <f t="shared" si="71"/>
        <v>PISLAM</v>
      </c>
      <c r="U1633" s="49" t="str">
        <f t="shared" si="72"/>
        <v>XIPISLAM</v>
      </c>
      <c r="V1633" s="90" t="s">
        <v>2919</v>
      </c>
      <c r="W1633" s="49">
        <f t="shared" si="73"/>
        <v>2005</v>
      </c>
      <c r="X1633" s="49">
        <f t="shared" si="74"/>
        <v>16</v>
      </c>
      <c r="Y1633" s="49" t="str">
        <f t="shared" si="75"/>
        <v>P16</v>
      </c>
      <c r="Z1633" s="49" t="str">
        <f t="shared" si="76"/>
        <v>XIP16</v>
      </c>
    </row>
    <row r="1634" spans="6:26" x14ac:dyDescent="0.25">
      <c r="F1634" s="58" t="str">
        <f t="shared" si="68"/>
        <v>XIII AK 47</v>
      </c>
      <c r="G1634" s="5">
        <v>7</v>
      </c>
      <c r="H1634" s="93">
        <v>101917274</v>
      </c>
      <c r="I1634" s="131" t="s">
        <v>1804</v>
      </c>
      <c r="J1634" s="61" t="str">
        <f t="shared" si="69"/>
        <v>101917274/0036450028</v>
      </c>
      <c r="K1634" s="69" t="s">
        <v>1805</v>
      </c>
      <c r="L1634" s="57" t="s">
        <v>379</v>
      </c>
      <c r="M1634" s="72" t="s">
        <v>443</v>
      </c>
      <c r="N1634" s="5" t="s">
        <v>2787</v>
      </c>
      <c r="O1634" s="5" t="s">
        <v>2786</v>
      </c>
      <c r="P1634" s="5" t="str">
        <f t="shared" si="70"/>
        <v>LAK</v>
      </c>
      <c r="R1634" s="49" t="s">
        <v>2905</v>
      </c>
      <c r="S1634" s="49" t="s">
        <v>2789</v>
      </c>
      <c r="T1634" s="49" t="str">
        <f t="shared" si="71"/>
        <v>LIslam</v>
      </c>
      <c r="U1634" s="49" t="str">
        <f t="shared" si="72"/>
        <v>XILIslam</v>
      </c>
      <c r="V1634" s="95">
        <v>37983</v>
      </c>
      <c r="W1634" s="49">
        <f t="shared" si="73"/>
        <v>2003</v>
      </c>
      <c r="X1634" s="49">
        <f t="shared" si="74"/>
        <v>18</v>
      </c>
      <c r="Y1634" s="49" t="str">
        <f t="shared" si="75"/>
        <v>L18</v>
      </c>
      <c r="Z1634" s="49" t="str">
        <f t="shared" si="76"/>
        <v>XIL18</v>
      </c>
    </row>
    <row r="1635" spans="6:26" x14ac:dyDescent="0.25">
      <c r="F1635" s="58" t="str">
        <f t="shared" si="68"/>
        <v>XIII AK 48</v>
      </c>
      <c r="G1635" s="5">
        <v>8</v>
      </c>
      <c r="H1635" s="60">
        <v>102017666</v>
      </c>
      <c r="I1635" s="81" t="s">
        <v>1826</v>
      </c>
      <c r="J1635" s="61" t="str">
        <f t="shared" si="69"/>
        <v>102017666/0058049555</v>
      </c>
      <c r="K1635" s="69" t="s">
        <v>1827</v>
      </c>
      <c r="L1635" s="86" t="s">
        <v>381</v>
      </c>
      <c r="M1635" s="72" t="s">
        <v>443</v>
      </c>
      <c r="N1635" s="5" t="s">
        <v>2787</v>
      </c>
      <c r="O1635" s="5" t="s">
        <v>2786</v>
      </c>
      <c r="P1635" s="5" t="str">
        <f t="shared" si="70"/>
        <v>PAK</v>
      </c>
      <c r="R1635" s="49" t="s">
        <v>2788</v>
      </c>
      <c r="S1635" s="49" t="s">
        <v>2789</v>
      </c>
      <c r="T1635" s="49" t="str">
        <f t="shared" si="71"/>
        <v>PISLAM</v>
      </c>
      <c r="U1635" s="49" t="str">
        <f t="shared" si="72"/>
        <v>XIPISLAM</v>
      </c>
      <c r="V1635" s="90" t="s">
        <v>2920</v>
      </c>
      <c r="W1635" s="49">
        <f t="shared" si="73"/>
        <v>2005</v>
      </c>
      <c r="X1635" s="49">
        <f t="shared" si="74"/>
        <v>16</v>
      </c>
      <c r="Y1635" s="49" t="str">
        <f t="shared" si="75"/>
        <v>P16</v>
      </c>
      <c r="Z1635" s="49" t="str">
        <f t="shared" si="76"/>
        <v>XIP16</v>
      </c>
    </row>
    <row r="1636" spans="6:26" x14ac:dyDescent="0.25">
      <c r="F1636" s="58" t="str">
        <f t="shared" si="68"/>
        <v>XIII AK 49</v>
      </c>
      <c r="G1636" s="5">
        <v>9</v>
      </c>
      <c r="H1636" s="60">
        <v>102017667</v>
      </c>
      <c r="I1636" s="81" t="s">
        <v>1828</v>
      </c>
      <c r="J1636" s="61" t="str">
        <f t="shared" si="69"/>
        <v>102017667/0048542485</v>
      </c>
      <c r="K1636" s="69" t="s">
        <v>1829</v>
      </c>
      <c r="L1636" s="86" t="s">
        <v>381</v>
      </c>
      <c r="M1636" s="72" t="s">
        <v>443</v>
      </c>
      <c r="N1636" s="5" t="s">
        <v>2787</v>
      </c>
      <c r="O1636" s="5" t="s">
        <v>2786</v>
      </c>
      <c r="P1636" s="5" t="str">
        <f t="shared" si="70"/>
        <v>PAK</v>
      </c>
      <c r="R1636" s="49" t="s">
        <v>2788</v>
      </c>
      <c r="S1636" s="49" t="s">
        <v>2789</v>
      </c>
      <c r="T1636" s="49" t="str">
        <f t="shared" si="71"/>
        <v>PISLAM</v>
      </c>
      <c r="U1636" s="49" t="str">
        <f t="shared" si="72"/>
        <v>XIPISLAM</v>
      </c>
      <c r="V1636" s="90" t="s">
        <v>2921</v>
      </c>
      <c r="W1636" s="49">
        <f t="shared" si="73"/>
        <v>2004</v>
      </c>
      <c r="X1636" s="49">
        <f t="shared" si="74"/>
        <v>17</v>
      </c>
      <c r="Y1636" s="49" t="str">
        <f t="shared" si="75"/>
        <v>P17</v>
      </c>
      <c r="Z1636" s="49" t="str">
        <f t="shared" si="76"/>
        <v>XIP17</v>
      </c>
    </row>
    <row r="1637" spans="6:26" x14ac:dyDescent="0.25">
      <c r="F1637" s="58" t="str">
        <f t="shared" si="68"/>
        <v>XIII AK 410</v>
      </c>
      <c r="G1637" s="5">
        <v>10</v>
      </c>
      <c r="H1637" s="60">
        <v>102017668</v>
      </c>
      <c r="I1637" s="81" t="s">
        <v>1838</v>
      </c>
      <c r="J1637" s="61" t="str">
        <f t="shared" si="69"/>
        <v>102017668/0042100995</v>
      </c>
      <c r="K1637" s="69" t="s">
        <v>1839</v>
      </c>
      <c r="L1637" s="86" t="s">
        <v>381</v>
      </c>
      <c r="M1637" s="72" t="s">
        <v>443</v>
      </c>
      <c r="N1637" s="5" t="s">
        <v>2787</v>
      </c>
      <c r="O1637" s="5" t="s">
        <v>2786</v>
      </c>
      <c r="P1637" s="5" t="str">
        <f t="shared" si="70"/>
        <v>PAK</v>
      </c>
      <c r="R1637" s="49" t="s">
        <v>2788</v>
      </c>
      <c r="S1637" s="49" t="s">
        <v>2789</v>
      </c>
      <c r="T1637" s="49" t="str">
        <f t="shared" si="71"/>
        <v>PISLAM</v>
      </c>
      <c r="U1637" s="49" t="str">
        <f t="shared" si="72"/>
        <v>XIPISLAM</v>
      </c>
      <c r="V1637" s="90" t="s">
        <v>2922</v>
      </c>
      <c r="W1637" s="49">
        <f t="shared" si="73"/>
        <v>2005</v>
      </c>
      <c r="X1637" s="49">
        <f t="shared" si="74"/>
        <v>16</v>
      </c>
      <c r="Y1637" s="49" t="str">
        <f t="shared" si="75"/>
        <v>P16</v>
      </c>
      <c r="Z1637" s="49" t="str">
        <f t="shared" si="76"/>
        <v>XIP16</v>
      </c>
    </row>
    <row r="1638" spans="6:26" x14ac:dyDescent="0.25">
      <c r="F1638" s="58" t="str">
        <f t="shared" si="68"/>
        <v>XIII AK 411</v>
      </c>
      <c r="G1638" s="5">
        <v>11</v>
      </c>
      <c r="H1638" s="60">
        <v>102017669</v>
      </c>
      <c r="I1638" s="81" t="s">
        <v>1850</v>
      </c>
      <c r="J1638" s="61" t="str">
        <f t="shared" si="69"/>
        <v>102017669/0048129890</v>
      </c>
      <c r="K1638" s="69" t="s">
        <v>1851</v>
      </c>
      <c r="L1638" s="86" t="s">
        <v>381</v>
      </c>
      <c r="M1638" s="72" t="s">
        <v>443</v>
      </c>
      <c r="N1638" s="5" t="s">
        <v>2787</v>
      </c>
      <c r="O1638" s="5" t="s">
        <v>2786</v>
      </c>
      <c r="P1638" s="5" t="str">
        <f t="shared" si="70"/>
        <v>PAK</v>
      </c>
      <c r="R1638" s="49" t="s">
        <v>2788</v>
      </c>
      <c r="S1638" s="49" t="s">
        <v>2789</v>
      </c>
      <c r="T1638" s="49" t="str">
        <f t="shared" si="71"/>
        <v>PISLAM</v>
      </c>
      <c r="U1638" s="49" t="str">
        <f t="shared" si="72"/>
        <v>XIPISLAM</v>
      </c>
      <c r="V1638" s="90" t="s">
        <v>2923</v>
      </c>
      <c r="W1638" s="49">
        <f t="shared" si="73"/>
        <v>2004</v>
      </c>
      <c r="X1638" s="49">
        <f t="shared" si="74"/>
        <v>17</v>
      </c>
      <c r="Y1638" s="49" t="str">
        <f t="shared" si="75"/>
        <v>P17</v>
      </c>
      <c r="Z1638" s="49" t="str">
        <f t="shared" si="76"/>
        <v>XIP17</v>
      </c>
    </row>
    <row r="1639" spans="6:26" x14ac:dyDescent="0.25">
      <c r="F1639" s="58" t="str">
        <f t="shared" si="68"/>
        <v>XIII AK 412</v>
      </c>
      <c r="G1639" s="5">
        <v>12</v>
      </c>
      <c r="H1639" s="60">
        <v>102017670</v>
      </c>
      <c r="I1639" s="81" t="s">
        <v>1895</v>
      </c>
      <c r="J1639" s="61" t="str">
        <f t="shared" si="69"/>
        <v>102017670/0052478861</v>
      </c>
      <c r="K1639" s="69" t="s">
        <v>1896</v>
      </c>
      <c r="L1639" s="86" t="s">
        <v>381</v>
      </c>
      <c r="M1639" s="72" t="s">
        <v>443</v>
      </c>
      <c r="N1639" s="5" t="s">
        <v>2787</v>
      </c>
      <c r="O1639" s="5" t="s">
        <v>2786</v>
      </c>
      <c r="P1639" s="5" t="str">
        <f t="shared" si="70"/>
        <v>PAK</v>
      </c>
      <c r="R1639" s="49" t="s">
        <v>2788</v>
      </c>
      <c r="S1639" s="49" t="s">
        <v>2789</v>
      </c>
      <c r="T1639" s="49" t="str">
        <f t="shared" si="71"/>
        <v>PISLAM</v>
      </c>
      <c r="U1639" s="49" t="str">
        <f t="shared" si="72"/>
        <v>XIPISLAM</v>
      </c>
      <c r="V1639" s="90" t="s">
        <v>2924</v>
      </c>
      <c r="W1639" s="49">
        <f t="shared" si="73"/>
        <v>2005</v>
      </c>
      <c r="X1639" s="49">
        <f t="shared" si="74"/>
        <v>16</v>
      </c>
      <c r="Y1639" s="49" t="str">
        <f t="shared" si="75"/>
        <v>P16</v>
      </c>
      <c r="Z1639" s="49" t="str">
        <f t="shared" si="76"/>
        <v>XIP16</v>
      </c>
    </row>
    <row r="1640" spans="6:26" x14ac:dyDescent="0.25">
      <c r="F1640" s="58" t="str">
        <f t="shared" si="68"/>
        <v>XIII AK 413</v>
      </c>
      <c r="G1640" s="5">
        <v>13</v>
      </c>
      <c r="H1640" s="60">
        <v>102017671</v>
      </c>
      <c r="I1640" s="81" t="s">
        <v>1899</v>
      </c>
      <c r="J1640" s="61" t="str">
        <f t="shared" si="69"/>
        <v>102017671/0057130543</v>
      </c>
      <c r="K1640" s="69" t="s">
        <v>1900</v>
      </c>
      <c r="L1640" s="86" t="s">
        <v>381</v>
      </c>
      <c r="M1640" s="72" t="s">
        <v>443</v>
      </c>
      <c r="N1640" s="5" t="s">
        <v>2787</v>
      </c>
      <c r="O1640" s="5" t="s">
        <v>2786</v>
      </c>
      <c r="P1640" s="5" t="str">
        <f t="shared" si="70"/>
        <v>PAK</v>
      </c>
      <c r="R1640" s="49" t="s">
        <v>2788</v>
      </c>
      <c r="S1640" s="49" t="s">
        <v>2789</v>
      </c>
      <c r="T1640" s="49" t="str">
        <f t="shared" si="71"/>
        <v>PISLAM</v>
      </c>
      <c r="U1640" s="49" t="str">
        <f t="shared" si="72"/>
        <v>XIPISLAM</v>
      </c>
      <c r="V1640" s="90" t="s">
        <v>2906</v>
      </c>
      <c r="W1640" s="49">
        <f t="shared" si="73"/>
        <v>2005</v>
      </c>
      <c r="X1640" s="49">
        <f t="shared" si="74"/>
        <v>16</v>
      </c>
      <c r="Y1640" s="49" t="str">
        <f t="shared" si="75"/>
        <v>P16</v>
      </c>
      <c r="Z1640" s="49" t="str">
        <f t="shared" si="76"/>
        <v>XIP16</v>
      </c>
    </row>
    <row r="1641" spans="6:26" x14ac:dyDescent="0.25">
      <c r="F1641" s="58" t="str">
        <f t="shared" si="68"/>
        <v>XIII AK 414</v>
      </c>
      <c r="G1641" s="5">
        <v>14</v>
      </c>
      <c r="H1641" s="60">
        <v>102017672</v>
      </c>
      <c r="I1641" s="81" t="s">
        <v>1929</v>
      </c>
      <c r="J1641" s="61" t="str">
        <f t="shared" si="69"/>
        <v>102017672/0058639420</v>
      </c>
      <c r="K1641" s="69" t="s">
        <v>1930</v>
      </c>
      <c r="L1641" s="86" t="s">
        <v>379</v>
      </c>
      <c r="M1641" s="72" t="s">
        <v>443</v>
      </c>
      <c r="N1641" s="5" t="s">
        <v>2787</v>
      </c>
      <c r="O1641" s="5" t="s">
        <v>2786</v>
      </c>
      <c r="P1641" s="5" t="str">
        <f t="shared" si="70"/>
        <v>LAK</v>
      </c>
      <c r="R1641" s="49" t="s">
        <v>2788</v>
      </c>
      <c r="S1641" s="49" t="s">
        <v>2789</v>
      </c>
      <c r="T1641" s="49" t="str">
        <f t="shared" si="71"/>
        <v>LISLAM</v>
      </c>
      <c r="U1641" s="49" t="str">
        <f t="shared" si="72"/>
        <v>XILISLAM</v>
      </c>
      <c r="V1641" s="90" t="s">
        <v>2925</v>
      </c>
      <c r="W1641" s="49">
        <f t="shared" si="73"/>
        <v>2005</v>
      </c>
      <c r="X1641" s="49">
        <f t="shared" si="74"/>
        <v>16</v>
      </c>
      <c r="Y1641" s="49" t="str">
        <f t="shared" si="75"/>
        <v>L16</v>
      </c>
      <c r="Z1641" s="49" t="str">
        <f t="shared" si="76"/>
        <v>XIL16</v>
      </c>
    </row>
    <row r="1642" spans="6:26" ht="30" x14ac:dyDescent="0.25">
      <c r="F1642" s="58" t="str">
        <f t="shared" si="68"/>
        <v>XIII AK 415</v>
      </c>
      <c r="G1642" s="5">
        <v>15</v>
      </c>
      <c r="H1642" s="60">
        <v>102017673</v>
      </c>
      <c r="I1642" s="84" t="s">
        <v>1978</v>
      </c>
      <c r="J1642" s="61" t="str">
        <f t="shared" si="69"/>
        <v>102017673/0044670864</v>
      </c>
      <c r="K1642" s="69" t="s">
        <v>1979</v>
      </c>
      <c r="L1642" s="86" t="s">
        <v>379</v>
      </c>
      <c r="M1642" s="72" t="s">
        <v>443</v>
      </c>
      <c r="N1642" s="5" t="s">
        <v>2787</v>
      </c>
      <c r="O1642" s="5" t="s">
        <v>2786</v>
      </c>
      <c r="P1642" s="5" t="str">
        <f t="shared" si="70"/>
        <v>LAK</v>
      </c>
      <c r="R1642" s="49" t="s">
        <v>2788</v>
      </c>
      <c r="S1642" s="49" t="s">
        <v>2789</v>
      </c>
      <c r="T1642" s="49" t="str">
        <f t="shared" si="71"/>
        <v>LISLAM</v>
      </c>
      <c r="U1642" s="49" t="str">
        <f t="shared" si="72"/>
        <v>XILISLAM</v>
      </c>
      <c r="V1642" s="90" t="s">
        <v>2926</v>
      </c>
      <c r="W1642" s="49">
        <f t="shared" si="73"/>
        <v>2004</v>
      </c>
      <c r="X1642" s="49">
        <f t="shared" si="74"/>
        <v>17</v>
      </c>
      <c r="Y1642" s="49" t="str">
        <f t="shared" si="75"/>
        <v>L17</v>
      </c>
      <c r="Z1642" s="49" t="str">
        <f t="shared" si="76"/>
        <v>XIL17</v>
      </c>
    </row>
    <row r="1643" spans="6:26" x14ac:dyDescent="0.25">
      <c r="F1643" s="58" t="str">
        <f t="shared" si="68"/>
        <v>XIII AK 416</v>
      </c>
      <c r="G1643" s="5">
        <v>16</v>
      </c>
      <c r="H1643" s="60">
        <v>102017674</v>
      </c>
      <c r="I1643" s="81" t="s">
        <v>2008</v>
      </c>
      <c r="J1643" s="61" t="str">
        <f t="shared" si="69"/>
        <v>102017674/0048429547</v>
      </c>
      <c r="K1643" s="69" t="s">
        <v>2009</v>
      </c>
      <c r="L1643" s="86" t="s">
        <v>379</v>
      </c>
      <c r="M1643" s="72" t="s">
        <v>443</v>
      </c>
      <c r="N1643" s="5" t="s">
        <v>2787</v>
      </c>
      <c r="O1643" s="5" t="s">
        <v>2786</v>
      </c>
      <c r="P1643" s="5" t="str">
        <f t="shared" si="70"/>
        <v>LAK</v>
      </c>
      <c r="R1643" s="49" t="s">
        <v>2788</v>
      </c>
      <c r="S1643" s="49" t="s">
        <v>2789</v>
      </c>
      <c r="T1643" s="49" t="str">
        <f t="shared" si="71"/>
        <v>LISLAM</v>
      </c>
      <c r="U1643" s="49" t="str">
        <f t="shared" si="72"/>
        <v>XILISLAM</v>
      </c>
      <c r="V1643" s="90" t="s">
        <v>2927</v>
      </c>
      <c r="W1643" s="49">
        <f t="shared" si="73"/>
        <v>2004</v>
      </c>
      <c r="X1643" s="49">
        <f t="shared" si="74"/>
        <v>17</v>
      </c>
      <c r="Y1643" s="49" t="str">
        <f t="shared" si="75"/>
        <v>L17</v>
      </c>
      <c r="Z1643" s="49" t="str">
        <f t="shared" si="76"/>
        <v>XIL17</v>
      </c>
    </row>
    <row r="1644" spans="6:26" x14ac:dyDescent="0.25">
      <c r="F1644" s="58" t="str">
        <f t="shared" si="68"/>
        <v>XIII AK 417</v>
      </c>
      <c r="G1644" s="5">
        <v>17</v>
      </c>
      <c r="H1644" s="60">
        <v>102017675</v>
      </c>
      <c r="I1644" s="81" t="s">
        <v>2018</v>
      </c>
      <c r="J1644" s="61" t="str">
        <f t="shared" si="69"/>
        <v>102017675/0053147846</v>
      </c>
      <c r="K1644" s="69" t="s">
        <v>2019</v>
      </c>
      <c r="L1644" s="86" t="s">
        <v>379</v>
      </c>
      <c r="M1644" s="72" t="s">
        <v>443</v>
      </c>
      <c r="N1644" s="5" t="s">
        <v>2787</v>
      </c>
      <c r="O1644" s="5" t="s">
        <v>2786</v>
      </c>
      <c r="P1644" s="5" t="str">
        <f t="shared" si="70"/>
        <v>LAK</v>
      </c>
      <c r="R1644" s="49" t="s">
        <v>2788</v>
      </c>
      <c r="S1644" s="49" t="s">
        <v>2789</v>
      </c>
      <c r="T1644" s="49" t="str">
        <f t="shared" si="71"/>
        <v>LISLAM</v>
      </c>
      <c r="U1644" s="49" t="str">
        <f t="shared" si="72"/>
        <v>XILISLAM</v>
      </c>
      <c r="V1644" s="90" t="s">
        <v>2888</v>
      </c>
      <c r="W1644" s="49">
        <f t="shared" si="73"/>
        <v>2004</v>
      </c>
      <c r="X1644" s="49">
        <f t="shared" si="74"/>
        <v>17</v>
      </c>
      <c r="Y1644" s="49" t="str">
        <f t="shared" si="75"/>
        <v>L17</v>
      </c>
      <c r="Z1644" s="49" t="str">
        <f t="shared" si="76"/>
        <v>XIL17</v>
      </c>
    </row>
    <row r="1645" spans="6:26" x14ac:dyDescent="0.25">
      <c r="F1645" s="58" t="str">
        <f t="shared" si="68"/>
        <v>XIII AK 418</v>
      </c>
      <c r="G1645" s="5">
        <v>18</v>
      </c>
      <c r="H1645" s="60">
        <v>102017676</v>
      </c>
      <c r="I1645" s="81" t="s">
        <v>2022</v>
      </c>
      <c r="J1645" s="61" t="str">
        <f t="shared" si="69"/>
        <v>102017676/0052821553</v>
      </c>
      <c r="K1645" s="69" t="s">
        <v>2023</v>
      </c>
      <c r="L1645" s="86" t="s">
        <v>379</v>
      </c>
      <c r="M1645" s="72" t="s">
        <v>443</v>
      </c>
      <c r="N1645" s="5" t="s">
        <v>2787</v>
      </c>
      <c r="O1645" s="5" t="s">
        <v>2786</v>
      </c>
      <c r="P1645" s="5" t="str">
        <f t="shared" si="70"/>
        <v>LAK</v>
      </c>
      <c r="R1645" s="49" t="s">
        <v>2788</v>
      </c>
      <c r="S1645" s="49" t="s">
        <v>2789</v>
      </c>
      <c r="T1645" s="49" t="str">
        <f t="shared" si="71"/>
        <v>LISLAM</v>
      </c>
      <c r="U1645" s="49" t="str">
        <f t="shared" si="72"/>
        <v>XILISLAM</v>
      </c>
      <c r="V1645" s="90" t="s">
        <v>2928</v>
      </c>
      <c r="W1645" s="49">
        <f t="shared" si="73"/>
        <v>2005</v>
      </c>
      <c r="X1645" s="49">
        <f t="shared" si="74"/>
        <v>16</v>
      </c>
      <c r="Y1645" s="49" t="str">
        <f t="shared" si="75"/>
        <v>L16</v>
      </c>
      <c r="Z1645" s="49" t="str">
        <f t="shared" si="76"/>
        <v>XIL16</v>
      </c>
    </row>
    <row r="1646" spans="6:26" x14ac:dyDescent="0.25">
      <c r="F1646" s="58" t="str">
        <f t="shared" ref="F1646:F1709" si="77">M1646&amp;G1646</f>
        <v>XIII AK 419</v>
      </c>
      <c r="G1646" s="5">
        <v>19</v>
      </c>
      <c r="H1646" s="60">
        <v>102017679</v>
      </c>
      <c r="I1646" s="81" t="s">
        <v>2048</v>
      </c>
      <c r="J1646" s="61" t="str">
        <f t="shared" ref="J1646:J1709" si="78">H1646&amp;"/"&amp;I1646</f>
        <v>102017679/0059150869</v>
      </c>
      <c r="K1646" s="69" t="s">
        <v>2049</v>
      </c>
      <c r="L1646" s="86" t="s">
        <v>381</v>
      </c>
      <c r="M1646" s="72" t="s">
        <v>443</v>
      </c>
      <c r="N1646" s="5" t="s">
        <v>2787</v>
      </c>
      <c r="O1646" s="5" t="s">
        <v>2786</v>
      </c>
      <c r="P1646" s="5" t="str">
        <f t="shared" ref="P1646:P1711" si="79">L1646&amp;O1646</f>
        <v>PAK</v>
      </c>
      <c r="R1646" s="49" t="s">
        <v>2788</v>
      </c>
      <c r="S1646" s="49" t="s">
        <v>2789</v>
      </c>
      <c r="T1646" s="49" t="str">
        <f t="shared" si="71"/>
        <v>PISLAM</v>
      </c>
      <c r="U1646" s="49" t="str">
        <f t="shared" si="72"/>
        <v>XIPISLAM</v>
      </c>
      <c r="V1646" s="90" t="s">
        <v>2929</v>
      </c>
      <c r="W1646" s="49">
        <f t="shared" si="73"/>
        <v>2004</v>
      </c>
      <c r="X1646" s="49">
        <f t="shared" si="74"/>
        <v>17</v>
      </c>
      <c r="Y1646" s="49" t="str">
        <f t="shared" si="75"/>
        <v>P17</v>
      </c>
      <c r="Z1646" s="49" t="str">
        <f t="shared" si="76"/>
        <v>XIP17</v>
      </c>
    </row>
    <row r="1647" spans="6:26" ht="30" x14ac:dyDescent="0.25">
      <c r="F1647" s="58" t="str">
        <f t="shared" si="77"/>
        <v>XIII AK 420</v>
      </c>
      <c r="G1647" s="5">
        <v>20</v>
      </c>
      <c r="H1647" s="60">
        <v>102017680</v>
      </c>
      <c r="I1647" s="84" t="s">
        <v>2079</v>
      </c>
      <c r="J1647" s="61" t="str">
        <f t="shared" si="78"/>
        <v>102017680/0052616231</v>
      </c>
      <c r="K1647" s="69" t="s">
        <v>2080</v>
      </c>
      <c r="L1647" s="86" t="s">
        <v>381</v>
      </c>
      <c r="M1647" s="72" t="s">
        <v>443</v>
      </c>
      <c r="N1647" s="5" t="s">
        <v>2787</v>
      </c>
      <c r="O1647" s="5" t="s">
        <v>2786</v>
      </c>
      <c r="P1647" s="5" t="str">
        <f t="shared" si="79"/>
        <v>PAK</v>
      </c>
      <c r="R1647" s="49" t="s">
        <v>2788</v>
      </c>
      <c r="S1647" s="49" t="s">
        <v>2789</v>
      </c>
      <c r="T1647" s="49" t="str">
        <f t="shared" si="71"/>
        <v>PISLAM</v>
      </c>
      <c r="U1647" s="49" t="str">
        <f t="shared" si="72"/>
        <v>XIPISLAM</v>
      </c>
      <c r="V1647" s="90" t="s">
        <v>2930</v>
      </c>
      <c r="W1647" s="49">
        <f t="shared" si="73"/>
        <v>2005</v>
      </c>
      <c r="X1647" s="49">
        <f t="shared" si="74"/>
        <v>16</v>
      </c>
      <c r="Y1647" s="49" t="str">
        <f t="shared" si="75"/>
        <v>P16</v>
      </c>
      <c r="Z1647" s="49" t="str">
        <f t="shared" si="76"/>
        <v>XIP16</v>
      </c>
    </row>
    <row r="1648" spans="6:26" x14ac:dyDescent="0.25">
      <c r="F1648" s="58" t="str">
        <f t="shared" si="77"/>
        <v>XIII AK 421</v>
      </c>
      <c r="G1648" s="5">
        <v>21</v>
      </c>
      <c r="H1648" s="60">
        <v>102017681</v>
      </c>
      <c r="I1648" s="81" t="s">
        <v>2089</v>
      </c>
      <c r="J1648" s="61" t="str">
        <f t="shared" si="78"/>
        <v>102017681/3045812077</v>
      </c>
      <c r="K1648" s="69" t="s">
        <v>2090</v>
      </c>
      <c r="L1648" s="86" t="s">
        <v>381</v>
      </c>
      <c r="M1648" s="72" t="s">
        <v>443</v>
      </c>
      <c r="N1648" s="5" t="s">
        <v>2787</v>
      </c>
      <c r="O1648" s="5" t="s">
        <v>2786</v>
      </c>
      <c r="P1648" s="5" t="str">
        <f t="shared" si="79"/>
        <v>PAK</v>
      </c>
      <c r="R1648" s="49" t="s">
        <v>2788</v>
      </c>
      <c r="S1648" s="49" t="s">
        <v>2789</v>
      </c>
      <c r="T1648" s="49" t="str">
        <f t="shared" si="71"/>
        <v>PISLAM</v>
      </c>
      <c r="U1648" s="49" t="str">
        <f t="shared" si="72"/>
        <v>XIPISLAM</v>
      </c>
      <c r="V1648" s="90" t="s">
        <v>2931</v>
      </c>
      <c r="W1648" s="49">
        <f t="shared" si="73"/>
        <v>2005</v>
      </c>
      <c r="X1648" s="49">
        <f t="shared" si="74"/>
        <v>16</v>
      </c>
      <c r="Y1648" s="49" t="str">
        <f t="shared" si="75"/>
        <v>P16</v>
      </c>
      <c r="Z1648" s="49" t="str">
        <f t="shared" si="76"/>
        <v>XIP16</v>
      </c>
    </row>
    <row r="1649" spans="6:26" ht="30" x14ac:dyDescent="0.25">
      <c r="F1649" s="58" t="str">
        <f t="shared" si="77"/>
        <v>XIII AK 422</v>
      </c>
      <c r="G1649" s="5">
        <v>22</v>
      </c>
      <c r="H1649" s="60">
        <v>102017682</v>
      </c>
      <c r="I1649" s="84" t="s">
        <v>2099</v>
      </c>
      <c r="J1649" s="61" t="str">
        <f t="shared" si="78"/>
        <v>102017682/0048310895</v>
      </c>
      <c r="K1649" s="69" t="s">
        <v>2100</v>
      </c>
      <c r="L1649" s="86" t="s">
        <v>381</v>
      </c>
      <c r="M1649" s="72" t="s">
        <v>443</v>
      </c>
      <c r="N1649" s="5" t="s">
        <v>2787</v>
      </c>
      <c r="O1649" s="5" t="s">
        <v>2786</v>
      </c>
      <c r="P1649" s="5" t="str">
        <f t="shared" si="79"/>
        <v>PAK</v>
      </c>
      <c r="R1649" s="49" t="s">
        <v>2788</v>
      </c>
      <c r="S1649" s="49" t="s">
        <v>2789</v>
      </c>
      <c r="T1649" s="49" t="str">
        <f t="shared" si="71"/>
        <v>PISLAM</v>
      </c>
      <c r="U1649" s="49" t="str">
        <f t="shared" si="72"/>
        <v>XIPISLAM</v>
      </c>
      <c r="V1649" s="90" t="s">
        <v>2873</v>
      </c>
      <c r="W1649" s="49">
        <f t="shared" si="73"/>
        <v>2004</v>
      </c>
      <c r="X1649" s="49">
        <f t="shared" si="74"/>
        <v>17</v>
      </c>
      <c r="Y1649" s="49" t="str">
        <f t="shared" si="75"/>
        <v>P17</v>
      </c>
      <c r="Z1649" s="49" t="str">
        <f t="shared" si="76"/>
        <v>XIP17</v>
      </c>
    </row>
    <row r="1650" spans="6:26" ht="30" x14ac:dyDescent="0.25">
      <c r="F1650" s="58" t="str">
        <f t="shared" si="77"/>
        <v>XIII AK 423</v>
      </c>
      <c r="G1650" s="5">
        <v>23</v>
      </c>
      <c r="H1650" s="60">
        <v>102017683</v>
      </c>
      <c r="I1650" s="84" t="s">
        <v>2127</v>
      </c>
      <c r="J1650" s="61" t="str">
        <f t="shared" si="78"/>
        <v>102017683/0048603849</v>
      </c>
      <c r="K1650" s="69" t="s">
        <v>2128</v>
      </c>
      <c r="L1650" s="86" t="s">
        <v>381</v>
      </c>
      <c r="M1650" s="72" t="s">
        <v>443</v>
      </c>
      <c r="N1650" s="5" t="s">
        <v>2787</v>
      </c>
      <c r="O1650" s="5" t="s">
        <v>2786</v>
      </c>
      <c r="P1650" s="5" t="str">
        <f t="shared" si="79"/>
        <v>PAK</v>
      </c>
      <c r="R1650" s="49" t="s">
        <v>2788</v>
      </c>
      <c r="S1650" s="49" t="s">
        <v>2789</v>
      </c>
      <c r="T1650" s="49" t="str">
        <f t="shared" si="71"/>
        <v>PISLAM</v>
      </c>
      <c r="U1650" s="49" t="str">
        <f t="shared" si="72"/>
        <v>XIPISLAM</v>
      </c>
      <c r="V1650" s="90" t="s">
        <v>2932</v>
      </c>
      <c r="W1650" s="49">
        <f t="shared" si="73"/>
        <v>2004</v>
      </c>
      <c r="X1650" s="49">
        <f t="shared" si="74"/>
        <v>17</v>
      </c>
      <c r="Y1650" s="49" t="str">
        <f t="shared" si="75"/>
        <v>P17</v>
      </c>
      <c r="Z1650" s="49" t="str">
        <f t="shared" si="76"/>
        <v>XIP17</v>
      </c>
    </row>
    <row r="1651" spans="6:26" ht="15.95" customHeight="1" x14ac:dyDescent="0.25">
      <c r="F1651" s="58" t="str">
        <f t="shared" si="77"/>
        <v>XIII AK 424</v>
      </c>
      <c r="G1651" s="5">
        <v>24</v>
      </c>
      <c r="H1651" s="60">
        <v>102017684</v>
      </c>
      <c r="I1651" s="84" t="s">
        <v>2157</v>
      </c>
      <c r="J1651" s="61" t="str">
        <f t="shared" si="78"/>
        <v>102017684/0050975211</v>
      </c>
      <c r="K1651" s="94" t="s">
        <v>2158</v>
      </c>
      <c r="L1651" s="86" t="s">
        <v>381</v>
      </c>
      <c r="M1651" s="72" t="s">
        <v>443</v>
      </c>
      <c r="N1651" s="5" t="s">
        <v>2787</v>
      </c>
      <c r="O1651" s="5" t="s">
        <v>2786</v>
      </c>
      <c r="P1651" s="5" t="str">
        <f t="shared" si="79"/>
        <v>PAK</v>
      </c>
      <c r="R1651" s="49" t="s">
        <v>2788</v>
      </c>
      <c r="S1651" s="49" t="s">
        <v>2789</v>
      </c>
      <c r="T1651" s="49" t="str">
        <f t="shared" si="71"/>
        <v>PISLAM</v>
      </c>
      <c r="U1651" s="49" t="str">
        <f t="shared" si="72"/>
        <v>XIPISLAM</v>
      </c>
      <c r="V1651" s="90" t="s">
        <v>2933</v>
      </c>
      <c r="W1651" s="49">
        <f t="shared" si="73"/>
        <v>2004</v>
      </c>
      <c r="X1651" s="49">
        <f t="shared" si="74"/>
        <v>17</v>
      </c>
      <c r="Y1651" s="49" t="str">
        <f t="shared" si="75"/>
        <v>P17</v>
      </c>
      <c r="Z1651" s="49" t="str">
        <f t="shared" si="76"/>
        <v>XIP17</v>
      </c>
    </row>
    <row r="1652" spans="6:26" ht="30" x14ac:dyDescent="0.25">
      <c r="F1652" s="58" t="str">
        <f t="shared" si="77"/>
        <v>XIII AK 425</v>
      </c>
      <c r="G1652" s="5">
        <v>25</v>
      </c>
      <c r="H1652" s="60">
        <v>102017685</v>
      </c>
      <c r="I1652" s="141" t="s">
        <v>2159</v>
      </c>
      <c r="J1652" s="61" t="str">
        <f t="shared" si="78"/>
        <v>102017685/0031181083</v>
      </c>
      <c r="K1652" s="69" t="s">
        <v>2160</v>
      </c>
      <c r="L1652" s="86" t="s">
        <v>379</v>
      </c>
      <c r="M1652" s="72" t="s">
        <v>443</v>
      </c>
      <c r="N1652" s="5" t="s">
        <v>2787</v>
      </c>
      <c r="O1652" s="5" t="s">
        <v>2786</v>
      </c>
      <c r="P1652" s="5" t="str">
        <f t="shared" si="79"/>
        <v>LAK</v>
      </c>
      <c r="R1652" s="49" t="s">
        <v>2788</v>
      </c>
      <c r="S1652" s="49" t="s">
        <v>2789</v>
      </c>
      <c r="T1652" s="49" t="str">
        <f t="shared" si="71"/>
        <v>LISLAM</v>
      </c>
      <c r="U1652" s="49" t="str">
        <f t="shared" si="72"/>
        <v>XILISLAM</v>
      </c>
      <c r="V1652" s="90" t="s">
        <v>2934</v>
      </c>
      <c r="W1652" s="49">
        <f t="shared" si="73"/>
        <v>2005</v>
      </c>
      <c r="X1652" s="49">
        <f t="shared" si="74"/>
        <v>16</v>
      </c>
      <c r="Y1652" s="49" t="str">
        <f t="shared" si="75"/>
        <v>L16</v>
      </c>
      <c r="Z1652" s="49" t="str">
        <f t="shared" si="76"/>
        <v>XIL16</v>
      </c>
    </row>
    <row r="1653" spans="6:26" x14ac:dyDescent="0.25">
      <c r="F1653" s="58" t="str">
        <f t="shared" si="77"/>
        <v>XIII AK 426</v>
      </c>
      <c r="G1653" s="5">
        <v>26</v>
      </c>
      <c r="H1653" s="93">
        <v>101917361</v>
      </c>
      <c r="I1653" s="131" t="s">
        <v>2177</v>
      </c>
      <c r="J1653" s="61" t="str">
        <f t="shared" si="78"/>
        <v>101917361/0045372569</v>
      </c>
      <c r="K1653" s="69" t="s">
        <v>2178</v>
      </c>
      <c r="L1653" s="57" t="s">
        <v>379</v>
      </c>
      <c r="M1653" s="72" t="s">
        <v>443</v>
      </c>
      <c r="N1653" s="5" t="s">
        <v>2787</v>
      </c>
      <c r="O1653" s="5" t="s">
        <v>2786</v>
      </c>
      <c r="P1653" s="5" t="str">
        <f t="shared" si="79"/>
        <v>LAK</v>
      </c>
      <c r="R1653" s="49" t="s">
        <v>2905</v>
      </c>
      <c r="S1653" s="49" t="s">
        <v>2789</v>
      </c>
      <c r="T1653" s="49" t="str">
        <f t="shared" si="71"/>
        <v>LIslam</v>
      </c>
      <c r="U1653" s="49" t="str">
        <f t="shared" si="72"/>
        <v>XILIslam</v>
      </c>
      <c r="V1653" s="96" t="s">
        <v>2935</v>
      </c>
      <c r="W1653" s="49">
        <f t="shared" si="73"/>
        <v>2004</v>
      </c>
      <c r="X1653" s="49">
        <f t="shared" si="74"/>
        <v>17</v>
      </c>
      <c r="Y1653" s="49" t="str">
        <f t="shared" si="75"/>
        <v>L17</v>
      </c>
      <c r="Z1653" s="49" t="str">
        <f t="shared" si="76"/>
        <v>XIL17</v>
      </c>
    </row>
    <row r="1654" spans="6:26" x14ac:dyDescent="0.25">
      <c r="F1654" s="58" t="str">
        <f t="shared" si="77"/>
        <v>XIII AK 427</v>
      </c>
      <c r="G1654" s="5">
        <v>27</v>
      </c>
      <c r="H1654" s="60">
        <v>102017687</v>
      </c>
      <c r="I1654" s="81" t="s">
        <v>2203</v>
      </c>
      <c r="J1654" s="61" t="str">
        <f t="shared" si="78"/>
        <v>102017687/0057597608</v>
      </c>
      <c r="K1654" s="69" t="s">
        <v>2204</v>
      </c>
      <c r="L1654" s="86" t="s">
        <v>379</v>
      </c>
      <c r="M1654" s="72" t="s">
        <v>443</v>
      </c>
      <c r="N1654" s="5" t="s">
        <v>2787</v>
      </c>
      <c r="O1654" s="5" t="s">
        <v>2786</v>
      </c>
      <c r="P1654" s="5" t="str">
        <f t="shared" si="79"/>
        <v>LAK</v>
      </c>
      <c r="R1654" s="49" t="s">
        <v>2788</v>
      </c>
      <c r="S1654" s="49" t="s">
        <v>2789</v>
      </c>
      <c r="T1654" s="49" t="str">
        <f t="shared" ref="T1654:T1717" si="80">L1654&amp;R1654</f>
        <v>LISLAM</v>
      </c>
      <c r="U1654" s="49" t="str">
        <f t="shared" ref="U1654:U1717" si="81">S1654&amp;T1654</f>
        <v>XILISLAM</v>
      </c>
      <c r="V1654" s="90" t="s">
        <v>2936</v>
      </c>
      <c r="W1654" s="49">
        <f t="shared" ref="W1654:W1717" si="82">YEAR(V1654)</f>
        <v>2005</v>
      </c>
      <c r="X1654" s="49">
        <f t="shared" ref="X1654:X1717" si="83">2021-W1654</f>
        <v>16</v>
      </c>
      <c r="Y1654" s="49" t="str">
        <f t="shared" ref="Y1654:Y1717" si="84">L1654&amp;X1654</f>
        <v>L16</v>
      </c>
      <c r="Z1654" s="49" t="str">
        <f t="shared" ref="Z1654:Z1717" si="85">S1654&amp;Y1654</f>
        <v>XIL16</v>
      </c>
    </row>
    <row r="1655" spans="6:26" x14ac:dyDescent="0.25">
      <c r="F1655" s="58" t="str">
        <f t="shared" si="77"/>
        <v>XIII AK 428</v>
      </c>
      <c r="G1655" s="5">
        <v>28</v>
      </c>
      <c r="H1655" s="60">
        <v>102017688</v>
      </c>
      <c r="I1655" s="81" t="s">
        <v>2227</v>
      </c>
      <c r="J1655" s="61" t="str">
        <f t="shared" si="78"/>
        <v>102017688/0050617237</v>
      </c>
      <c r="K1655" s="69" t="s">
        <v>2228</v>
      </c>
      <c r="L1655" s="86" t="s">
        <v>381</v>
      </c>
      <c r="M1655" s="72" t="s">
        <v>443</v>
      </c>
      <c r="N1655" s="5" t="s">
        <v>2787</v>
      </c>
      <c r="O1655" s="5" t="s">
        <v>2786</v>
      </c>
      <c r="P1655" s="5" t="str">
        <f t="shared" si="79"/>
        <v>PAK</v>
      </c>
      <c r="R1655" s="49" t="s">
        <v>2788</v>
      </c>
      <c r="S1655" s="49" t="s">
        <v>2789</v>
      </c>
      <c r="T1655" s="49" t="str">
        <f t="shared" si="80"/>
        <v>PISLAM</v>
      </c>
      <c r="U1655" s="49" t="str">
        <f t="shared" si="81"/>
        <v>XIPISLAM</v>
      </c>
      <c r="V1655" s="90" t="s">
        <v>2937</v>
      </c>
      <c r="W1655" s="49">
        <f t="shared" si="82"/>
        <v>2005</v>
      </c>
      <c r="X1655" s="49">
        <f t="shared" si="83"/>
        <v>16</v>
      </c>
      <c r="Y1655" s="49" t="str">
        <f t="shared" si="84"/>
        <v>P16</v>
      </c>
      <c r="Z1655" s="49" t="str">
        <f t="shared" si="85"/>
        <v>XIP16</v>
      </c>
    </row>
    <row r="1656" spans="6:26" x14ac:dyDescent="0.25">
      <c r="F1656" s="58" t="str">
        <f t="shared" si="77"/>
        <v>XIII AK 429</v>
      </c>
      <c r="G1656" s="5">
        <v>29</v>
      </c>
      <c r="H1656" s="60">
        <v>102017689</v>
      </c>
      <c r="I1656" s="81" t="s">
        <v>2270</v>
      </c>
      <c r="J1656" s="61" t="str">
        <f t="shared" si="78"/>
        <v>102017689/0046495672</v>
      </c>
      <c r="K1656" s="69" t="s">
        <v>2271</v>
      </c>
      <c r="L1656" s="86" t="s">
        <v>381</v>
      </c>
      <c r="M1656" s="72" t="s">
        <v>443</v>
      </c>
      <c r="N1656" s="5" t="s">
        <v>2787</v>
      </c>
      <c r="O1656" s="5" t="s">
        <v>2786</v>
      </c>
      <c r="P1656" s="5" t="str">
        <f t="shared" si="79"/>
        <v>PAK</v>
      </c>
      <c r="R1656" s="49" t="s">
        <v>2788</v>
      </c>
      <c r="S1656" s="49" t="s">
        <v>2789</v>
      </c>
      <c r="T1656" s="49" t="str">
        <f t="shared" si="80"/>
        <v>PISLAM</v>
      </c>
      <c r="U1656" s="49" t="str">
        <f t="shared" si="81"/>
        <v>XIPISLAM</v>
      </c>
      <c r="V1656" s="90" t="s">
        <v>2938</v>
      </c>
      <c r="W1656" s="49">
        <f t="shared" si="82"/>
        <v>2004</v>
      </c>
      <c r="X1656" s="49">
        <f t="shared" si="83"/>
        <v>17</v>
      </c>
      <c r="Y1656" s="49" t="str">
        <f t="shared" si="84"/>
        <v>P17</v>
      </c>
      <c r="Z1656" s="49" t="str">
        <f t="shared" si="85"/>
        <v>XIP17</v>
      </c>
    </row>
    <row r="1657" spans="6:26" x14ac:dyDescent="0.25">
      <c r="F1657" s="58" t="str">
        <f t="shared" si="77"/>
        <v>XIII AK 430</v>
      </c>
      <c r="G1657" s="5">
        <v>30</v>
      </c>
      <c r="H1657" s="60">
        <v>102017690</v>
      </c>
      <c r="I1657" s="81" t="s">
        <v>2276</v>
      </c>
      <c r="J1657" s="61" t="str">
        <f t="shared" si="78"/>
        <v>102017690/0050930359</v>
      </c>
      <c r="K1657" s="69" t="s">
        <v>2277</v>
      </c>
      <c r="L1657" s="86" t="s">
        <v>381</v>
      </c>
      <c r="M1657" s="72" t="s">
        <v>443</v>
      </c>
      <c r="N1657" s="5" t="s">
        <v>2787</v>
      </c>
      <c r="O1657" s="5" t="s">
        <v>2786</v>
      </c>
      <c r="P1657" s="5" t="str">
        <f t="shared" si="79"/>
        <v>PAK</v>
      </c>
      <c r="R1657" s="49" t="s">
        <v>2788</v>
      </c>
      <c r="S1657" s="49" t="s">
        <v>2789</v>
      </c>
      <c r="T1657" s="49" t="str">
        <f t="shared" si="80"/>
        <v>PISLAM</v>
      </c>
      <c r="U1657" s="49" t="str">
        <f t="shared" si="81"/>
        <v>XIPISLAM</v>
      </c>
      <c r="V1657" s="90" t="s">
        <v>2939</v>
      </c>
      <c r="W1657" s="49">
        <f t="shared" si="82"/>
        <v>2005</v>
      </c>
      <c r="X1657" s="49">
        <f t="shared" si="83"/>
        <v>16</v>
      </c>
      <c r="Y1657" s="49" t="str">
        <f t="shared" si="84"/>
        <v>P16</v>
      </c>
      <c r="Z1657" s="49" t="str">
        <f t="shared" si="85"/>
        <v>XIP16</v>
      </c>
    </row>
    <row r="1658" spans="6:26" x14ac:dyDescent="0.25">
      <c r="F1658" s="58" t="str">
        <f t="shared" si="77"/>
        <v>XIII AK 431</v>
      </c>
      <c r="G1658" s="5">
        <v>31</v>
      </c>
      <c r="H1658" s="60">
        <v>102017691</v>
      </c>
      <c r="I1658" s="81" t="s">
        <v>2280</v>
      </c>
      <c r="J1658" s="61" t="str">
        <f t="shared" si="78"/>
        <v>102017691/0044831484</v>
      </c>
      <c r="K1658" s="69" t="s">
        <v>2281</v>
      </c>
      <c r="L1658" s="86" t="s">
        <v>381</v>
      </c>
      <c r="M1658" s="72" t="s">
        <v>443</v>
      </c>
      <c r="N1658" s="5" t="s">
        <v>2787</v>
      </c>
      <c r="O1658" s="5" t="s">
        <v>2786</v>
      </c>
      <c r="P1658" s="5" t="str">
        <f t="shared" si="79"/>
        <v>PAK</v>
      </c>
      <c r="R1658" s="49" t="s">
        <v>2788</v>
      </c>
      <c r="S1658" s="49" t="s">
        <v>2789</v>
      </c>
      <c r="T1658" s="49" t="str">
        <f t="shared" si="80"/>
        <v>PISLAM</v>
      </c>
      <c r="U1658" s="49" t="str">
        <f t="shared" si="81"/>
        <v>XIPISLAM</v>
      </c>
      <c r="V1658" s="90" t="s">
        <v>2940</v>
      </c>
      <c r="W1658" s="49">
        <f t="shared" si="82"/>
        <v>2004</v>
      </c>
      <c r="X1658" s="49">
        <f t="shared" si="83"/>
        <v>17</v>
      </c>
      <c r="Y1658" s="49" t="str">
        <f t="shared" si="84"/>
        <v>P17</v>
      </c>
      <c r="Z1658" s="49" t="str">
        <f t="shared" si="85"/>
        <v>XIP17</v>
      </c>
    </row>
    <row r="1659" spans="6:26" x14ac:dyDescent="0.25">
      <c r="F1659" s="58" t="str">
        <f t="shared" si="77"/>
        <v>XIII AK 432</v>
      </c>
      <c r="G1659" s="5">
        <v>32</v>
      </c>
      <c r="H1659" s="60">
        <v>102017665</v>
      </c>
      <c r="I1659" s="81" t="s">
        <v>2314</v>
      </c>
      <c r="J1659" s="61" t="str">
        <f t="shared" si="78"/>
        <v>102017665/0046361009</v>
      </c>
      <c r="K1659" s="69" t="s">
        <v>2315</v>
      </c>
      <c r="L1659" s="86" t="s">
        <v>381</v>
      </c>
      <c r="M1659" s="72" t="s">
        <v>443</v>
      </c>
      <c r="N1659" s="5" t="s">
        <v>2787</v>
      </c>
      <c r="O1659" s="5" t="s">
        <v>2786</v>
      </c>
      <c r="P1659" s="5" t="str">
        <f t="shared" si="79"/>
        <v>PAK</v>
      </c>
      <c r="R1659" s="49" t="s">
        <v>2788</v>
      </c>
      <c r="S1659" s="49" t="s">
        <v>2789</v>
      </c>
      <c r="T1659" s="49" t="str">
        <f t="shared" si="80"/>
        <v>PISLAM</v>
      </c>
      <c r="U1659" s="49" t="str">
        <f t="shared" si="81"/>
        <v>XIPISLAM</v>
      </c>
      <c r="V1659" s="90" t="s">
        <v>2941</v>
      </c>
      <c r="W1659" s="49">
        <f t="shared" si="82"/>
        <v>2004</v>
      </c>
      <c r="X1659" s="49">
        <f t="shared" si="83"/>
        <v>17</v>
      </c>
      <c r="Y1659" s="49" t="str">
        <f t="shared" si="84"/>
        <v>P17</v>
      </c>
      <c r="Z1659" s="49" t="str">
        <f t="shared" si="85"/>
        <v>XIP17</v>
      </c>
    </row>
    <row r="1660" spans="6:26" x14ac:dyDescent="0.25">
      <c r="F1660" s="58" t="str">
        <f t="shared" si="77"/>
        <v>XIII AK 433</v>
      </c>
      <c r="G1660" s="5">
        <v>33</v>
      </c>
      <c r="H1660" s="60">
        <v>102017692</v>
      </c>
      <c r="I1660" s="81" t="s">
        <v>2322</v>
      </c>
      <c r="J1660" s="61" t="str">
        <f t="shared" si="78"/>
        <v>102017692/0044030868</v>
      </c>
      <c r="K1660" s="69" t="s">
        <v>2323</v>
      </c>
      <c r="L1660" s="86" t="s">
        <v>381</v>
      </c>
      <c r="M1660" s="72" t="s">
        <v>443</v>
      </c>
      <c r="N1660" s="5" t="s">
        <v>2787</v>
      </c>
      <c r="O1660" s="5" t="s">
        <v>2786</v>
      </c>
      <c r="P1660" s="5" t="str">
        <f t="shared" si="79"/>
        <v>PAK</v>
      </c>
      <c r="R1660" s="49" t="s">
        <v>2788</v>
      </c>
      <c r="S1660" s="49" t="s">
        <v>2789</v>
      </c>
      <c r="T1660" s="49" t="str">
        <f t="shared" si="80"/>
        <v>PISLAM</v>
      </c>
      <c r="U1660" s="49" t="str">
        <f t="shared" si="81"/>
        <v>XIPISLAM</v>
      </c>
      <c r="V1660" s="90" t="s">
        <v>2942</v>
      </c>
      <c r="W1660" s="49">
        <f t="shared" si="82"/>
        <v>2005</v>
      </c>
      <c r="X1660" s="49">
        <f t="shared" si="83"/>
        <v>16</v>
      </c>
      <c r="Y1660" s="49" t="str">
        <f t="shared" si="84"/>
        <v>P16</v>
      </c>
      <c r="Z1660" s="49" t="str">
        <f t="shared" si="85"/>
        <v>XIP16</v>
      </c>
    </row>
    <row r="1661" spans="6:26" x14ac:dyDescent="0.25">
      <c r="F1661" s="58" t="str">
        <f t="shared" si="77"/>
        <v>XIII AK 434</v>
      </c>
      <c r="G1661" s="5">
        <v>34</v>
      </c>
      <c r="H1661" s="60">
        <v>102017693</v>
      </c>
      <c r="I1661" s="81" t="s">
        <v>2334</v>
      </c>
      <c r="J1661" s="61" t="str">
        <f t="shared" si="78"/>
        <v>102017693/0049656253</v>
      </c>
      <c r="K1661" s="69" t="s">
        <v>2335</v>
      </c>
      <c r="L1661" s="86" t="s">
        <v>381</v>
      </c>
      <c r="M1661" s="72" t="s">
        <v>443</v>
      </c>
      <c r="N1661" s="5" t="s">
        <v>2787</v>
      </c>
      <c r="O1661" s="5" t="s">
        <v>2786</v>
      </c>
      <c r="P1661" s="5" t="str">
        <f t="shared" si="79"/>
        <v>PAK</v>
      </c>
      <c r="R1661" s="49" t="s">
        <v>2788</v>
      </c>
      <c r="S1661" s="49" t="s">
        <v>2789</v>
      </c>
      <c r="T1661" s="49" t="str">
        <f t="shared" si="80"/>
        <v>PISLAM</v>
      </c>
      <c r="U1661" s="49" t="str">
        <f t="shared" si="81"/>
        <v>XIPISLAM</v>
      </c>
      <c r="V1661" s="90" t="s">
        <v>2893</v>
      </c>
      <c r="W1661" s="49">
        <f t="shared" si="82"/>
        <v>2004</v>
      </c>
      <c r="X1661" s="49">
        <f t="shared" si="83"/>
        <v>17</v>
      </c>
      <c r="Y1661" s="49" t="str">
        <f t="shared" si="84"/>
        <v>P17</v>
      </c>
      <c r="Z1661" s="49" t="str">
        <f t="shared" si="85"/>
        <v>XIP17</v>
      </c>
    </row>
    <row r="1662" spans="6:26" x14ac:dyDescent="0.25">
      <c r="F1662" s="58" t="str">
        <f t="shared" si="77"/>
        <v>XIII AK 51</v>
      </c>
      <c r="G1662" s="5">
        <v>1</v>
      </c>
      <c r="H1662" s="60">
        <v>102017695</v>
      </c>
      <c r="I1662" s="81" t="s">
        <v>1699</v>
      </c>
      <c r="J1662" s="61" t="str">
        <f t="shared" si="78"/>
        <v>102017695/0054247005</v>
      </c>
      <c r="K1662" s="69" t="s">
        <v>1700</v>
      </c>
      <c r="L1662" s="86" t="s">
        <v>381</v>
      </c>
      <c r="M1662" s="72" t="s">
        <v>462</v>
      </c>
      <c r="N1662" s="5" t="s">
        <v>2787</v>
      </c>
      <c r="O1662" s="5" t="s">
        <v>2786</v>
      </c>
      <c r="P1662" s="5" t="str">
        <f t="shared" si="79"/>
        <v>PAK</v>
      </c>
      <c r="R1662" s="49" t="s">
        <v>2788</v>
      </c>
      <c r="S1662" s="49" t="s">
        <v>2789</v>
      </c>
      <c r="T1662" s="49" t="str">
        <f t="shared" si="80"/>
        <v>PISLAM</v>
      </c>
      <c r="U1662" s="49" t="str">
        <f t="shared" si="81"/>
        <v>XIPISLAM</v>
      </c>
      <c r="V1662" s="90" t="s">
        <v>2943</v>
      </c>
      <c r="W1662" s="49">
        <f t="shared" si="82"/>
        <v>2005</v>
      </c>
      <c r="X1662" s="49">
        <f t="shared" si="83"/>
        <v>16</v>
      </c>
      <c r="Y1662" s="49" t="str">
        <f t="shared" si="84"/>
        <v>P16</v>
      </c>
      <c r="Z1662" s="49" t="str">
        <f t="shared" si="85"/>
        <v>XIP16</v>
      </c>
    </row>
    <row r="1663" spans="6:26" x14ac:dyDescent="0.25">
      <c r="F1663" s="58" t="str">
        <f t="shared" si="77"/>
        <v>XIII AK 52</v>
      </c>
      <c r="G1663" s="5">
        <v>2</v>
      </c>
      <c r="H1663" s="60">
        <v>102017696</v>
      </c>
      <c r="I1663" s="81" t="s">
        <v>1796</v>
      </c>
      <c r="J1663" s="61" t="str">
        <f t="shared" si="78"/>
        <v>102017696/0059063073</v>
      </c>
      <c r="K1663" s="69" t="s">
        <v>1797</v>
      </c>
      <c r="L1663" s="86" t="s">
        <v>381</v>
      </c>
      <c r="M1663" s="72" t="s">
        <v>462</v>
      </c>
      <c r="N1663" s="5" t="s">
        <v>2787</v>
      </c>
      <c r="O1663" s="5" t="s">
        <v>2786</v>
      </c>
      <c r="P1663" s="5" t="str">
        <f t="shared" si="79"/>
        <v>PAK</v>
      </c>
      <c r="R1663" s="49" t="s">
        <v>2788</v>
      </c>
      <c r="S1663" s="49" t="s">
        <v>2789</v>
      </c>
      <c r="T1663" s="49" t="str">
        <f t="shared" si="80"/>
        <v>PISLAM</v>
      </c>
      <c r="U1663" s="49" t="str">
        <f t="shared" si="81"/>
        <v>XIPISLAM</v>
      </c>
      <c r="V1663" s="90" t="s">
        <v>2944</v>
      </c>
      <c r="W1663" s="49">
        <f t="shared" si="82"/>
        <v>2005</v>
      </c>
      <c r="X1663" s="49">
        <f t="shared" si="83"/>
        <v>16</v>
      </c>
      <c r="Y1663" s="49" t="str">
        <f t="shared" si="84"/>
        <v>P16</v>
      </c>
      <c r="Z1663" s="49" t="str">
        <f t="shared" si="85"/>
        <v>XIP16</v>
      </c>
    </row>
    <row r="1664" spans="6:26" x14ac:dyDescent="0.25">
      <c r="F1664" s="58" t="str">
        <f t="shared" si="77"/>
        <v>XIII AK 53</v>
      </c>
      <c r="G1664" s="5">
        <v>3</v>
      </c>
      <c r="H1664" s="60">
        <v>102017697</v>
      </c>
      <c r="I1664" s="81" t="s">
        <v>1800</v>
      </c>
      <c r="J1664" s="61" t="str">
        <f t="shared" si="78"/>
        <v>102017697/0046414015</v>
      </c>
      <c r="K1664" s="69" t="s">
        <v>1801</v>
      </c>
      <c r="L1664" s="86" t="s">
        <v>379</v>
      </c>
      <c r="M1664" s="72" t="s">
        <v>462</v>
      </c>
      <c r="N1664" s="5" t="s">
        <v>2787</v>
      </c>
      <c r="O1664" s="5" t="s">
        <v>2786</v>
      </c>
      <c r="P1664" s="5" t="str">
        <f t="shared" si="79"/>
        <v>LAK</v>
      </c>
      <c r="R1664" s="49" t="s">
        <v>2788</v>
      </c>
      <c r="S1664" s="49" t="s">
        <v>2789</v>
      </c>
      <c r="T1664" s="49" t="str">
        <f t="shared" si="80"/>
        <v>LISLAM</v>
      </c>
      <c r="U1664" s="49" t="str">
        <f t="shared" si="81"/>
        <v>XILISLAM</v>
      </c>
      <c r="V1664" s="90" t="s">
        <v>2945</v>
      </c>
      <c r="W1664" s="49">
        <f t="shared" si="82"/>
        <v>2004</v>
      </c>
      <c r="X1664" s="49">
        <f t="shared" si="83"/>
        <v>17</v>
      </c>
      <c r="Y1664" s="49" t="str">
        <f t="shared" si="84"/>
        <v>L17</v>
      </c>
      <c r="Z1664" s="49" t="str">
        <f t="shared" si="85"/>
        <v>XIL17</v>
      </c>
    </row>
    <row r="1665" spans="6:26" x14ac:dyDescent="0.25">
      <c r="F1665" s="58" t="str">
        <f t="shared" si="77"/>
        <v>XIII AK 54</v>
      </c>
      <c r="G1665" s="5">
        <v>4</v>
      </c>
      <c r="H1665" s="60">
        <v>102017698</v>
      </c>
      <c r="I1665" s="81" t="s">
        <v>1818</v>
      </c>
      <c r="J1665" s="61" t="str">
        <f t="shared" si="78"/>
        <v>102017698/0055991655</v>
      </c>
      <c r="K1665" s="69" t="s">
        <v>1819</v>
      </c>
      <c r="L1665" s="86" t="s">
        <v>381</v>
      </c>
      <c r="M1665" s="72" t="s">
        <v>462</v>
      </c>
      <c r="N1665" s="5" t="s">
        <v>2787</v>
      </c>
      <c r="O1665" s="5" t="s">
        <v>2786</v>
      </c>
      <c r="P1665" s="5" t="str">
        <f t="shared" si="79"/>
        <v>PAK</v>
      </c>
      <c r="R1665" s="49" t="s">
        <v>2788</v>
      </c>
      <c r="S1665" s="49" t="s">
        <v>2789</v>
      </c>
      <c r="T1665" s="49" t="str">
        <f t="shared" si="80"/>
        <v>PISLAM</v>
      </c>
      <c r="U1665" s="49" t="str">
        <f t="shared" si="81"/>
        <v>XIPISLAM</v>
      </c>
      <c r="V1665" s="90" t="s">
        <v>2843</v>
      </c>
      <c r="W1665" s="49">
        <f t="shared" si="82"/>
        <v>2005</v>
      </c>
      <c r="X1665" s="49">
        <f t="shared" si="83"/>
        <v>16</v>
      </c>
      <c r="Y1665" s="49" t="str">
        <f t="shared" si="84"/>
        <v>P16</v>
      </c>
      <c r="Z1665" s="49" t="str">
        <f t="shared" si="85"/>
        <v>XIP16</v>
      </c>
    </row>
    <row r="1666" spans="6:26" x14ac:dyDescent="0.25">
      <c r="F1666" s="58" t="str">
        <f t="shared" si="77"/>
        <v>XIII AK 55</v>
      </c>
      <c r="G1666" s="5">
        <v>5</v>
      </c>
      <c r="H1666" s="60">
        <v>102017699</v>
      </c>
      <c r="I1666" s="81" t="s">
        <v>1820</v>
      </c>
      <c r="J1666" s="61" t="str">
        <f t="shared" si="78"/>
        <v>102017699/0048676160</v>
      </c>
      <c r="K1666" s="69" t="s">
        <v>1821</v>
      </c>
      <c r="L1666" s="86" t="s">
        <v>381</v>
      </c>
      <c r="M1666" s="72" t="s">
        <v>462</v>
      </c>
      <c r="N1666" s="5" t="s">
        <v>2787</v>
      </c>
      <c r="O1666" s="5" t="s">
        <v>2786</v>
      </c>
      <c r="P1666" s="5" t="str">
        <f t="shared" si="79"/>
        <v>PAK</v>
      </c>
      <c r="R1666" s="49" t="s">
        <v>2788</v>
      </c>
      <c r="S1666" s="49" t="s">
        <v>2789</v>
      </c>
      <c r="T1666" s="49" t="str">
        <f t="shared" si="80"/>
        <v>PISLAM</v>
      </c>
      <c r="U1666" s="49" t="str">
        <f t="shared" si="81"/>
        <v>XIPISLAM</v>
      </c>
      <c r="V1666" s="90" t="s">
        <v>2946</v>
      </c>
      <c r="W1666" s="49">
        <f t="shared" si="82"/>
        <v>2004</v>
      </c>
      <c r="X1666" s="49">
        <f t="shared" si="83"/>
        <v>17</v>
      </c>
      <c r="Y1666" s="49" t="str">
        <f t="shared" si="84"/>
        <v>P17</v>
      </c>
      <c r="Z1666" s="49" t="str">
        <f t="shared" si="85"/>
        <v>XIP17</v>
      </c>
    </row>
    <row r="1667" spans="6:26" x14ac:dyDescent="0.25">
      <c r="F1667" s="58" t="str">
        <f t="shared" si="77"/>
        <v>XIII AK 56</v>
      </c>
      <c r="G1667" s="5">
        <v>6</v>
      </c>
      <c r="H1667" s="60">
        <v>102017700</v>
      </c>
      <c r="I1667" s="81" t="s">
        <v>1824</v>
      </c>
      <c r="J1667" s="61" t="str">
        <f t="shared" si="78"/>
        <v>102017700/0054159116</v>
      </c>
      <c r="K1667" s="69" t="s">
        <v>1825</v>
      </c>
      <c r="L1667" s="86" t="s">
        <v>381</v>
      </c>
      <c r="M1667" s="72" t="s">
        <v>462</v>
      </c>
      <c r="N1667" s="5" t="s">
        <v>2787</v>
      </c>
      <c r="O1667" s="5" t="s">
        <v>2786</v>
      </c>
      <c r="P1667" s="5" t="str">
        <f t="shared" si="79"/>
        <v>PAK</v>
      </c>
      <c r="R1667" s="49" t="s">
        <v>2788</v>
      </c>
      <c r="S1667" s="49" t="s">
        <v>2789</v>
      </c>
      <c r="T1667" s="49" t="str">
        <f t="shared" si="80"/>
        <v>PISLAM</v>
      </c>
      <c r="U1667" s="49" t="str">
        <f t="shared" si="81"/>
        <v>XIPISLAM</v>
      </c>
      <c r="V1667" s="90" t="s">
        <v>2883</v>
      </c>
      <c r="W1667" s="49">
        <f t="shared" si="82"/>
        <v>2004</v>
      </c>
      <c r="X1667" s="49">
        <f t="shared" si="83"/>
        <v>17</v>
      </c>
      <c r="Y1667" s="49" t="str">
        <f t="shared" si="84"/>
        <v>P17</v>
      </c>
      <c r="Z1667" s="49" t="str">
        <f t="shared" si="85"/>
        <v>XIP17</v>
      </c>
    </row>
    <row r="1668" spans="6:26" x14ac:dyDescent="0.25">
      <c r="F1668" s="58" t="str">
        <f t="shared" si="77"/>
        <v>XIII AK 57</v>
      </c>
      <c r="G1668" s="5">
        <v>7</v>
      </c>
      <c r="H1668" s="60">
        <v>102017701</v>
      </c>
      <c r="I1668" s="81" t="s">
        <v>1836</v>
      </c>
      <c r="J1668" s="61" t="str">
        <f t="shared" si="78"/>
        <v>102017701/0042469355</v>
      </c>
      <c r="K1668" s="69" t="s">
        <v>1837</v>
      </c>
      <c r="L1668" s="86" t="s">
        <v>381</v>
      </c>
      <c r="M1668" s="72" t="s">
        <v>462</v>
      </c>
      <c r="N1668" s="5" t="s">
        <v>2787</v>
      </c>
      <c r="O1668" s="5" t="s">
        <v>2786</v>
      </c>
      <c r="P1668" s="5" t="str">
        <f t="shared" si="79"/>
        <v>PAK</v>
      </c>
      <c r="R1668" s="49" t="s">
        <v>2788</v>
      </c>
      <c r="S1668" s="49" t="s">
        <v>2789</v>
      </c>
      <c r="T1668" s="49" t="str">
        <f t="shared" si="80"/>
        <v>PISLAM</v>
      </c>
      <c r="U1668" s="49" t="str">
        <f t="shared" si="81"/>
        <v>XIPISLAM</v>
      </c>
      <c r="V1668" s="90" t="s">
        <v>2947</v>
      </c>
      <c r="W1668" s="49">
        <f t="shared" si="82"/>
        <v>2004</v>
      </c>
      <c r="X1668" s="49">
        <f t="shared" si="83"/>
        <v>17</v>
      </c>
      <c r="Y1668" s="49" t="str">
        <f t="shared" si="84"/>
        <v>P17</v>
      </c>
      <c r="Z1668" s="49" t="str">
        <f t="shared" si="85"/>
        <v>XIP17</v>
      </c>
    </row>
    <row r="1669" spans="6:26" x14ac:dyDescent="0.25">
      <c r="F1669" s="58" t="str">
        <f t="shared" si="77"/>
        <v>XIII AK 58</v>
      </c>
      <c r="G1669" s="5">
        <v>8</v>
      </c>
      <c r="H1669" s="60">
        <v>102017702</v>
      </c>
      <c r="I1669" s="81" t="s">
        <v>1840</v>
      </c>
      <c r="J1669" s="61" t="str">
        <f t="shared" si="78"/>
        <v>102017702/0055132290</v>
      </c>
      <c r="K1669" s="69" t="s">
        <v>1841</v>
      </c>
      <c r="L1669" s="86" t="s">
        <v>381</v>
      </c>
      <c r="M1669" s="72" t="s">
        <v>462</v>
      </c>
      <c r="N1669" s="5" t="s">
        <v>2787</v>
      </c>
      <c r="O1669" s="5" t="s">
        <v>2786</v>
      </c>
      <c r="P1669" s="5" t="str">
        <f t="shared" si="79"/>
        <v>PAK</v>
      </c>
      <c r="R1669" s="49" t="s">
        <v>2788</v>
      </c>
      <c r="S1669" s="49" t="s">
        <v>2789</v>
      </c>
      <c r="T1669" s="49" t="str">
        <f t="shared" si="80"/>
        <v>PISLAM</v>
      </c>
      <c r="U1669" s="49" t="str">
        <f t="shared" si="81"/>
        <v>XIPISLAM</v>
      </c>
      <c r="V1669" s="90" t="s">
        <v>2948</v>
      </c>
      <c r="W1669" s="49">
        <f t="shared" si="82"/>
        <v>2005</v>
      </c>
      <c r="X1669" s="49">
        <f t="shared" si="83"/>
        <v>16</v>
      </c>
      <c r="Y1669" s="49" t="str">
        <f t="shared" si="84"/>
        <v>P16</v>
      </c>
      <c r="Z1669" s="49" t="str">
        <f t="shared" si="85"/>
        <v>XIP16</v>
      </c>
    </row>
    <row r="1670" spans="6:26" x14ac:dyDescent="0.25">
      <c r="F1670" s="58" t="str">
        <f t="shared" si="77"/>
        <v>XIII AK 59</v>
      </c>
      <c r="G1670" s="5">
        <v>9</v>
      </c>
      <c r="H1670" s="60">
        <v>102017703</v>
      </c>
      <c r="I1670" s="81" t="s">
        <v>1844</v>
      </c>
      <c r="J1670" s="61" t="str">
        <f t="shared" si="78"/>
        <v>102017703/0054553806</v>
      </c>
      <c r="K1670" s="69" t="s">
        <v>1845</v>
      </c>
      <c r="L1670" s="86" t="s">
        <v>381</v>
      </c>
      <c r="M1670" s="72" t="s">
        <v>462</v>
      </c>
      <c r="N1670" s="5" t="s">
        <v>2787</v>
      </c>
      <c r="O1670" s="5" t="s">
        <v>2786</v>
      </c>
      <c r="P1670" s="5" t="str">
        <f t="shared" si="79"/>
        <v>PAK</v>
      </c>
      <c r="R1670" s="49" t="s">
        <v>2788</v>
      </c>
      <c r="S1670" s="49" t="s">
        <v>2789</v>
      </c>
      <c r="T1670" s="49" t="str">
        <f t="shared" si="80"/>
        <v>PISLAM</v>
      </c>
      <c r="U1670" s="49" t="str">
        <f t="shared" si="81"/>
        <v>XIPISLAM</v>
      </c>
      <c r="V1670" s="90" t="s">
        <v>2949</v>
      </c>
      <c r="W1670" s="49">
        <f t="shared" si="82"/>
        <v>2005</v>
      </c>
      <c r="X1670" s="49">
        <f t="shared" si="83"/>
        <v>16</v>
      </c>
      <c r="Y1670" s="49" t="str">
        <f t="shared" si="84"/>
        <v>P16</v>
      </c>
      <c r="Z1670" s="49" t="str">
        <f t="shared" si="85"/>
        <v>XIP16</v>
      </c>
    </row>
    <row r="1671" spans="6:26" x14ac:dyDescent="0.25">
      <c r="F1671" s="58" t="str">
        <f t="shared" si="77"/>
        <v>XIII AK 510</v>
      </c>
      <c r="G1671" s="5">
        <v>10</v>
      </c>
      <c r="H1671" s="60">
        <v>102017704</v>
      </c>
      <c r="I1671" s="81" t="s">
        <v>1887</v>
      </c>
      <c r="J1671" s="61" t="str">
        <f t="shared" si="78"/>
        <v>102017704/0063199663</v>
      </c>
      <c r="K1671" s="69" t="s">
        <v>1888</v>
      </c>
      <c r="L1671" s="86" t="s">
        <v>381</v>
      </c>
      <c r="M1671" s="72" t="s">
        <v>462</v>
      </c>
      <c r="N1671" s="5" t="s">
        <v>2787</v>
      </c>
      <c r="O1671" s="5" t="s">
        <v>2786</v>
      </c>
      <c r="P1671" s="5" t="str">
        <f t="shared" si="79"/>
        <v>PAK</v>
      </c>
      <c r="R1671" s="49" t="s">
        <v>2788</v>
      </c>
      <c r="S1671" s="49" t="s">
        <v>2789</v>
      </c>
      <c r="T1671" s="49" t="str">
        <f t="shared" si="80"/>
        <v>PISLAM</v>
      </c>
      <c r="U1671" s="49" t="str">
        <f t="shared" si="81"/>
        <v>XIPISLAM</v>
      </c>
      <c r="V1671" s="90" t="s">
        <v>2950</v>
      </c>
      <c r="W1671" s="49">
        <f t="shared" si="82"/>
        <v>2006</v>
      </c>
      <c r="X1671" s="49">
        <f t="shared" si="83"/>
        <v>15</v>
      </c>
      <c r="Y1671" s="49" t="str">
        <f t="shared" si="84"/>
        <v>P15</v>
      </c>
      <c r="Z1671" s="49" t="str">
        <f t="shared" si="85"/>
        <v>XIP15</v>
      </c>
    </row>
    <row r="1672" spans="6:26" x14ac:dyDescent="0.25">
      <c r="F1672" s="58" t="str">
        <f t="shared" si="77"/>
        <v>XIII AK 511</v>
      </c>
      <c r="G1672" s="5">
        <v>11</v>
      </c>
      <c r="H1672" s="60">
        <v>102017705</v>
      </c>
      <c r="I1672" s="81" t="s">
        <v>1891</v>
      </c>
      <c r="J1672" s="61" t="str">
        <f t="shared" si="78"/>
        <v>102017705/0054731148</v>
      </c>
      <c r="K1672" s="69" t="s">
        <v>1892</v>
      </c>
      <c r="L1672" s="86" t="s">
        <v>379</v>
      </c>
      <c r="M1672" s="72" t="s">
        <v>462</v>
      </c>
      <c r="N1672" s="5" t="s">
        <v>2787</v>
      </c>
      <c r="O1672" s="5" t="s">
        <v>2786</v>
      </c>
      <c r="P1672" s="5" t="str">
        <f t="shared" si="79"/>
        <v>LAK</v>
      </c>
      <c r="R1672" s="49" t="s">
        <v>2788</v>
      </c>
      <c r="S1672" s="49" t="s">
        <v>2789</v>
      </c>
      <c r="T1672" s="49" t="str">
        <f t="shared" si="80"/>
        <v>LISLAM</v>
      </c>
      <c r="U1672" s="49" t="str">
        <f t="shared" si="81"/>
        <v>XILISLAM</v>
      </c>
      <c r="V1672" s="90" t="s">
        <v>2951</v>
      </c>
      <c r="W1672" s="49">
        <f t="shared" si="82"/>
        <v>2005</v>
      </c>
      <c r="X1672" s="49">
        <f t="shared" si="83"/>
        <v>16</v>
      </c>
      <c r="Y1672" s="49" t="str">
        <f t="shared" si="84"/>
        <v>L16</v>
      </c>
      <c r="Z1672" s="49" t="str">
        <f t="shared" si="85"/>
        <v>XIL16</v>
      </c>
    </row>
    <row r="1673" spans="6:26" x14ac:dyDescent="0.25">
      <c r="F1673" s="58" t="str">
        <f t="shared" si="77"/>
        <v>XIII AK 512</v>
      </c>
      <c r="G1673" s="5">
        <v>12</v>
      </c>
      <c r="H1673" s="60">
        <v>102017706</v>
      </c>
      <c r="I1673" s="81" t="s">
        <v>1915</v>
      </c>
      <c r="J1673" s="61" t="str">
        <f t="shared" si="78"/>
        <v>102017706/0053193342</v>
      </c>
      <c r="K1673" s="69" t="s">
        <v>1916</v>
      </c>
      <c r="L1673" s="86" t="s">
        <v>381</v>
      </c>
      <c r="M1673" s="72" t="s">
        <v>462</v>
      </c>
      <c r="N1673" s="5" t="s">
        <v>2787</v>
      </c>
      <c r="O1673" s="5" t="s">
        <v>2786</v>
      </c>
      <c r="P1673" s="5" t="str">
        <f t="shared" si="79"/>
        <v>PAK</v>
      </c>
      <c r="R1673" s="49" t="s">
        <v>2788</v>
      </c>
      <c r="S1673" s="49" t="s">
        <v>2789</v>
      </c>
      <c r="T1673" s="49" t="str">
        <f t="shared" si="80"/>
        <v>PISLAM</v>
      </c>
      <c r="U1673" s="49" t="str">
        <f t="shared" si="81"/>
        <v>XIPISLAM</v>
      </c>
      <c r="V1673" s="90" t="s">
        <v>2952</v>
      </c>
      <c r="W1673" s="49">
        <f t="shared" si="82"/>
        <v>2005</v>
      </c>
      <c r="X1673" s="49">
        <f t="shared" si="83"/>
        <v>16</v>
      </c>
      <c r="Y1673" s="49" t="str">
        <f t="shared" si="84"/>
        <v>P16</v>
      </c>
      <c r="Z1673" s="49" t="str">
        <f t="shared" si="85"/>
        <v>XIP16</v>
      </c>
    </row>
    <row r="1674" spans="6:26" x14ac:dyDescent="0.25">
      <c r="F1674" s="58" t="str">
        <f t="shared" si="77"/>
        <v>XIII AK 513</v>
      </c>
      <c r="G1674" s="5">
        <v>13</v>
      </c>
      <c r="H1674" s="60">
        <v>102017708</v>
      </c>
      <c r="I1674" s="139" t="s">
        <v>2002</v>
      </c>
      <c r="J1674" s="61" t="str">
        <f t="shared" si="78"/>
        <v>102017708/0045013102</v>
      </c>
      <c r="K1674" s="69" t="s">
        <v>2003</v>
      </c>
      <c r="L1674" s="86" t="s">
        <v>379</v>
      </c>
      <c r="M1674" s="72" t="s">
        <v>462</v>
      </c>
      <c r="N1674" s="5" t="s">
        <v>2787</v>
      </c>
      <c r="O1674" s="5" t="s">
        <v>2786</v>
      </c>
      <c r="P1674" s="5" t="str">
        <f t="shared" si="79"/>
        <v>LAK</v>
      </c>
      <c r="R1674" s="49" t="s">
        <v>2788</v>
      </c>
      <c r="S1674" s="49" t="s">
        <v>2789</v>
      </c>
      <c r="T1674" s="49" t="str">
        <f t="shared" si="80"/>
        <v>LISLAM</v>
      </c>
      <c r="U1674" s="49" t="str">
        <f t="shared" si="81"/>
        <v>XILISLAM</v>
      </c>
      <c r="V1674" s="90" t="s">
        <v>2940</v>
      </c>
      <c r="W1674" s="49">
        <f t="shared" si="82"/>
        <v>2004</v>
      </c>
      <c r="X1674" s="49">
        <f t="shared" si="83"/>
        <v>17</v>
      </c>
      <c r="Y1674" s="49" t="str">
        <f t="shared" si="84"/>
        <v>L17</v>
      </c>
      <c r="Z1674" s="49" t="str">
        <f t="shared" si="85"/>
        <v>XIL17</v>
      </c>
    </row>
    <row r="1675" spans="6:26" x14ac:dyDescent="0.25">
      <c r="F1675" s="58" t="str">
        <f t="shared" si="77"/>
        <v>XIII AK 514</v>
      </c>
      <c r="G1675" s="5">
        <v>14</v>
      </c>
      <c r="H1675" s="60">
        <v>102017709</v>
      </c>
      <c r="I1675" s="81" t="s">
        <v>2040</v>
      </c>
      <c r="J1675" s="61" t="str">
        <f t="shared" si="78"/>
        <v>102017709/0046050090</v>
      </c>
      <c r="K1675" s="69" t="s">
        <v>2041</v>
      </c>
      <c r="L1675" s="86" t="s">
        <v>379</v>
      </c>
      <c r="M1675" s="72" t="s">
        <v>462</v>
      </c>
      <c r="N1675" s="5" t="s">
        <v>2787</v>
      </c>
      <c r="O1675" s="5" t="s">
        <v>2786</v>
      </c>
      <c r="P1675" s="5" t="str">
        <f t="shared" si="79"/>
        <v>LAK</v>
      </c>
      <c r="R1675" s="49" t="s">
        <v>2788</v>
      </c>
      <c r="S1675" s="49" t="s">
        <v>2789</v>
      </c>
      <c r="T1675" s="49" t="str">
        <f t="shared" si="80"/>
        <v>LISLAM</v>
      </c>
      <c r="U1675" s="49" t="str">
        <f t="shared" si="81"/>
        <v>XILISLAM</v>
      </c>
      <c r="V1675" s="90" t="s">
        <v>2953</v>
      </c>
      <c r="W1675" s="49">
        <f t="shared" si="82"/>
        <v>2004</v>
      </c>
      <c r="X1675" s="49">
        <f t="shared" si="83"/>
        <v>17</v>
      </c>
      <c r="Y1675" s="49" t="str">
        <f t="shared" si="84"/>
        <v>L17</v>
      </c>
      <c r="Z1675" s="49" t="str">
        <f t="shared" si="85"/>
        <v>XIL17</v>
      </c>
    </row>
    <row r="1676" spans="6:26" x14ac:dyDescent="0.25">
      <c r="F1676" s="58" t="str">
        <f t="shared" si="77"/>
        <v>XIII AK 515</v>
      </c>
      <c r="G1676" s="5">
        <v>15</v>
      </c>
      <c r="H1676" s="60">
        <v>102017710</v>
      </c>
      <c r="I1676" s="81" t="s">
        <v>2042</v>
      </c>
      <c r="J1676" s="61" t="str">
        <f t="shared" si="78"/>
        <v>102017710/0036481631</v>
      </c>
      <c r="K1676" s="69" t="s">
        <v>2043</v>
      </c>
      <c r="L1676" s="86" t="s">
        <v>381</v>
      </c>
      <c r="M1676" s="72" t="s">
        <v>462</v>
      </c>
      <c r="N1676" s="5" t="s">
        <v>2787</v>
      </c>
      <c r="O1676" s="5" t="s">
        <v>2786</v>
      </c>
      <c r="P1676" s="5" t="str">
        <f t="shared" si="79"/>
        <v>PAK</v>
      </c>
      <c r="R1676" s="49" t="s">
        <v>2788</v>
      </c>
      <c r="S1676" s="49" t="s">
        <v>2789</v>
      </c>
      <c r="T1676" s="49" t="str">
        <f t="shared" si="80"/>
        <v>PISLAM</v>
      </c>
      <c r="U1676" s="49" t="str">
        <f t="shared" si="81"/>
        <v>XIPISLAM</v>
      </c>
      <c r="V1676" s="90" t="s">
        <v>2954</v>
      </c>
      <c r="W1676" s="49">
        <f t="shared" si="82"/>
        <v>2003</v>
      </c>
      <c r="X1676" s="49">
        <f t="shared" si="83"/>
        <v>18</v>
      </c>
      <c r="Y1676" s="49" t="str">
        <f t="shared" si="84"/>
        <v>P18</v>
      </c>
      <c r="Z1676" s="49" t="str">
        <f t="shared" si="85"/>
        <v>XIP18</v>
      </c>
    </row>
    <row r="1677" spans="6:26" x14ac:dyDescent="0.25">
      <c r="F1677" s="58" t="str">
        <f t="shared" si="77"/>
        <v>XIII AK 516</v>
      </c>
      <c r="G1677" s="5">
        <v>16</v>
      </c>
      <c r="H1677" s="60">
        <v>102017711</v>
      </c>
      <c r="I1677" s="81" t="s">
        <v>2053</v>
      </c>
      <c r="J1677" s="61" t="str">
        <f t="shared" si="78"/>
        <v>102017711/0058353523</v>
      </c>
      <c r="K1677" s="69" t="s">
        <v>2054</v>
      </c>
      <c r="L1677" s="86" t="s">
        <v>379</v>
      </c>
      <c r="M1677" s="72" t="s">
        <v>462</v>
      </c>
      <c r="N1677" s="5" t="s">
        <v>2787</v>
      </c>
      <c r="O1677" s="5" t="s">
        <v>2786</v>
      </c>
      <c r="P1677" s="5" t="str">
        <f t="shared" si="79"/>
        <v>LAK</v>
      </c>
      <c r="R1677" s="49" t="s">
        <v>2788</v>
      </c>
      <c r="S1677" s="49" t="s">
        <v>2789</v>
      </c>
      <c r="T1677" s="49" t="str">
        <f t="shared" si="80"/>
        <v>LISLAM</v>
      </c>
      <c r="U1677" s="49" t="str">
        <f t="shared" si="81"/>
        <v>XILISLAM</v>
      </c>
      <c r="V1677" s="142" t="s">
        <v>2906</v>
      </c>
      <c r="W1677" s="49">
        <f t="shared" si="82"/>
        <v>2005</v>
      </c>
      <c r="X1677" s="49">
        <f t="shared" si="83"/>
        <v>16</v>
      </c>
      <c r="Y1677" s="49" t="str">
        <f t="shared" si="84"/>
        <v>L16</v>
      </c>
      <c r="Z1677" s="49" t="str">
        <f t="shared" si="85"/>
        <v>XIL16</v>
      </c>
    </row>
    <row r="1678" spans="6:26" x14ac:dyDescent="0.25">
      <c r="F1678" s="58" t="str">
        <f t="shared" si="77"/>
        <v>XIII AK 517</v>
      </c>
      <c r="G1678" s="5">
        <v>17</v>
      </c>
      <c r="H1678" s="60">
        <v>102017712</v>
      </c>
      <c r="I1678" s="81" t="s">
        <v>2109</v>
      </c>
      <c r="J1678" s="61" t="str">
        <f t="shared" si="78"/>
        <v>102017712/0057128515</v>
      </c>
      <c r="K1678" s="69" t="s">
        <v>2110</v>
      </c>
      <c r="L1678" s="86" t="s">
        <v>381</v>
      </c>
      <c r="M1678" s="72" t="s">
        <v>462</v>
      </c>
      <c r="N1678" s="5" t="s">
        <v>2787</v>
      </c>
      <c r="O1678" s="5" t="s">
        <v>2786</v>
      </c>
      <c r="P1678" s="5" t="str">
        <f t="shared" si="79"/>
        <v>PAK</v>
      </c>
      <c r="R1678" s="49" t="s">
        <v>2788</v>
      </c>
      <c r="S1678" s="49" t="s">
        <v>2789</v>
      </c>
      <c r="T1678" s="49" t="str">
        <f t="shared" si="80"/>
        <v>PISLAM</v>
      </c>
      <c r="U1678" s="49" t="str">
        <f t="shared" si="81"/>
        <v>XIPISLAM</v>
      </c>
      <c r="V1678" s="90" t="s">
        <v>2955</v>
      </c>
      <c r="W1678" s="49">
        <f t="shared" si="82"/>
        <v>2005</v>
      </c>
      <c r="X1678" s="49">
        <f t="shared" si="83"/>
        <v>16</v>
      </c>
      <c r="Y1678" s="49" t="str">
        <f t="shared" si="84"/>
        <v>P16</v>
      </c>
      <c r="Z1678" s="49" t="str">
        <f t="shared" si="85"/>
        <v>XIP16</v>
      </c>
    </row>
    <row r="1679" spans="6:26" x14ac:dyDescent="0.25">
      <c r="F1679" s="58" t="str">
        <f t="shared" si="77"/>
        <v>XIII AK 518</v>
      </c>
      <c r="G1679" s="5">
        <v>18</v>
      </c>
      <c r="H1679" s="60">
        <v>102017713</v>
      </c>
      <c r="I1679" s="81" t="s">
        <v>2113</v>
      </c>
      <c r="J1679" s="61" t="str">
        <f t="shared" si="78"/>
        <v>102017713/0059508916</v>
      </c>
      <c r="K1679" s="69" t="s">
        <v>2114</v>
      </c>
      <c r="L1679" s="86" t="s">
        <v>379</v>
      </c>
      <c r="M1679" s="72" t="s">
        <v>462</v>
      </c>
      <c r="N1679" s="5" t="s">
        <v>2787</v>
      </c>
      <c r="O1679" s="5" t="s">
        <v>2786</v>
      </c>
      <c r="P1679" s="5" t="str">
        <f t="shared" si="79"/>
        <v>LAK</v>
      </c>
      <c r="R1679" s="49" t="s">
        <v>2788</v>
      </c>
      <c r="S1679" s="49" t="s">
        <v>2789</v>
      </c>
      <c r="T1679" s="49" t="str">
        <f t="shared" si="80"/>
        <v>LISLAM</v>
      </c>
      <c r="U1679" s="49" t="str">
        <f t="shared" si="81"/>
        <v>XILISLAM</v>
      </c>
      <c r="V1679" s="90" t="s">
        <v>2956</v>
      </c>
      <c r="W1679" s="49">
        <f t="shared" si="82"/>
        <v>2005</v>
      </c>
      <c r="X1679" s="49">
        <f t="shared" si="83"/>
        <v>16</v>
      </c>
      <c r="Y1679" s="49" t="str">
        <f t="shared" si="84"/>
        <v>L16</v>
      </c>
      <c r="Z1679" s="49" t="str">
        <f t="shared" si="85"/>
        <v>XIL16</v>
      </c>
    </row>
    <row r="1680" spans="6:26" x14ac:dyDescent="0.25">
      <c r="F1680" s="58" t="str">
        <f t="shared" si="77"/>
        <v>XIII AK 519</v>
      </c>
      <c r="G1680" s="5">
        <v>19</v>
      </c>
      <c r="H1680" s="60">
        <v>102017715</v>
      </c>
      <c r="I1680" s="81" t="s">
        <v>2143</v>
      </c>
      <c r="J1680" s="61" t="str">
        <f t="shared" si="78"/>
        <v>102017715/0049642383</v>
      </c>
      <c r="K1680" s="69" t="s">
        <v>2144</v>
      </c>
      <c r="L1680" s="86" t="s">
        <v>379</v>
      </c>
      <c r="M1680" s="72" t="s">
        <v>462</v>
      </c>
      <c r="N1680" s="5" t="s">
        <v>2787</v>
      </c>
      <c r="O1680" s="5" t="s">
        <v>2786</v>
      </c>
      <c r="P1680" s="5" t="str">
        <f t="shared" si="79"/>
        <v>LAK</v>
      </c>
      <c r="R1680" s="49" t="s">
        <v>2788</v>
      </c>
      <c r="S1680" s="49" t="s">
        <v>2789</v>
      </c>
      <c r="T1680" s="49" t="str">
        <f t="shared" si="80"/>
        <v>LISLAM</v>
      </c>
      <c r="U1680" s="49" t="str">
        <f t="shared" si="81"/>
        <v>XILISLAM</v>
      </c>
      <c r="V1680" s="90" t="s">
        <v>2957</v>
      </c>
      <c r="W1680" s="49">
        <f t="shared" si="82"/>
        <v>2004</v>
      </c>
      <c r="X1680" s="49">
        <f t="shared" si="83"/>
        <v>17</v>
      </c>
      <c r="Y1680" s="49" t="str">
        <f t="shared" si="84"/>
        <v>L17</v>
      </c>
      <c r="Z1680" s="49" t="str">
        <f t="shared" si="85"/>
        <v>XIL17</v>
      </c>
    </row>
    <row r="1681" spans="6:26" x14ac:dyDescent="0.25">
      <c r="F1681" s="58" t="str">
        <f t="shared" si="77"/>
        <v>XIII AK 520</v>
      </c>
      <c r="G1681" s="5">
        <v>20</v>
      </c>
      <c r="H1681" s="60">
        <v>102017716</v>
      </c>
      <c r="I1681" s="81" t="s">
        <v>2171</v>
      </c>
      <c r="J1681" s="61" t="str">
        <f t="shared" si="78"/>
        <v>102017716/0059782409</v>
      </c>
      <c r="K1681" s="69" t="s">
        <v>2172</v>
      </c>
      <c r="L1681" s="86" t="s">
        <v>381</v>
      </c>
      <c r="M1681" s="72" t="s">
        <v>462</v>
      </c>
      <c r="N1681" s="5" t="s">
        <v>2787</v>
      </c>
      <c r="O1681" s="5" t="s">
        <v>2786</v>
      </c>
      <c r="P1681" s="5" t="str">
        <f t="shared" si="79"/>
        <v>PAK</v>
      </c>
      <c r="R1681" s="49" t="s">
        <v>2788</v>
      </c>
      <c r="S1681" s="49" t="s">
        <v>2789</v>
      </c>
      <c r="T1681" s="49" t="str">
        <f t="shared" si="80"/>
        <v>PISLAM</v>
      </c>
      <c r="U1681" s="49" t="str">
        <f t="shared" si="81"/>
        <v>XIPISLAM</v>
      </c>
      <c r="V1681" s="90" t="s">
        <v>2879</v>
      </c>
      <c r="W1681" s="49">
        <f t="shared" si="82"/>
        <v>2005</v>
      </c>
      <c r="X1681" s="49">
        <f t="shared" si="83"/>
        <v>16</v>
      </c>
      <c r="Y1681" s="49" t="str">
        <f t="shared" si="84"/>
        <v>P16</v>
      </c>
      <c r="Z1681" s="49" t="str">
        <f t="shared" si="85"/>
        <v>XIP16</v>
      </c>
    </row>
    <row r="1682" spans="6:26" ht="30" x14ac:dyDescent="0.25">
      <c r="F1682" s="58" t="str">
        <f t="shared" si="77"/>
        <v>XIII AK 521</v>
      </c>
      <c r="G1682" s="5">
        <v>21</v>
      </c>
      <c r="H1682" s="60">
        <v>102017717</v>
      </c>
      <c r="I1682" s="84" t="s">
        <v>2179</v>
      </c>
      <c r="J1682" s="61" t="str">
        <f t="shared" si="78"/>
        <v>102017717/3041520671</v>
      </c>
      <c r="K1682" s="69" t="s">
        <v>2180</v>
      </c>
      <c r="L1682" s="86" t="s">
        <v>381</v>
      </c>
      <c r="M1682" s="72" t="s">
        <v>462</v>
      </c>
      <c r="N1682" s="5" t="s">
        <v>2787</v>
      </c>
      <c r="O1682" s="5" t="s">
        <v>2786</v>
      </c>
      <c r="P1682" s="5" t="str">
        <f t="shared" si="79"/>
        <v>PAK</v>
      </c>
      <c r="R1682" s="49" t="s">
        <v>2788</v>
      </c>
      <c r="S1682" s="49" t="s">
        <v>2789</v>
      </c>
      <c r="T1682" s="49" t="str">
        <f t="shared" si="80"/>
        <v>PISLAM</v>
      </c>
      <c r="U1682" s="49" t="str">
        <f t="shared" si="81"/>
        <v>XIPISLAM</v>
      </c>
      <c r="V1682" s="90" t="s">
        <v>2958</v>
      </c>
      <c r="W1682" s="49">
        <f t="shared" si="82"/>
        <v>2004</v>
      </c>
      <c r="X1682" s="49">
        <f t="shared" si="83"/>
        <v>17</v>
      </c>
      <c r="Y1682" s="49" t="str">
        <f t="shared" si="84"/>
        <v>P17</v>
      </c>
      <c r="Z1682" s="49" t="str">
        <f t="shared" si="85"/>
        <v>XIP17</v>
      </c>
    </row>
    <row r="1683" spans="6:26" ht="30" x14ac:dyDescent="0.25">
      <c r="F1683" s="58" t="str">
        <f t="shared" si="77"/>
        <v>XIII AK 522</v>
      </c>
      <c r="G1683" s="5">
        <v>22</v>
      </c>
      <c r="H1683" s="60">
        <v>102017718</v>
      </c>
      <c r="I1683" s="84" t="s">
        <v>2205</v>
      </c>
      <c r="J1683" s="61" t="str">
        <f t="shared" si="78"/>
        <v>102017718/0056331455</v>
      </c>
      <c r="K1683" s="69" t="s">
        <v>2206</v>
      </c>
      <c r="L1683" s="86" t="s">
        <v>381</v>
      </c>
      <c r="M1683" s="72" t="s">
        <v>462</v>
      </c>
      <c r="N1683" s="5" t="s">
        <v>2787</v>
      </c>
      <c r="O1683" s="5" t="s">
        <v>2786</v>
      </c>
      <c r="P1683" s="5" t="str">
        <f t="shared" si="79"/>
        <v>PAK</v>
      </c>
      <c r="R1683" s="49" t="s">
        <v>2788</v>
      </c>
      <c r="S1683" s="49" t="s">
        <v>2789</v>
      </c>
      <c r="T1683" s="49" t="str">
        <f t="shared" si="80"/>
        <v>PISLAM</v>
      </c>
      <c r="U1683" s="49" t="str">
        <f t="shared" si="81"/>
        <v>XIPISLAM</v>
      </c>
      <c r="V1683" s="90" t="s">
        <v>2814</v>
      </c>
      <c r="W1683" s="49">
        <f t="shared" si="82"/>
        <v>2005</v>
      </c>
      <c r="X1683" s="49">
        <f t="shared" si="83"/>
        <v>16</v>
      </c>
      <c r="Y1683" s="49" t="str">
        <f t="shared" si="84"/>
        <v>P16</v>
      </c>
      <c r="Z1683" s="49" t="str">
        <f t="shared" si="85"/>
        <v>XIP16</v>
      </c>
    </row>
    <row r="1684" spans="6:26" ht="30" x14ac:dyDescent="0.25">
      <c r="F1684" s="58" t="str">
        <f t="shared" si="77"/>
        <v>XIII AK 523</v>
      </c>
      <c r="G1684" s="5">
        <v>23</v>
      </c>
      <c r="H1684" s="60">
        <v>102017719</v>
      </c>
      <c r="I1684" s="84" t="s">
        <v>2223</v>
      </c>
      <c r="J1684" s="61" t="str">
        <f t="shared" si="78"/>
        <v>102017719/0041529800</v>
      </c>
      <c r="K1684" s="69" t="s">
        <v>2224</v>
      </c>
      <c r="L1684" s="86" t="s">
        <v>381</v>
      </c>
      <c r="M1684" s="72" t="s">
        <v>462</v>
      </c>
      <c r="N1684" s="5" t="s">
        <v>2787</v>
      </c>
      <c r="O1684" s="5" t="s">
        <v>2786</v>
      </c>
      <c r="P1684" s="5" t="str">
        <f t="shared" si="79"/>
        <v>PAK</v>
      </c>
      <c r="R1684" s="49" t="s">
        <v>2788</v>
      </c>
      <c r="S1684" s="49" t="s">
        <v>2789</v>
      </c>
      <c r="T1684" s="49" t="str">
        <f t="shared" si="80"/>
        <v>PISLAM</v>
      </c>
      <c r="U1684" s="49" t="str">
        <f t="shared" si="81"/>
        <v>XIPISLAM</v>
      </c>
      <c r="V1684" s="90" t="s">
        <v>2959</v>
      </c>
      <c r="W1684" s="49">
        <f t="shared" si="82"/>
        <v>2004</v>
      </c>
      <c r="X1684" s="49">
        <f t="shared" si="83"/>
        <v>17</v>
      </c>
      <c r="Y1684" s="49" t="str">
        <f t="shared" si="84"/>
        <v>P17</v>
      </c>
      <c r="Z1684" s="49" t="str">
        <f t="shared" si="85"/>
        <v>XIP17</v>
      </c>
    </row>
    <row r="1685" spans="6:26" ht="30" x14ac:dyDescent="0.25">
      <c r="F1685" s="58" t="str">
        <f t="shared" si="77"/>
        <v>XIII AK 524</v>
      </c>
      <c r="G1685" s="5">
        <v>24</v>
      </c>
      <c r="H1685" s="60">
        <v>102017721</v>
      </c>
      <c r="I1685" s="84" t="s">
        <v>2241</v>
      </c>
      <c r="J1685" s="61" t="str">
        <f t="shared" si="78"/>
        <v>102017721/0045104748</v>
      </c>
      <c r="K1685" s="69" t="s">
        <v>2242</v>
      </c>
      <c r="L1685" s="97" t="s">
        <v>381</v>
      </c>
      <c r="M1685" s="72" t="s">
        <v>462</v>
      </c>
      <c r="N1685" s="5" t="s">
        <v>2787</v>
      </c>
      <c r="O1685" s="5" t="s">
        <v>2786</v>
      </c>
      <c r="P1685" s="5" t="str">
        <f t="shared" si="79"/>
        <v>PAK</v>
      </c>
      <c r="R1685" s="49" t="s">
        <v>2788</v>
      </c>
      <c r="S1685" s="49" t="s">
        <v>2789</v>
      </c>
      <c r="T1685" s="49" t="str">
        <f t="shared" si="80"/>
        <v>PISLAM</v>
      </c>
      <c r="U1685" s="49" t="str">
        <f t="shared" si="81"/>
        <v>XIPISLAM</v>
      </c>
      <c r="V1685" s="90" t="s">
        <v>2867</v>
      </c>
      <c r="W1685" s="49">
        <f t="shared" si="82"/>
        <v>2004</v>
      </c>
      <c r="X1685" s="49">
        <f t="shared" si="83"/>
        <v>17</v>
      </c>
      <c r="Y1685" s="49" t="str">
        <f t="shared" si="84"/>
        <v>P17</v>
      </c>
      <c r="Z1685" s="49" t="str">
        <f t="shared" si="85"/>
        <v>XIP17</v>
      </c>
    </row>
    <row r="1686" spans="6:26" ht="30" x14ac:dyDescent="0.25">
      <c r="F1686" s="58" t="str">
        <f t="shared" si="77"/>
        <v>XIII AK 525</v>
      </c>
      <c r="G1686" s="5">
        <v>25</v>
      </c>
      <c r="H1686" s="60">
        <v>102017722</v>
      </c>
      <c r="I1686" s="84" t="s">
        <v>2248</v>
      </c>
      <c r="J1686" s="61" t="str">
        <f t="shared" si="78"/>
        <v>102017722/3056156596</v>
      </c>
      <c r="K1686" s="69" t="s">
        <v>2249</v>
      </c>
      <c r="L1686" s="86" t="s">
        <v>381</v>
      </c>
      <c r="M1686" s="72" t="s">
        <v>462</v>
      </c>
      <c r="N1686" s="5" t="s">
        <v>2787</v>
      </c>
      <c r="O1686" s="5" t="s">
        <v>2786</v>
      </c>
      <c r="P1686" s="5" t="str">
        <f t="shared" si="79"/>
        <v>PAK</v>
      </c>
      <c r="R1686" s="49" t="s">
        <v>2788</v>
      </c>
      <c r="S1686" s="49" t="s">
        <v>2789</v>
      </c>
      <c r="T1686" s="49" t="str">
        <f t="shared" si="80"/>
        <v>PISLAM</v>
      </c>
      <c r="U1686" s="49" t="str">
        <f t="shared" si="81"/>
        <v>XIPISLAM</v>
      </c>
      <c r="V1686" s="90" t="s">
        <v>2960</v>
      </c>
      <c r="W1686" s="49">
        <f t="shared" si="82"/>
        <v>2005</v>
      </c>
      <c r="X1686" s="49">
        <f t="shared" si="83"/>
        <v>16</v>
      </c>
      <c r="Y1686" s="49" t="str">
        <f t="shared" si="84"/>
        <v>P16</v>
      </c>
      <c r="Z1686" s="49" t="str">
        <f t="shared" si="85"/>
        <v>XIP16</v>
      </c>
    </row>
    <row r="1687" spans="6:26" x14ac:dyDescent="0.25">
      <c r="F1687" s="58" t="str">
        <f t="shared" si="77"/>
        <v>XIII AK 526</v>
      </c>
      <c r="G1687" s="5">
        <v>26</v>
      </c>
      <c r="H1687" s="60">
        <v>102017723</v>
      </c>
      <c r="I1687" s="81" t="s">
        <v>2284</v>
      </c>
      <c r="J1687" s="61" t="str">
        <f t="shared" si="78"/>
        <v>102017723/0005007827</v>
      </c>
      <c r="K1687" s="69" t="s">
        <v>2285</v>
      </c>
      <c r="L1687" s="86" t="s">
        <v>381</v>
      </c>
      <c r="M1687" s="72" t="s">
        <v>462</v>
      </c>
      <c r="N1687" s="5" t="s">
        <v>2787</v>
      </c>
      <c r="O1687" s="5" t="s">
        <v>2786</v>
      </c>
      <c r="P1687" s="5" t="str">
        <f t="shared" si="79"/>
        <v>PAK</v>
      </c>
      <c r="R1687" s="49" t="s">
        <v>2788</v>
      </c>
      <c r="S1687" s="49" t="s">
        <v>2789</v>
      </c>
      <c r="T1687" s="49" t="str">
        <f t="shared" si="80"/>
        <v>PISLAM</v>
      </c>
      <c r="U1687" s="49" t="str">
        <f t="shared" si="81"/>
        <v>XIPISLAM</v>
      </c>
      <c r="V1687" s="90" t="s">
        <v>2961</v>
      </c>
      <c r="W1687" s="49">
        <f t="shared" si="82"/>
        <v>2004</v>
      </c>
      <c r="X1687" s="49">
        <f t="shared" si="83"/>
        <v>17</v>
      </c>
      <c r="Y1687" s="49" t="str">
        <f t="shared" si="84"/>
        <v>P17</v>
      </c>
      <c r="Z1687" s="49" t="str">
        <f t="shared" si="85"/>
        <v>XIP17</v>
      </c>
    </row>
    <row r="1688" spans="6:26" x14ac:dyDescent="0.25">
      <c r="F1688" s="58" t="str">
        <f t="shared" si="77"/>
        <v>XIII AK 527</v>
      </c>
      <c r="G1688" s="5">
        <v>27</v>
      </c>
      <c r="H1688" s="60">
        <v>102017724</v>
      </c>
      <c r="I1688" s="81" t="s">
        <v>2286</v>
      </c>
      <c r="J1688" s="61" t="str">
        <f t="shared" si="78"/>
        <v>102017724/0042660113</v>
      </c>
      <c r="K1688" s="69" t="s">
        <v>2287</v>
      </c>
      <c r="L1688" s="86" t="s">
        <v>381</v>
      </c>
      <c r="M1688" s="72" t="s">
        <v>462</v>
      </c>
      <c r="N1688" s="5" t="s">
        <v>2787</v>
      </c>
      <c r="O1688" s="5" t="s">
        <v>2786</v>
      </c>
      <c r="P1688" s="5" t="str">
        <f t="shared" si="79"/>
        <v>PAK</v>
      </c>
      <c r="R1688" s="49" t="s">
        <v>2788</v>
      </c>
      <c r="S1688" s="49" t="s">
        <v>2789</v>
      </c>
      <c r="T1688" s="49" t="str">
        <f t="shared" si="80"/>
        <v>PISLAM</v>
      </c>
      <c r="U1688" s="49" t="str">
        <f t="shared" si="81"/>
        <v>XIPISLAM</v>
      </c>
      <c r="V1688" s="90" t="s">
        <v>2878</v>
      </c>
      <c r="W1688" s="49">
        <f t="shared" si="82"/>
        <v>2004</v>
      </c>
      <c r="X1688" s="49">
        <f t="shared" si="83"/>
        <v>17</v>
      </c>
      <c r="Y1688" s="49" t="str">
        <f t="shared" si="84"/>
        <v>P17</v>
      </c>
      <c r="Z1688" s="49" t="str">
        <f t="shared" si="85"/>
        <v>XIP17</v>
      </c>
    </row>
    <row r="1689" spans="6:26" ht="30" x14ac:dyDescent="0.25">
      <c r="F1689" s="58" t="str">
        <f t="shared" si="77"/>
        <v>XIII AK 528</v>
      </c>
      <c r="G1689" s="5">
        <v>28</v>
      </c>
      <c r="H1689" s="60">
        <v>102017725</v>
      </c>
      <c r="I1689" s="84" t="s">
        <v>2296</v>
      </c>
      <c r="J1689" s="61" t="str">
        <f t="shared" si="78"/>
        <v>102017725/0045992151</v>
      </c>
      <c r="K1689" s="69" t="s">
        <v>2297</v>
      </c>
      <c r="L1689" s="86" t="s">
        <v>379</v>
      </c>
      <c r="M1689" s="72" t="s">
        <v>462</v>
      </c>
      <c r="N1689" s="5" t="s">
        <v>2787</v>
      </c>
      <c r="O1689" s="5" t="s">
        <v>2786</v>
      </c>
      <c r="P1689" s="5" t="str">
        <f t="shared" si="79"/>
        <v>LAK</v>
      </c>
      <c r="R1689" s="49" t="s">
        <v>2788</v>
      </c>
      <c r="S1689" s="49" t="s">
        <v>2789</v>
      </c>
      <c r="T1689" s="49" t="str">
        <f t="shared" si="80"/>
        <v>LISLAM</v>
      </c>
      <c r="U1689" s="49" t="str">
        <f t="shared" si="81"/>
        <v>XILISLAM</v>
      </c>
      <c r="V1689" s="90" t="s">
        <v>2962</v>
      </c>
      <c r="W1689" s="49">
        <f t="shared" si="82"/>
        <v>2004</v>
      </c>
      <c r="X1689" s="49">
        <f t="shared" si="83"/>
        <v>17</v>
      </c>
      <c r="Y1689" s="49" t="str">
        <f t="shared" si="84"/>
        <v>L17</v>
      </c>
      <c r="Z1689" s="49" t="str">
        <f t="shared" si="85"/>
        <v>XIL17</v>
      </c>
    </row>
    <row r="1690" spans="6:26" ht="30" x14ac:dyDescent="0.25">
      <c r="F1690" s="58" t="str">
        <f t="shared" si="77"/>
        <v>XIII AK 529</v>
      </c>
      <c r="G1690" s="5">
        <v>29</v>
      </c>
      <c r="H1690" s="60">
        <v>102017946</v>
      </c>
      <c r="I1690" s="141" t="s">
        <v>2304</v>
      </c>
      <c r="J1690" s="61" t="str">
        <f t="shared" si="78"/>
        <v>102017946/0052099500</v>
      </c>
      <c r="K1690" s="69" t="s">
        <v>2305</v>
      </c>
      <c r="L1690" s="86" t="s">
        <v>379</v>
      </c>
      <c r="M1690" s="72" t="s">
        <v>462</v>
      </c>
      <c r="N1690" s="5" t="s">
        <v>2787</v>
      </c>
      <c r="O1690" s="5" t="s">
        <v>2786</v>
      </c>
      <c r="P1690" s="5" t="str">
        <f>L1690&amp;O1690</f>
        <v>LAK</v>
      </c>
      <c r="R1690" s="49" t="s">
        <v>2788</v>
      </c>
      <c r="S1690" s="49" t="s">
        <v>2789</v>
      </c>
      <c r="T1690" s="49" t="str">
        <f t="shared" si="80"/>
        <v>LISLAM</v>
      </c>
      <c r="U1690" s="49" t="str">
        <f t="shared" si="81"/>
        <v>XILISLAM</v>
      </c>
      <c r="V1690" s="89">
        <v>38390</v>
      </c>
      <c r="W1690" s="49">
        <f t="shared" si="82"/>
        <v>2005</v>
      </c>
      <c r="X1690" s="49">
        <f t="shared" si="83"/>
        <v>16</v>
      </c>
      <c r="Y1690" s="49" t="str">
        <f t="shared" si="84"/>
        <v>L16</v>
      </c>
      <c r="Z1690" s="49" t="str">
        <f t="shared" si="85"/>
        <v>XIL16</v>
      </c>
    </row>
    <row r="1691" spans="6:26" x14ac:dyDescent="0.25">
      <c r="F1691" s="58" t="str">
        <f t="shared" si="77"/>
        <v>XIII AK 530</v>
      </c>
      <c r="G1691" s="5">
        <v>30</v>
      </c>
      <c r="H1691" s="60">
        <v>102017726</v>
      </c>
      <c r="I1691" s="81" t="s">
        <v>2326</v>
      </c>
      <c r="J1691" s="61" t="str">
        <f t="shared" si="78"/>
        <v>102017726/0053599131</v>
      </c>
      <c r="K1691" s="69" t="s">
        <v>2327</v>
      </c>
      <c r="L1691" s="86" t="s">
        <v>381</v>
      </c>
      <c r="M1691" s="72" t="s">
        <v>462</v>
      </c>
      <c r="N1691" s="5" t="s">
        <v>2787</v>
      </c>
      <c r="O1691" s="5" t="s">
        <v>2786</v>
      </c>
      <c r="P1691" s="5" t="str">
        <f>L1691&amp;O1691</f>
        <v>PAK</v>
      </c>
      <c r="R1691" s="49" t="s">
        <v>2788</v>
      </c>
      <c r="S1691" s="49" t="s">
        <v>2789</v>
      </c>
      <c r="T1691" s="49" t="str">
        <f t="shared" si="80"/>
        <v>PISLAM</v>
      </c>
      <c r="U1691" s="49" t="str">
        <f t="shared" si="81"/>
        <v>XIPISLAM</v>
      </c>
      <c r="V1691" s="90" t="s">
        <v>2963</v>
      </c>
      <c r="W1691" s="49">
        <f t="shared" si="82"/>
        <v>2005</v>
      </c>
      <c r="X1691" s="49">
        <f t="shared" si="83"/>
        <v>16</v>
      </c>
      <c r="Y1691" s="49" t="str">
        <f t="shared" si="84"/>
        <v>P16</v>
      </c>
      <c r="Z1691" s="49" t="str">
        <f t="shared" si="85"/>
        <v>XIP16</v>
      </c>
    </row>
    <row r="1692" spans="6:26" x14ac:dyDescent="0.25">
      <c r="F1692" s="58" t="str">
        <f t="shared" si="77"/>
        <v>XIII AK 531</v>
      </c>
      <c r="G1692" s="5">
        <v>31</v>
      </c>
      <c r="H1692" s="60">
        <v>102017727</v>
      </c>
      <c r="I1692" s="81" t="s">
        <v>2328</v>
      </c>
      <c r="J1692" s="61" t="str">
        <f t="shared" si="78"/>
        <v>102017727/0047293151</v>
      </c>
      <c r="K1692" s="69" t="s">
        <v>2329</v>
      </c>
      <c r="L1692" s="86" t="s">
        <v>381</v>
      </c>
      <c r="M1692" s="72" t="s">
        <v>462</v>
      </c>
      <c r="N1692" s="5" t="s">
        <v>2787</v>
      </c>
      <c r="O1692" s="5" t="s">
        <v>2786</v>
      </c>
      <c r="P1692" s="5" t="str">
        <f t="shared" si="79"/>
        <v>PAK</v>
      </c>
      <c r="R1692" s="49" t="s">
        <v>2788</v>
      </c>
      <c r="S1692" s="49" t="s">
        <v>2789</v>
      </c>
      <c r="T1692" s="49" t="str">
        <f t="shared" si="80"/>
        <v>PISLAM</v>
      </c>
      <c r="U1692" s="49" t="str">
        <f t="shared" si="81"/>
        <v>XIPISLAM</v>
      </c>
      <c r="V1692" s="90" t="s">
        <v>2964</v>
      </c>
      <c r="W1692" s="49">
        <f t="shared" si="82"/>
        <v>2004</v>
      </c>
      <c r="X1692" s="49">
        <f t="shared" si="83"/>
        <v>17</v>
      </c>
      <c r="Y1692" s="49" t="str">
        <f t="shared" si="84"/>
        <v>P17</v>
      </c>
      <c r="Z1692" s="49" t="str">
        <f t="shared" si="85"/>
        <v>XIP17</v>
      </c>
    </row>
    <row r="1693" spans="6:26" x14ac:dyDescent="0.25">
      <c r="F1693" s="58" t="str">
        <f t="shared" si="77"/>
        <v>XIII AK 532</v>
      </c>
      <c r="G1693" s="5">
        <v>32</v>
      </c>
      <c r="H1693" s="60">
        <v>102017728</v>
      </c>
      <c r="I1693" s="81" t="s">
        <v>2332</v>
      </c>
      <c r="J1693" s="61" t="str">
        <f t="shared" si="78"/>
        <v>102017728/0057842636</v>
      </c>
      <c r="K1693" s="69" t="s">
        <v>2333</v>
      </c>
      <c r="L1693" s="86" t="s">
        <v>381</v>
      </c>
      <c r="M1693" s="72" t="s">
        <v>462</v>
      </c>
      <c r="N1693" s="5" t="s">
        <v>2787</v>
      </c>
      <c r="O1693" s="5" t="s">
        <v>2786</v>
      </c>
      <c r="P1693" s="5" t="str">
        <f t="shared" si="79"/>
        <v>PAK</v>
      </c>
      <c r="R1693" s="49" t="s">
        <v>2788</v>
      </c>
      <c r="S1693" s="49" t="s">
        <v>2789</v>
      </c>
      <c r="T1693" s="49" t="str">
        <f t="shared" si="80"/>
        <v>PISLAM</v>
      </c>
      <c r="U1693" s="49" t="str">
        <f t="shared" si="81"/>
        <v>XIPISLAM</v>
      </c>
      <c r="V1693" s="90" t="s">
        <v>2925</v>
      </c>
      <c r="W1693" s="49">
        <f t="shared" si="82"/>
        <v>2005</v>
      </c>
      <c r="X1693" s="49">
        <f t="shared" si="83"/>
        <v>16</v>
      </c>
      <c r="Y1693" s="49" t="str">
        <f t="shared" si="84"/>
        <v>P16</v>
      </c>
      <c r="Z1693" s="49" t="str">
        <f t="shared" si="85"/>
        <v>XIP16</v>
      </c>
    </row>
    <row r="1694" spans="6:26" x14ac:dyDescent="0.25">
      <c r="F1694" s="58" t="str">
        <f t="shared" si="77"/>
        <v>XIII AK 533</v>
      </c>
      <c r="G1694" s="5">
        <v>33</v>
      </c>
      <c r="H1694" s="60">
        <v>102017729</v>
      </c>
      <c r="I1694" s="81" t="s">
        <v>2350</v>
      </c>
      <c r="J1694" s="61" t="str">
        <f t="shared" si="78"/>
        <v>102017729/0052231885</v>
      </c>
      <c r="K1694" s="69" t="s">
        <v>2351</v>
      </c>
      <c r="L1694" s="86" t="s">
        <v>381</v>
      </c>
      <c r="M1694" s="72" t="s">
        <v>462</v>
      </c>
      <c r="N1694" s="5" t="s">
        <v>2787</v>
      </c>
      <c r="O1694" s="5" t="s">
        <v>2786</v>
      </c>
      <c r="P1694" s="5" t="str">
        <f t="shared" si="79"/>
        <v>PAK</v>
      </c>
      <c r="R1694" s="49" t="s">
        <v>2788</v>
      </c>
      <c r="S1694" s="49" t="s">
        <v>2789</v>
      </c>
      <c r="T1694" s="49" t="str">
        <f t="shared" si="80"/>
        <v>PISLAM</v>
      </c>
      <c r="U1694" s="49" t="str">
        <f t="shared" si="81"/>
        <v>XIPISLAM</v>
      </c>
      <c r="V1694" s="90" t="s">
        <v>2965</v>
      </c>
      <c r="W1694" s="49">
        <f t="shared" si="82"/>
        <v>2005</v>
      </c>
      <c r="X1694" s="49">
        <f t="shared" si="83"/>
        <v>16</v>
      </c>
      <c r="Y1694" s="49" t="str">
        <f t="shared" si="84"/>
        <v>P16</v>
      </c>
      <c r="Z1694" s="49" t="str">
        <f t="shared" si="85"/>
        <v>XIP16</v>
      </c>
    </row>
    <row r="1695" spans="6:26" x14ac:dyDescent="0.25">
      <c r="F1695" s="58" t="str">
        <f t="shared" si="77"/>
        <v>XIII AK 61</v>
      </c>
      <c r="G1695" s="5">
        <v>1</v>
      </c>
      <c r="H1695" s="60">
        <v>102017730</v>
      </c>
      <c r="I1695" s="81" t="s">
        <v>1605</v>
      </c>
      <c r="J1695" s="61" t="str">
        <f t="shared" si="78"/>
        <v>102017730/0046107211</v>
      </c>
      <c r="K1695" s="69" t="s">
        <v>1606</v>
      </c>
      <c r="L1695" s="86" t="s">
        <v>379</v>
      </c>
      <c r="M1695" s="72" t="s">
        <v>452</v>
      </c>
      <c r="N1695" s="5" t="s">
        <v>2787</v>
      </c>
      <c r="O1695" s="5" t="s">
        <v>2786</v>
      </c>
      <c r="P1695" s="5" t="str">
        <f t="shared" si="79"/>
        <v>LAK</v>
      </c>
      <c r="R1695" s="49" t="s">
        <v>2788</v>
      </c>
      <c r="S1695" s="49" t="s">
        <v>2789</v>
      </c>
      <c r="T1695" s="49" t="str">
        <f t="shared" si="80"/>
        <v>LISLAM</v>
      </c>
      <c r="U1695" s="49" t="str">
        <f t="shared" si="81"/>
        <v>XILISLAM</v>
      </c>
      <c r="V1695" s="90" t="s">
        <v>2938</v>
      </c>
      <c r="W1695" s="49">
        <f t="shared" si="82"/>
        <v>2004</v>
      </c>
      <c r="X1695" s="49">
        <f t="shared" si="83"/>
        <v>17</v>
      </c>
      <c r="Y1695" s="49" t="str">
        <f t="shared" si="84"/>
        <v>L17</v>
      </c>
      <c r="Z1695" s="49" t="str">
        <f t="shared" si="85"/>
        <v>XIL17</v>
      </c>
    </row>
    <row r="1696" spans="6:26" x14ac:dyDescent="0.25">
      <c r="F1696" s="58" t="str">
        <f t="shared" si="77"/>
        <v>XIII AK 62</v>
      </c>
      <c r="G1696" s="5">
        <v>2</v>
      </c>
      <c r="H1696" s="60">
        <v>102017731</v>
      </c>
      <c r="I1696" s="81" t="s">
        <v>1631</v>
      </c>
      <c r="J1696" s="61" t="str">
        <f t="shared" si="78"/>
        <v>102017731/0049752338</v>
      </c>
      <c r="K1696" s="69" t="s">
        <v>1632</v>
      </c>
      <c r="L1696" s="86" t="s">
        <v>379</v>
      </c>
      <c r="M1696" s="72" t="s">
        <v>452</v>
      </c>
      <c r="N1696" s="5" t="s">
        <v>2787</v>
      </c>
      <c r="O1696" s="5" t="s">
        <v>2786</v>
      </c>
      <c r="P1696" s="5" t="str">
        <f t="shared" si="79"/>
        <v>LAK</v>
      </c>
      <c r="R1696" s="49" t="s">
        <v>2788</v>
      </c>
      <c r="S1696" s="49" t="s">
        <v>2789</v>
      </c>
      <c r="T1696" s="49" t="str">
        <f t="shared" si="80"/>
        <v>LISLAM</v>
      </c>
      <c r="U1696" s="49" t="str">
        <f t="shared" si="81"/>
        <v>XILISLAM</v>
      </c>
      <c r="V1696" s="90" t="s">
        <v>2966</v>
      </c>
      <c r="W1696" s="49">
        <f t="shared" si="82"/>
        <v>2004</v>
      </c>
      <c r="X1696" s="49">
        <f t="shared" si="83"/>
        <v>17</v>
      </c>
      <c r="Y1696" s="49" t="str">
        <f t="shared" si="84"/>
        <v>L17</v>
      </c>
      <c r="Z1696" s="49" t="str">
        <f t="shared" si="85"/>
        <v>XIL17</v>
      </c>
    </row>
    <row r="1697" spans="6:26" x14ac:dyDescent="0.25">
      <c r="F1697" s="58" t="str">
        <f t="shared" si="77"/>
        <v>XIII AK 63</v>
      </c>
      <c r="G1697" s="5">
        <v>3</v>
      </c>
      <c r="H1697" s="60">
        <v>102017732</v>
      </c>
      <c r="I1697" s="81" t="s">
        <v>1653</v>
      </c>
      <c r="J1697" s="61" t="str">
        <f t="shared" si="78"/>
        <v>102017732/0054963362</v>
      </c>
      <c r="K1697" s="69" t="s">
        <v>1654</v>
      </c>
      <c r="L1697" s="86" t="s">
        <v>381</v>
      </c>
      <c r="M1697" s="72" t="s">
        <v>452</v>
      </c>
      <c r="N1697" s="5" t="s">
        <v>2787</v>
      </c>
      <c r="O1697" s="5" t="s">
        <v>2786</v>
      </c>
      <c r="P1697" s="5" t="str">
        <f t="shared" si="79"/>
        <v>PAK</v>
      </c>
      <c r="R1697" s="49" t="s">
        <v>2788</v>
      </c>
      <c r="S1697" s="49" t="s">
        <v>2789</v>
      </c>
      <c r="T1697" s="49" t="str">
        <f t="shared" si="80"/>
        <v>PISLAM</v>
      </c>
      <c r="U1697" s="49" t="str">
        <f t="shared" si="81"/>
        <v>XIPISLAM</v>
      </c>
      <c r="V1697" s="90" t="s">
        <v>2967</v>
      </c>
      <c r="W1697" s="49">
        <f t="shared" si="82"/>
        <v>2005</v>
      </c>
      <c r="X1697" s="49">
        <f t="shared" si="83"/>
        <v>16</v>
      </c>
      <c r="Y1697" s="49" t="str">
        <f t="shared" si="84"/>
        <v>P16</v>
      </c>
      <c r="Z1697" s="49" t="str">
        <f t="shared" si="85"/>
        <v>XIP16</v>
      </c>
    </row>
    <row r="1698" spans="6:26" x14ac:dyDescent="0.25">
      <c r="F1698" s="58" t="str">
        <f t="shared" si="77"/>
        <v>XIII AK 64</v>
      </c>
      <c r="G1698" s="5">
        <v>4</v>
      </c>
      <c r="H1698" s="60">
        <v>102017733</v>
      </c>
      <c r="I1698" s="81" t="s">
        <v>1706</v>
      </c>
      <c r="J1698" s="61" t="str">
        <f t="shared" si="78"/>
        <v>102017733/0055254660</v>
      </c>
      <c r="K1698" s="69" t="s">
        <v>1707</v>
      </c>
      <c r="L1698" s="86" t="s">
        <v>381</v>
      </c>
      <c r="M1698" s="72" t="s">
        <v>452</v>
      </c>
      <c r="N1698" s="5" t="s">
        <v>2787</v>
      </c>
      <c r="O1698" s="5" t="s">
        <v>2786</v>
      </c>
      <c r="P1698" s="5" t="str">
        <f t="shared" si="79"/>
        <v>PAK</v>
      </c>
      <c r="R1698" s="49" t="s">
        <v>2788</v>
      </c>
      <c r="S1698" s="49" t="s">
        <v>2789</v>
      </c>
      <c r="T1698" s="49" t="str">
        <f t="shared" si="80"/>
        <v>PISLAM</v>
      </c>
      <c r="U1698" s="49" t="str">
        <f t="shared" si="81"/>
        <v>XIPISLAM</v>
      </c>
      <c r="V1698" s="90" t="s">
        <v>2968</v>
      </c>
      <c r="W1698" s="49">
        <f t="shared" si="82"/>
        <v>2005</v>
      </c>
      <c r="X1698" s="49">
        <f t="shared" si="83"/>
        <v>16</v>
      </c>
      <c r="Y1698" s="49" t="str">
        <f t="shared" si="84"/>
        <v>P16</v>
      </c>
      <c r="Z1698" s="49" t="str">
        <f t="shared" si="85"/>
        <v>XIP16</v>
      </c>
    </row>
    <row r="1699" spans="6:26" x14ac:dyDescent="0.25">
      <c r="F1699" s="58" t="str">
        <f t="shared" si="77"/>
        <v>XIII AK 65</v>
      </c>
      <c r="G1699" s="5">
        <v>5</v>
      </c>
      <c r="H1699" s="60">
        <v>102017734</v>
      </c>
      <c r="I1699" s="81" t="s">
        <v>1714</v>
      </c>
      <c r="J1699" s="61" t="str">
        <f t="shared" si="78"/>
        <v>102017734/0049745567</v>
      </c>
      <c r="K1699" s="69" t="s">
        <v>1715</v>
      </c>
      <c r="L1699" s="86" t="s">
        <v>381</v>
      </c>
      <c r="M1699" s="72" t="s">
        <v>452</v>
      </c>
      <c r="N1699" s="5" t="s">
        <v>2787</v>
      </c>
      <c r="O1699" s="5" t="s">
        <v>2786</v>
      </c>
      <c r="P1699" s="5" t="str">
        <f t="shared" si="79"/>
        <v>PAK</v>
      </c>
      <c r="R1699" s="49" t="s">
        <v>2788</v>
      </c>
      <c r="S1699" s="49" t="s">
        <v>2789</v>
      </c>
      <c r="T1699" s="49" t="str">
        <f t="shared" si="80"/>
        <v>PISLAM</v>
      </c>
      <c r="U1699" s="49" t="str">
        <f t="shared" si="81"/>
        <v>XIPISLAM</v>
      </c>
      <c r="V1699" s="90" t="s">
        <v>2969</v>
      </c>
      <c r="W1699" s="49">
        <f t="shared" si="82"/>
        <v>2004</v>
      </c>
      <c r="X1699" s="49">
        <f t="shared" si="83"/>
        <v>17</v>
      </c>
      <c r="Y1699" s="49" t="str">
        <f t="shared" si="84"/>
        <v>P17</v>
      </c>
      <c r="Z1699" s="49" t="str">
        <f t="shared" si="85"/>
        <v>XIP17</v>
      </c>
    </row>
    <row r="1700" spans="6:26" x14ac:dyDescent="0.25">
      <c r="F1700" s="58" t="str">
        <f t="shared" si="77"/>
        <v>XIII AK 66</v>
      </c>
      <c r="G1700" s="5">
        <v>6</v>
      </c>
      <c r="H1700" s="60">
        <v>102017736</v>
      </c>
      <c r="I1700" s="81" t="s">
        <v>1752</v>
      </c>
      <c r="J1700" s="61" t="str">
        <f t="shared" si="78"/>
        <v>102017736/0045456640</v>
      </c>
      <c r="K1700" s="69" t="s">
        <v>1753</v>
      </c>
      <c r="L1700" s="86" t="s">
        <v>379</v>
      </c>
      <c r="M1700" s="72" t="s">
        <v>452</v>
      </c>
      <c r="N1700" s="5" t="s">
        <v>2787</v>
      </c>
      <c r="O1700" s="5" t="s">
        <v>2786</v>
      </c>
      <c r="P1700" s="5" t="str">
        <f t="shared" si="79"/>
        <v>LAK</v>
      </c>
      <c r="R1700" s="49" t="s">
        <v>2788</v>
      </c>
      <c r="S1700" s="49" t="s">
        <v>2789</v>
      </c>
      <c r="T1700" s="49" t="str">
        <f t="shared" si="80"/>
        <v>LISLAM</v>
      </c>
      <c r="U1700" s="49" t="str">
        <f t="shared" si="81"/>
        <v>XILISLAM</v>
      </c>
      <c r="V1700" s="90" t="s">
        <v>2970</v>
      </c>
      <c r="W1700" s="49">
        <f t="shared" si="82"/>
        <v>2004</v>
      </c>
      <c r="X1700" s="49">
        <f t="shared" si="83"/>
        <v>17</v>
      </c>
      <c r="Y1700" s="49" t="str">
        <f t="shared" si="84"/>
        <v>L17</v>
      </c>
      <c r="Z1700" s="49" t="str">
        <f t="shared" si="85"/>
        <v>XIL17</v>
      </c>
    </row>
    <row r="1701" spans="6:26" x14ac:dyDescent="0.25">
      <c r="F1701" s="58" t="str">
        <f t="shared" si="77"/>
        <v>XIII AK 67</v>
      </c>
      <c r="G1701" s="5">
        <v>7</v>
      </c>
      <c r="H1701" s="60">
        <v>102017737</v>
      </c>
      <c r="I1701" s="81" t="s">
        <v>1806</v>
      </c>
      <c r="J1701" s="61" t="str">
        <f t="shared" si="78"/>
        <v>102017737/0054181098</v>
      </c>
      <c r="K1701" s="69" t="s">
        <v>1807</v>
      </c>
      <c r="L1701" s="86" t="s">
        <v>381</v>
      </c>
      <c r="M1701" s="72" t="s">
        <v>452</v>
      </c>
      <c r="N1701" s="5" t="s">
        <v>2787</v>
      </c>
      <c r="O1701" s="5" t="s">
        <v>2786</v>
      </c>
      <c r="P1701" s="5" t="str">
        <f t="shared" si="79"/>
        <v>PAK</v>
      </c>
      <c r="R1701" s="49" t="s">
        <v>2788</v>
      </c>
      <c r="S1701" s="49" t="s">
        <v>2789</v>
      </c>
      <c r="T1701" s="49" t="str">
        <f t="shared" si="80"/>
        <v>PISLAM</v>
      </c>
      <c r="U1701" s="49" t="str">
        <f t="shared" si="81"/>
        <v>XIPISLAM</v>
      </c>
      <c r="V1701" s="90" t="s">
        <v>2971</v>
      </c>
      <c r="W1701" s="49">
        <f t="shared" si="82"/>
        <v>2005</v>
      </c>
      <c r="X1701" s="49">
        <f t="shared" si="83"/>
        <v>16</v>
      </c>
      <c r="Y1701" s="49" t="str">
        <f t="shared" si="84"/>
        <v>P16</v>
      </c>
      <c r="Z1701" s="49" t="str">
        <f t="shared" si="85"/>
        <v>XIP16</v>
      </c>
    </row>
    <row r="1702" spans="6:26" x14ac:dyDescent="0.25">
      <c r="F1702" s="58" t="str">
        <f t="shared" si="77"/>
        <v>XIII AK 68</v>
      </c>
      <c r="G1702" s="5">
        <v>8</v>
      </c>
      <c r="H1702" s="60">
        <v>102017738</v>
      </c>
      <c r="I1702" s="81" t="s">
        <v>1834</v>
      </c>
      <c r="J1702" s="61" t="str">
        <f t="shared" si="78"/>
        <v>102017738/0053781704</v>
      </c>
      <c r="K1702" s="69" t="s">
        <v>1835</v>
      </c>
      <c r="L1702" s="86" t="s">
        <v>381</v>
      </c>
      <c r="M1702" s="72" t="s">
        <v>452</v>
      </c>
      <c r="N1702" s="5" t="s">
        <v>2787</v>
      </c>
      <c r="O1702" s="5" t="s">
        <v>2786</v>
      </c>
      <c r="P1702" s="5" t="str">
        <f t="shared" si="79"/>
        <v>PAK</v>
      </c>
      <c r="R1702" s="49" t="s">
        <v>2788</v>
      </c>
      <c r="S1702" s="49" t="s">
        <v>2789</v>
      </c>
      <c r="T1702" s="49" t="str">
        <f t="shared" si="80"/>
        <v>PISLAM</v>
      </c>
      <c r="U1702" s="49" t="str">
        <f t="shared" si="81"/>
        <v>XIPISLAM</v>
      </c>
      <c r="V1702" s="90" t="s">
        <v>2972</v>
      </c>
      <c r="W1702" s="49">
        <f t="shared" si="82"/>
        <v>2005</v>
      </c>
      <c r="X1702" s="49">
        <f t="shared" si="83"/>
        <v>16</v>
      </c>
      <c r="Y1702" s="49" t="str">
        <f t="shared" si="84"/>
        <v>P16</v>
      </c>
      <c r="Z1702" s="49" t="str">
        <f t="shared" si="85"/>
        <v>XIP16</v>
      </c>
    </row>
    <row r="1703" spans="6:26" x14ac:dyDescent="0.25">
      <c r="F1703" s="58" t="str">
        <f t="shared" si="77"/>
        <v>XIII AK 69</v>
      </c>
      <c r="G1703" s="5">
        <v>9</v>
      </c>
      <c r="H1703" s="60">
        <v>102017739</v>
      </c>
      <c r="I1703" s="81" t="s">
        <v>1854</v>
      </c>
      <c r="J1703" s="61" t="str">
        <f t="shared" si="78"/>
        <v>102017739/0056701731</v>
      </c>
      <c r="K1703" s="69" t="s">
        <v>1855</v>
      </c>
      <c r="L1703" s="86" t="s">
        <v>381</v>
      </c>
      <c r="M1703" s="72" t="s">
        <v>452</v>
      </c>
      <c r="N1703" s="5" t="s">
        <v>2787</v>
      </c>
      <c r="O1703" s="5" t="s">
        <v>2786</v>
      </c>
      <c r="P1703" s="5" t="str">
        <f t="shared" si="79"/>
        <v>PAK</v>
      </c>
      <c r="R1703" s="49" t="s">
        <v>2788</v>
      </c>
      <c r="S1703" s="49" t="s">
        <v>2789</v>
      </c>
      <c r="T1703" s="49" t="str">
        <f t="shared" si="80"/>
        <v>PISLAM</v>
      </c>
      <c r="U1703" s="49" t="str">
        <f t="shared" si="81"/>
        <v>XIPISLAM</v>
      </c>
      <c r="V1703" s="90" t="s">
        <v>2973</v>
      </c>
      <c r="W1703" s="49">
        <f t="shared" si="82"/>
        <v>2005</v>
      </c>
      <c r="X1703" s="49">
        <f t="shared" si="83"/>
        <v>16</v>
      </c>
      <c r="Y1703" s="49" t="str">
        <f t="shared" si="84"/>
        <v>P16</v>
      </c>
      <c r="Z1703" s="49" t="str">
        <f t="shared" si="85"/>
        <v>XIP16</v>
      </c>
    </row>
    <row r="1704" spans="6:26" x14ac:dyDescent="0.25">
      <c r="F1704" s="58" t="str">
        <f t="shared" si="77"/>
        <v>XIII AK 610</v>
      </c>
      <c r="G1704" s="5">
        <v>10</v>
      </c>
      <c r="H1704" s="60">
        <v>102017740</v>
      </c>
      <c r="I1704" s="81" t="s">
        <v>1901</v>
      </c>
      <c r="J1704" s="61" t="str">
        <f t="shared" si="78"/>
        <v>102017740/0053562330</v>
      </c>
      <c r="K1704" s="69" t="s">
        <v>1902</v>
      </c>
      <c r="L1704" s="86" t="s">
        <v>381</v>
      </c>
      <c r="M1704" s="72" t="s">
        <v>452</v>
      </c>
      <c r="N1704" s="5" t="s">
        <v>2787</v>
      </c>
      <c r="O1704" s="5" t="s">
        <v>2786</v>
      </c>
      <c r="P1704" s="5" t="str">
        <f t="shared" si="79"/>
        <v>PAK</v>
      </c>
      <c r="R1704" s="49" t="s">
        <v>2788</v>
      </c>
      <c r="S1704" s="49" t="s">
        <v>2789</v>
      </c>
      <c r="T1704" s="49" t="str">
        <f t="shared" si="80"/>
        <v>PISLAM</v>
      </c>
      <c r="U1704" s="49" t="str">
        <f t="shared" si="81"/>
        <v>XIPISLAM</v>
      </c>
      <c r="V1704" s="90" t="s">
        <v>2822</v>
      </c>
      <c r="W1704" s="49">
        <f t="shared" si="82"/>
        <v>2005</v>
      </c>
      <c r="X1704" s="49">
        <f t="shared" si="83"/>
        <v>16</v>
      </c>
      <c r="Y1704" s="49" t="str">
        <f t="shared" si="84"/>
        <v>P16</v>
      </c>
      <c r="Z1704" s="49" t="str">
        <f t="shared" si="85"/>
        <v>XIP16</v>
      </c>
    </row>
    <row r="1705" spans="6:26" x14ac:dyDescent="0.25">
      <c r="F1705" s="58" t="str">
        <f t="shared" si="77"/>
        <v>XIII AK 611</v>
      </c>
      <c r="G1705" s="5">
        <v>11</v>
      </c>
      <c r="H1705" s="60">
        <v>102017741</v>
      </c>
      <c r="I1705" s="81" t="s">
        <v>1949</v>
      </c>
      <c r="J1705" s="61" t="str">
        <f t="shared" si="78"/>
        <v>102017741/0047784407</v>
      </c>
      <c r="K1705" s="69" t="s">
        <v>1950</v>
      </c>
      <c r="L1705" s="86" t="s">
        <v>381</v>
      </c>
      <c r="M1705" s="72" t="s">
        <v>452</v>
      </c>
      <c r="N1705" s="5" t="s">
        <v>2787</v>
      </c>
      <c r="O1705" s="5" t="s">
        <v>2786</v>
      </c>
      <c r="P1705" s="5" t="str">
        <f t="shared" si="79"/>
        <v>PAK</v>
      </c>
      <c r="R1705" s="49" t="s">
        <v>2788</v>
      </c>
      <c r="S1705" s="49" t="s">
        <v>2789</v>
      </c>
      <c r="T1705" s="49" t="str">
        <f t="shared" si="80"/>
        <v>PISLAM</v>
      </c>
      <c r="U1705" s="49" t="str">
        <f t="shared" si="81"/>
        <v>XIPISLAM</v>
      </c>
      <c r="V1705" s="90" t="s">
        <v>2974</v>
      </c>
      <c r="W1705" s="49">
        <f t="shared" si="82"/>
        <v>2004</v>
      </c>
      <c r="X1705" s="49">
        <f t="shared" si="83"/>
        <v>17</v>
      </c>
      <c r="Y1705" s="49" t="str">
        <f t="shared" si="84"/>
        <v>P17</v>
      </c>
      <c r="Z1705" s="49" t="str">
        <f t="shared" si="85"/>
        <v>XIP17</v>
      </c>
    </row>
    <row r="1706" spans="6:26" x14ac:dyDescent="0.25">
      <c r="F1706" s="58" t="str">
        <f t="shared" si="77"/>
        <v>XIII AK 612</v>
      </c>
      <c r="G1706" s="5">
        <v>12</v>
      </c>
      <c r="H1706" s="60">
        <v>102017742</v>
      </c>
      <c r="I1706" s="81" t="s">
        <v>1951</v>
      </c>
      <c r="J1706" s="61" t="str">
        <f t="shared" si="78"/>
        <v>102017742/0059127729</v>
      </c>
      <c r="K1706" s="69" t="s">
        <v>1952</v>
      </c>
      <c r="L1706" s="86" t="s">
        <v>381</v>
      </c>
      <c r="M1706" s="72" t="s">
        <v>452</v>
      </c>
      <c r="N1706" s="5" t="s">
        <v>2787</v>
      </c>
      <c r="O1706" s="5" t="s">
        <v>2786</v>
      </c>
      <c r="P1706" s="5" t="str">
        <f t="shared" si="79"/>
        <v>PAK</v>
      </c>
      <c r="R1706" s="49" t="s">
        <v>2788</v>
      </c>
      <c r="S1706" s="49" t="s">
        <v>2789</v>
      </c>
      <c r="T1706" s="49" t="str">
        <f t="shared" si="80"/>
        <v>PISLAM</v>
      </c>
      <c r="U1706" s="49" t="str">
        <f t="shared" si="81"/>
        <v>XIPISLAM</v>
      </c>
      <c r="V1706" s="90" t="s">
        <v>2900</v>
      </c>
      <c r="W1706" s="49">
        <f t="shared" si="82"/>
        <v>2005</v>
      </c>
      <c r="X1706" s="49">
        <f t="shared" si="83"/>
        <v>16</v>
      </c>
      <c r="Y1706" s="49" t="str">
        <f t="shared" si="84"/>
        <v>P16</v>
      </c>
      <c r="Z1706" s="49" t="str">
        <f t="shared" si="85"/>
        <v>XIP16</v>
      </c>
    </row>
    <row r="1707" spans="6:26" x14ac:dyDescent="0.25">
      <c r="F1707" s="58" t="str">
        <f t="shared" si="77"/>
        <v>XIII AK 613</v>
      </c>
      <c r="G1707" s="5">
        <v>13</v>
      </c>
      <c r="H1707" s="60">
        <v>102017743</v>
      </c>
      <c r="I1707" s="81" t="s">
        <v>1953</v>
      </c>
      <c r="J1707" s="61" t="str">
        <f t="shared" si="78"/>
        <v>102017743/0059593709</v>
      </c>
      <c r="K1707" s="69" t="s">
        <v>1954</v>
      </c>
      <c r="L1707" s="86" t="s">
        <v>381</v>
      </c>
      <c r="M1707" s="72" t="s">
        <v>452</v>
      </c>
      <c r="N1707" s="5" t="s">
        <v>2787</v>
      </c>
      <c r="O1707" s="5" t="s">
        <v>2786</v>
      </c>
      <c r="P1707" s="5" t="str">
        <f t="shared" si="79"/>
        <v>PAK</v>
      </c>
      <c r="R1707" s="49" t="s">
        <v>2788</v>
      </c>
      <c r="S1707" s="49" t="s">
        <v>2789</v>
      </c>
      <c r="T1707" s="49" t="str">
        <f t="shared" si="80"/>
        <v>PISLAM</v>
      </c>
      <c r="U1707" s="49" t="str">
        <f t="shared" si="81"/>
        <v>XIPISLAM</v>
      </c>
      <c r="V1707" s="90" t="s">
        <v>2965</v>
      </c>
      <c r="W1707" s="49">
        <f t="shared" si="82"/>
        <v>2005</v>
      </c>
      <c r="X1707" s="49">
        <f t="shared" si="83"/>
        <v>16</v>
      </c>
      <c r="Y1707" s="49" t="str">
        <f t="shared" si="84"/>
        <v>P16</v>
      </c>
      <c r="Z1707" s="49" t="str">
        <f t="shared" si="85"/>
        <v>XIP16</v>
      </c>
    </row>
    <row r="1708" spans="6:26" x14ac:dyDescent="0.25">
      <c r="F1708" s="58" t="str">
        <f t="shared" si="77"/>
        <v>XIII AK 614</v>
      </c>
      <c r="G1708" s="5">
        <v>14</v>
      </c>
      <c r="H1708" s="93">
        <v>101917211</v>
      </c>
      <c r="I1708" s="131" t="s">
        <v>2028</v>
      </c>
      <c r="J1708" s="61" t="str">
        <f t="shared" si="78"/>
        <v>101917211/0045415578</v>
      </c>
      <c r="K1708" s="69" t="s">
        <v>2029</v>
      </c>
      <c r="L1708" s="57" t="s">
        <v>379</v>
      </c>
      <c r="M1708" s="72" t="s">
        <v>452</v>
      </c>
      <c r="N1708" s="5" t="s">
        <v>2787</v>
      </c>
      <c r="O1708" s="5" t="s">
        <v>2786</v>
      </c>
      <c r="P1708" s="5" t="str">
        <f t="shared" si="79"/>
        <v>LAK</v>
      </c>
      <c r="R1708" s="49" t="s">
        <v>2905</v>
      </c>
      <c r="S1708" s="49" t="s">
        <v>2789</v>
      </c>
      <c r="T1708" s="49" t="str">
        <f t="shared" si="80"/>
        <v>LIslam</v>
      </c>
      <c r="U1708" s="49" t="str">
        <f t="shared" si="81"/>
        <v>XILIslam</v>
      </c>
      <c r="V1708" s="98">
        <v>38125</v>
      </c>
      <c r="W1708" s="49">
        <f t="shared" si="82"/>
        <v>2004</v>
      </c>
      <c r="X1708" s="49">
        <f t="shared" si="83"/>
        <v>17</v>
      </c>
      <c r="Y1708" s="49" t="str">
        <f t="shared" si="84"/>
        <v>L17</v>
      </c>
      <c r="Z1708" s="49" t="str">
        <f t="shared" si="85"/>
        <v>XIL17</v>
      </c>
    </row>
    <row r="1709" spans="6:26" x14ac:dyDescent="0.25">
      <c r="F1709" s="58" t="str">
        <f t="shared" si="77"/>
        <v>XIII AK 615</v>
      </c>
      <c r="G1709" s="5">
        <v>15</v>
      </c>
      <c r="H1709" s="60">
        <v>102017745</v>
      </c>
      <c r="I1709" s="81" t="s">
        <v>2123</v>
      </c>
      <c r="J1709" s="61" t="str">
        <f t="shared" si="78"/>
        <v>102017745/0046418824</v>
      </c>
      <c r="K1709" s="69" t="s">
        <v>2124</v>
      </c>
      <c r="L1709" s="86" t="s">
        <v>381</v>
      </c>
      <c r="M1709" s="72" t="s">
        <v>452</v>
      </c>
      <c r="N1709" s="5" t="s">
        <v>2787</v>
      </c>
      <c r="O1709" s="5" t="s">
        <v>2786</v>
      </c>
      <c r="P1709" s="5" t="str">
        <f t="shared" si="79"/>
        <v>PAK</v>
      </c>
      <c r="R1709" s="49" t="s">
        <v>2788</v>
      </c>
      <c r="S1709" s="49" t="s">
        <v>2789</v>
      </c>
      <c r="T1709" s="49" t="str">
        <f t="shared" si="80"/>
        <v>PISLAM</v>
      </c>
      <c r="U1709" s="49" t="str">
        <f t="shared" si="81"/>
        <v>XIPISLAM</v>
      </c>
      <c r="V1709" s="90" t="s">
        <v>2975</v>
      </c>
      <c r="W1709" s="49">
        <f t="shared" si="82"/>
        <v>2004</v>
      </c>
      <c r="X1709" s="49">
        <f t="shared" si="83"/>
        <v>17</v>
      </c>
      <c r="Y1709" s="49" t="str">
        <f t="shared" si="84"/>
        <v>P17</v>
      </c>
      <c r="Z1709" s="49" t="str">
        <f t="shared" si="85"/>
        <v>XIP17</v>
      </c>
    </row>
    <row r="1710" spans="6:26" x14ac:dyDescent="0.25">
      <c r="F1710" s="58" t="str">
        <f t="shared" ref="F1710:F1727" si="86">M1710&amp;G1710</f>
        <v>XIII AK 616</v>
      </c>
      <c r="G1710" s="5">
        <v>16</v>
      </c>
      <c r="H1710" s="60">
        <v>102017746</v>
      </c>
      <c r="I1710" s="81" t="s">
        <v>2135</v>
      </c>
      <c r="J1710" s="61" t="str">
        <f t="shared" ref="J1710:J1727" si="87">H1710&amp;"/"&amp;I1710</f>
        <v>102017746/0059014633</v>
      </c>
      <c r="K1710" s="69" t="s">
        <v>2976</v>
      </c>
      <c r="L1710" s="86" t="s">
        <v>381</v>
      </c>
      <c r="M1710" s="72" t="s">
        <v>452</v>
      </c>
      <c r="N1710" s="5" t="s">
        <v>2787</v>
      </c>
      <c r="O1710" s="5" t="s">
        <v>2786</v>
      </c>
      <c r="P1710" s="5" t="str">
        <f t="shared" si="79"/>
        <v>PAK</v>
      </c>
      <c r="R1710" s="49" t="s">
        <v>2788</v>
      </c>
      <c r="S1710" s="49" t="s">
        <v>2789</v>
      </c>
      <c r="T1710" s="49" t="str">
        <f t="shared" si="80"/>
        <v>PISLAM</v>
      </c>
      <c r="U1710" s="49" t="str">
        <f t="shared" si="81"/>
        <v>XIPISLAM</v>
      </c>
      <c r="V1710" s="90" t="s">
        <v>2977</v>
      </c>
      <c r="W1710" s="49">
        <f t="shared" si="82"/>
        <v>2005</v>
      </c>
      <c r="X1710" s="49">
        <f t="shared" si="83"/>
        <v>16</v>
      </c>
      <c r="Y1710" s="49" t="str">
        <f t="shared" si="84"/>
        <v>P16</v>
      </c>
      <c r="Z1710" s="49" t="str">
        <f t="shared" si="85"/>
        <v>XIP16</v>
      </c>
    </row>
    <row r="1711" spans="6:26" x14ac:dyDescent="0.25">
      <c r="F1711" s="58" t="str">
        <f t="shared" si="86"/>
        <v>XIII AK 617</v>
      </c>
      <c r="G1711" s="5">
        <v>17</v>
      </c>
      <c r="H1711" s="60">
        <v>102017747</v>
      </c>
      <c r="I1711" s="81" t="s">
        <v>2151</v>
      </c>
      <c r="J1711" s="61" t="str">
        <f t="shared" si="87"/>
        <v>102017747/0048723594</v>
      </c>
      <c r="K1711" s="69" t="s">
        <v>2152</v>
      </c>
      <c r="L1711" s="86" t="s">
        <v>379</v>
      </c>
      <c r="M1711" s="72" t="s">
        <v>452</v>
      </c>
      <c r="N1711" s="5" t="s">
        <v>2787</v>
      </c>
      <c r="O1711" s="5" t="s">
        <v>2786</v>
      </c>
      <c r="P1711" s="5" t="str">
        <f t="shared" si="79"/>
        <v>LAK</v>
      </c>
      <c r="R1711" s="49" t="s">
        <v>2788</v>
      </c>
      <c r="S1711" s="49" t="s">
        <v>2789</v>
      </c>
      <c r="T1711" s="49" t="str">
        <f t="shared" si="80"/>
        <v>LISLAM</v>
      </c>
      <c r="U1711" s="49" t="str">
        <f t="shared" si="81"/>
        <v>XILISLAM</v>
      </c>
      <c r="V1711" s="90" t="s">
        <v>2978</v>
      </c>
      <c r="W1711" s="49">
        <f t="shared" si="82"/>
        <v>2004</v>
      </c>
      <c r="X1711" s="49">
        <f t="shared" si="83"/>
        <v>17</v>
      </c>
      <c r="Y1711" s="49" t="str">
        <f t="shared" si="84"/>
        <v>L17</v>
      </c>
      <c r="Z1711" s="49" t="str">
        <f t="shared" si="85"/>
        <v>XIL17</v>
      </c>
    </row>
    <row r="1712" spans="6:26" x14ac:dyDescent="0.25">
      <c r="F1712" s="58" t="str">
        <f t="shared" si="86"/>
        <v>XIII AK 618</v>
      </c>
      <c r="G1712" s="5">
        <v>18</v>
      </c>
      <c r="H1712" s="60">
        <v>102017748</v>
      </c>
      <c r="I1712" s="81" t="s">
        <v>2187</v>
      </c>
      <c r="J1712" s="61" t="str">
        <f t="shared" si="87"/>
        <v>102017748/0053166935</v>
      </c>
      <c r="K1712" s="69" t="s">
        <v>2188</v>
      </c>
      <c r="L1712" s="86" t="s">
        <v>381</v>
      </c>
      <c r="M1712" s="72" t="s">
        <v>452</v>
      </c>
      <c r="N1712" s="5" t="s">
        <v>2787</v>
      </c>
      <c r="O1712" s="5" t="s">
        <v>2786</v>
      </c>
      <c r="P1712" s="5" t="str">
        <f t="shared" ref="P1712:P1727" si="88">L1712&amp;O1712</f>
        <v>PAK</v>
      </c>
      <c r="R1712" s="49" t="s">
        <v>2788</v>
      </c>
      <c r="S1712" s="49" t="s">
        <v>2789</v>
      </c>
      <c r="T1712" s="49" t="str">
        <f t="shared" si="80"/>
        <v>PISLAM</v>
      </c>
      <c r="U1712" s="49" t="str">
        <f t="shared" si="81"/>
        <v>XIPISLAM</v>
      </c>
      <c r="V1712" s="90" t="s">
        <v>2979</v>
      </c>
      <c r="W1712" s="49">
        <f t="shared" si="82"/>
        <v>2005</v>
      </c>
      <c r="X1712" s="49">
        <f t="shared" si="83"/>
        <v>16</v>
      </c>
      <c r="Y1712" s="49" t="str">
        <f t="shared" si="84"/>
        <v>P16</v>
      </c>
      <c r="Z1712" s="49" t="str">
        <f t="shared" si="85"/>
        <v>XIP16</v>
      </c>
    </row>
    <row r="1713" spans="6:26" x14ac:dyDescent="0.25">
      <c r="F1713" s="58" t="str">
        <f t="shared" si="86"/>
        <v>XIII AK 619</v>
      </c>
      <c r="G1713" s="5">
        <v>19</v>
      </c>
      <c r="H1713" s="60">
        <v>102017749</v>
      </c>
      <c r="I1713" s="81" t="s">
        <v>2211</v>
      </c>
      <c r="J1713" s="61" t="str">
        <f t="shared" si="87"/>
        <v>102017749/0042725306</v>
      </c>
      <c r="K1713" s="69" t="s">
        <v>2212</v>
      </c>
      <c r="L1713" s="86" t="s">
        <v>381</v>
      </c>
      <c r="M1713" s="72" t="s">
        <v>452</v>
      </c>
      <c r="N1713" s="5" t="s">
        <v>2787</v>
      </c>
      <c r="O1713" s="5" t="s">
        <v>2786</v>
      </c>
      <c r="P1713" s="5" t="str">
        <f t="shared" si="88"/>
        <v>PAK</v>
      </c>
      <c r="R1713" s="49" t="s">
        <v>2788</v>
      </c>
      <c r="S1713" s="49" t="s">
        <v>2789</v>
      </c>
      <c r="T1713" s="49" t="str">
        <f t="shared" si="80"/>
        <v>PISLAM</v>
      </c>
      <c r="U1713" s="49" t="str">
        <f t="shared" si="81"/>
        <v>XIPISLAM</v>
      </c>
      <c r="V1713" s="90" t="s">
        <v>2980</v>
      </c>
      <c r="W1713" s="49">
        <f t="shared" si="82"/>
        <v>2004</v>
      </c>
      <c r="X1713" s="49">
        <f t="shared" si="83"/>
        <v>17</v>
      </c>
      <c r="Y1713" s="49" t="str">
        <f t="shared" si="84"/>
        <v>P17</v>
      </c>
      <c r="Z1713" s="49" t="str">
        <f t="shared" si="85"/>
        <v>XIP17</v>
      </c>
    </row>
    <row r="1714" spans="6:26" x14ac:dyDescent="0.25">
      <c r="F1714" s="58" t="str">
        <f t="shared" si="86"/>
        <v>XIII AK 620</v>
      </c>
      <c r="G1714" s="5">
        <v>20</v>
      </c>
      <c r="H1714" s="60">
        <v>102017750</v>
      </c>
      <c r="I1714" s="81" t="s">
        <v>2252</v>
      </c>
      <c r="J1714" s="61" t="str">
        <f t="shared" si="87"/>
        <v>102017750/0049653847</v>
      </c>
      <c r="K1714" s="69" t="s">
        <v>2253</v>
      </c>
      <c r="L1714" s="86" t="s">
        <v>381</v>
      </c>
      <c r="M1714" s="72" t="s">
        <v>452</v>
      </c>
      <c r="N1714" s="5" t="s">
        <v>2787</v>
      </c>
      <c r="O1714" s="5" t="s">
        <v>2786</v>
      </c>
      <c r="P1714" s="5" t="str">
        <f t="shared" si="88"/>
        <v>PAK</v>
      </c>
      <c r="R1714" s="49" t="s">
        <v>2788</v>
      </c>
      <c r="S1714" s="49" t="s">
        <v>2789</v>
      </c>
      <c r="T1714" s="49" t="str">
        <f t="shared" si="80"/>
        <v>PISLAM</v>
      </c>
      <c r="U1714" s="49" t="str">
        <f t="shared" si="81"/>
        <v>XIPISLAM</v>
      </c>
      <c r="V1714" s="90" t="s">
        <v>2981</v>
      </c>
      <c r="W1714" s="49">
        <f t="shared" si="82"/>
        <v>2004</v>
      </c>
      <c r="X1714" s="49">
        <f t="shared" si="83"/>
        <v>17</v>
      </c>
      <c r="Y1714" s="49" t="str">
        <f t="shared" si="84"/>
        <v>P17</v>
      </c>
      <c r="Z1714" s="49" t="str">
        <f t="shared" si="85"/>
        <v>XIP17</v>
      </c>
    </row>
    <row r="1715" spans="6:26" ht="30" x14ac:dyDescent="0.25">
      <c r="F1715" s="58" t="str">
        <f t="shared" si="86"/>
        <v>XIII AK 621</v>
      </c>
      <c r="G1715" s="5">
        <v>21</v>
      </c>
      <c r="H1715" s="60">
        <v>102017751</v>
      </c>
      <c r="I1715" s="84" t="s">
        <v>2260</v>
      </c>
      <c r="J1715" s="61" t="str">
        <f t="shared" si="87"/>
        <v>102017751/0045415062</v>
      </c>
      <c r="K1715" s="69" t="s">
        <v>2261</v>
      </c>
      <c r="L1715" s="86" t="s">
        <v>381</v>
      </c>
      <c r="M1715" s="72" t="s">
        <v>452</v>
      </c>
      <c r="N1715" s="5" t="s">
        <v>2787</v>
      </c>
      <c r="O1715" s="5" t="s">
        <v>2786</v>
      </c>
      <c r="P1715" s="5" t="str">
        <f t="shared" si="88"/>
        <v>PAK</v>
      </c>
      <c r="R1715" s="49" t="s">
        <v>2788</v>
      </c>
      <c r="S1715" s="49" t="s">
        <v>2789</v>
      </c>
      <c r="T1715" s="49" t="str">
        <f t="shared" si="80"/>
        <v>PISLAM</v>
      </c>
      <c r="U1715" s="49" t="str">
        <f t="shared" si="81"/>
        <v>XIPISLAM</v>
      </c>
      <c r="V1715" s="90" t="s">
        <v>2982</v>
      </c>
      <c r="W1715" s="49">
        <f t="shared" si="82"/>
        <v>2004</v>
      </c>
      <c r="X1715" s="49">
        <f t="shared" si="83"/>
        <v>17</v>
      </c>
      <c r="Y1715" s="49" t="str">
        <f t="shared" si="84"/>
        <v>P17</v>
      </c>
      <c r="Z1715" s="49" t="str">
        <f t="shared" si="85"/>
        <v>XIP17</v>
      </c>
    </row>
    <row r="1716" spans="6:26" x14ac:dyDescent="0.25">
      <c r="F1716" s="58" t="str">
        <f t="shared" si="86"/>
        <v>XIII AK 622</v>
      </c>
      <c r="G1716" s="5">
        <v>22</v>
      </c>
      <c r="H1716" s="60">
        <v>102017752</v>
      </c>
      <c r="I1716" s="81" t="s">
        <v>2264</v>
      </c>
      <c r="J1716" s="61" t="str">
        <f t="shared" si="87"/>
        <v>102017752/0058695760</v>
      </c>
      <c r="K1716" s="69" t="s">
        <v>2265</v>
      </c>
      <c r="L1716" s="86" t="s">
        <v>381</v>
      </c>
      <c r="M1716" s="72" t="s">
        <v>452</v>
      </c>
      <c r="N1716" s="5" t="s">
        <v>2787</v>
      </c>
      <c r="O1716" s="5" t="s">
        <v>2786</v>
      </c>
      <c r="P1716" s="5" t="str">
        <f t="shared" si="88"/>
        <v>PAK</v>
      </c>
      <c r="R1716" s="49" t="s">
        <v>2788</v>
      </c>
      <c r="S1716" s="49" t="s">
        <v>2789</v>
      </c>
      <c r="T1716" s="49" t="str">
        <f t="shared" si="80"/>
        <v>PISLAM</v>
      </c>
      <c r="U1716" s="49" t="str">
        <f t="shared" si="81"/>
        <v>XIPISLAM</v>
      </c>
      <c r="V1716" s="90" t="s">
        <v>2915</v>
      </c>
      <c r="W1716" s="49">
        <f t="shared" si="82"/>
        <v>2005</v>
      </c>
      <c r="X1716" s="49">
        <f t="shared" si="83"/>
        <v>16</v>
      </c>
      <c r="Y1716" s="49" t="str">
        <f t="shared" si="84"/>
        <v>P16</v>
      </c>
      <c r="Z1716" s="49" t="str">
        <f t="shared" si="85"/>
        <v>XIP16</v>
      </c>
    </row>
    <row r="1717" spans="6:26" ht="30" x14ac:dyDescent="0.25">
      <c r="F1717" s="58" t="str">
        <f t="shared" si="86"/>
        <v>XIII AK 623</v>
      </c>
      <c r="G1717" s="5">
        <v>23</v>
      </c>
      <c r="H1717" s="60">
        <v>102017753</v>
      </c>
      <c r="I1717" s="84" t="s">
        <v>2274</v>
      </c>
      <c r="J1717" s="61" t="str">
        <f t="shared" si="87"/>
        <v>102017753/0055829975</v>
      </c>
      <c r="K1717" s="69" t="s">
        <v>2275</v>
      </c>
      <c r="L1717" s="86" t="s">
        <v>381</v>
      </c>
      <c r="M1717" s="72" t="s">
        <v>452</v>
      </c>
      <c r="N1717" s="5" t="s">
        <v>2787</v>
      </c>
      <c r="O1717" s="5" t="s">
        <v>2786</v>
      </c>
      <c r="P1717" s="5" t="str">
        <f t="shared" si="88"/>
        <v>PAK</v>
      </c>
      <c r="R1717" s="49" t="s">
        <v>2788</v>
      </c>
      <c r="S1717" s="49" t="s">
        <v>2789</v>
      </c>
      <c r="T1717" s="49" t="str">
        <f t="shared" si="80"/>
        <v>PISLAM</v>
      </c>
      <c r="U1717" s="49" t="str">
        <f t="shared" si="81"/>
        <v>XIPISLAM</v>
      </c>
      <c r="V1717" s="90" t="s">
        <v>2983</v>
      </c>
      <c r="W1717" s="49">
        <f t="shared" si="82"/>
        <v>2005</v>
      </c>
      <c r="X1717" s="49">
        <f t="shared" si="83"/>
        <v>16</v>
      </c>
      <c r="Y1717" s="49" t="str">
        <f t="shared" si="84"/>
        <v>P16</v>
      </c>
      <c r="Z1717" s="49" t="str">
        <f t="shared" si="85"/>
        <v>XIP16</v>
      </c>
    </row>
    <row r="1718" spans="6:26" ht="30" x14ac:dyDescent="0.25">
      <c r="F1718" s="58" t="str">
        <f t="shared" si="86"/>
        <v>XIII AK 624</v>
      </c>
      <c r="G1718" s="5">
        <v>24</v>
      </c>
      <c r="H1718" s="60">
        <v>102017754</v>
      </c>
      <c r="I1718" s="84" t="s">
        <v>2306</v>
      </c>
      <c r="J1718" s="61" t="str">
        <f t="shared" si="87"/>
        <v>102017754/0047725827</v>
      </c>
      <c r="K1718" s="69" t="s">
        <v>2307</v>
      </c>
      <c r="L1718" s="86" t="s">
        <v>379</v>
      </c>
      <c r="M1718" s="72" t="s">
        <v>452</v>
      </c>
      <c r="N1718" s="5" t="s">
        <v>2787</v>
      </c>
      <c r="O1718" s="5" t="s">
        <v>2786</v>
      </c>
      <c r="P1718" s="5" t="str">
        <f t="shared" si="88"/>
        <v>LAK</v>
      </c>
      <c r="R1718" s="49" t="s">
        <v>2788</v>
      </c>
      <c r="S1718" s="49" t="s">
        <v>2789</v>
      </c>
      <c r="T1718" s="49" t="str">
        <f t="shared" ref="T1718:T1727" si="89">L1718&amp;R1718</f>
        <v>LISLAM</v>
      </c>
      <c r="U1718" s="49" t="str">
        <f t="shared" ref="U1718:U1727" si="90">S1718&amp;T1718</f>
        <v>XILISLAM</v>
      </c>
      <c r="V1718" s="90" t="s">
        <v>2984</v>
      </c>
      <c r="W1718" s="49">
        <f t="shared" ref="W1718:W1727" si="91">YEAR(V1718)</f>
        <v>2004</v>
      </c>
      <c r="X1718" s="49">
        <f t="shared" ref="X1718:X1727" si="92">2021-W1718</f>
        <v>17</v>
      </c>
      <c r="Y1718" s="49" t="str">
        <f t="shared" ref="Y1718:Y1727" si="93">L1718&amp;X1718</f>
        <v>L17</v>
      </c>
      <c r="Z1718" s="49" t="str">
        <f t="shared" ref="Z1718:Z1727" si="94">S1718&amp;Y1718</f>
        <v>XIL17</v>
      </c>
    </row>
    <row r="1719" spans="6:26" ht="30" x14ac:dyDescent="0.25">
      <c r="F1719" s="58" t="str">
        <f t="shared" si="86"/>
        <v>XIII AK 625</v>
      </c>
      <c r="G1719" s="5">
        <v>25</v>
      </c>
      <c r="H1719" s="60">
        <v>102017755</v>
      </c>
      <c r="I1719" s="84" t="s">
        <v>2312</v>
      </c>
      <c r="J1719" s="61" t="str">
        <f t="shared" si="87"/>
        <v>102017755/0045012172</v>
      </c>
      <c r="K1719" s="69" t="s">
        <v>2313</v>
      </c>
      <c r="L1719" s="86" t="s">
        <v>381</v>
      </c>
      <c r="M1719" s="72" t="s">
        <v>452</v>
      </c>
      <c r="N1719" s="5" t="s">
        <v>2787</v>
      </c>
      <c r="O1719" s="5" t="s">
        <v>2786</v>
      </c>
      <c r="P1719" s="5" t="str">
        <f t="shared" si="88"/>
        <v>PAK</v>
      </c>
      <c r="R1719" s="49" t="s">
        <v>2788</v>
      </c>
      <c r="S1719" s="49" t="s">
        <v>2789</v>
      </c>
      <c r="T1719" s="49" t="str">
        <f t="shared" si="89"/>
        <v>PISLAM</v>
      </c>
      <c r="U1719" s="49" t="str">
        <f t="shared" si="90"/>
        <v>XIPISLAM</v>
      </c>
      <c r="V1719" s="90" t="s">
        <v>2985</v>
      </c>
      <c r="W1719" s="49">
        <f t="shared" si="91"/>
        <v>2004</v>
      </c>
      <c r="X1719" s="49">
        <f t="shared" si="92"/>
        <v>17</v>
      </c>
      <c r="Y1719" s="49" t="str">
        <f t="shared" si="93"/>
        <v>P17</v>
      </c>
      <c r="Z1719" s="49" t="str">
        <f t="shared" si="94"/>
        <v>XIP17</v>
      </c>
    </row>
    <row r="1720" spans="6:26" ht="30" x14ac:dyDescent="0.25">
      <c r="F1720" s="58" t="str">
        <f t="shared" si="86"/>
        <v>XIII AK 626</v>
      </c>
      <c r="G1720" s="5">
        <v>26</v>
      </c>
      <c r="H1720" s="60">
        <v>102017757</v>
      </c>
      <c r="I1720" s="84" t="s">
        <v>2320</v>
      </c>
      <c r="J1720" s="61" t="str">
        <f t="shared" si="87"/>
        <v>102017757/0069193202</v>
      </c>
      <c r="K1720" s="69" t="s">
        <v>2321</v>
      </c>
      <c r="L1720" s="86" t="s">
        <v>379</v>
      </c>
      <c r="M1720" s="72" t="s">
        <v>452</v>
      </c>
      <c r="N1720" s="5" t="s">
        <v>2787</v>
      </c>
      <c r="O1720" s="5" t="s">
        <v>2786</v>
      </c>
      <c r="P1720" s="5" t="str">
        <f t="shared" si="88"/>
        <v>LAK</v>
      </c>
      <c r="R1720" s="49" t="s">
        <v>2788</v>
      </c>
      <c r="S1720" s="49" t="s">
        <v>2789</v>
      </c>
      <c r="T1720" s="49" t="str">
        <f t="shared" si="89"/>
        <v>LISLAM</v>
      </c>
      <c r="U1720" s="49" t="str">
        <f t="shared" si="90"/>
        <v>XILISLAM</v>
      </c>
      <c r="V1720" s="90" t="s">
        <v>2986</v>
      </c>
      <c r="W1720" s="49">
        <f t="shared" si="91"/>
        <v>2005</v>
      </c>
      <c r="X1720" s="49">
        <f t="shared" si="92"/>
        <v>16</v>
      </c>
      <c r="Y1720" s="49" t="str">
        <f t="shared" si="93"/>
        <v>L16</v>
      </c>
      <c r="Z1720" s="49" t="str">
        <f t="shared" si="94"/>
        <v>XIL16</v>
      </c>
    </row>
    <row r="1721" spans="6:26" ht="30" x14ac:dyDescent="0.25">
      <c r="F1721" s="58" t="str">
        <f t="shared" si="86"/>
        <v>XIII AK 627</v>
      </c>
      <c r="G1721" s="5">
        <v>27</v>
      </c>
      <c r="H1721" s="60">
        <v>102017758</v>
      </c>
      <c r="I1721" s="141" t="s">
        <v>2324</v>
      </c>
      <c r="J1721" s="61" t="str">
        <f t="shared" si="87"/>
        <v>102017758/0047016996</v>
      </c>
      <c r="K1721" s="69" t="s">
        <v>2325</v>
      </c>
      <c r="L1721" s="86" t="s">
        <v>381</v>
      </c>
      <c r="M1721" s="72" t="s">
        <v>452</v>
      </c>
      <c r="N1721" s="5" t="s">
        <v>2787</v>
      </c>
      <c r="O1721" s="5" t="s">
        <v>2786</v>
      </c>
      <c r="P1721" s="5" t="str">
        <f t="shared" si="88"/>
        <v>PAK</v>
      </c>
      <c r="R1721" s="49" t="s">
        <v>2788</v>
      </c>
      <c r="S1721" s="49" t="s">
        <v>2789</v>
      </c>
      <c r="T1721" s="49" t="str">
        <f t="shared" si="89"/>
        <v>PISLAM</v>
      </c>
      <c r="U1721" s="49" t="str">
        <f t="shared" si="90"/>
        <v>XIPISLAM</v>
      </c>
      <c r="V1721" s="90" t="s">
        <v>2987</v>
      </c>
      <c r="W1721" s="49">
        <f t="shared" si="91"/>
        <v>2004</v>
      </c>
      <c r="X1721" s="49">
        <f t="shared" si="92"/>
        <v>17</v>
      </c>
      <c r="Y1721" s="49" t="str">
        <f t="shared" si="93"/>
        <v>P17</v>
      </c>
      <c r="Z1721" s="49" t="str">
        <f t="shared" si="94"/>
        <v>XIP17</v>
      </c>
    </row>
    <row r="1722" spans="6:26" x14ac:dyDescent="0.25">
      <c r="F1722" s="58" t="str">
        <f t="shared" si="86"/>
        <v>XIII AK 628</v>
      </c>
      <c r="G1722" s="5">
        <v>28</v>
      </c>
      <c r="H1722" s="60">
        <v>102017760</v>
      </c>
      <c r="I1722" s="81" t="s">
        <v>2330</v>
      </c>
      <c r="J1722" s="61" t="str">
        <f t="shared" si="87"/>
        <v>102017760/0047279664</v>
      </c>
      <c r="K1722" s="69" t="s">
        <v>2331</v>
      </c>
      <c r="L1722" s="86" t="s">
        <v>379</v>
      </c>
      <c r="M1722" s="72" t="s">
        <v>452</v>
      </c>
      <c r="N1722" s="5" t="s">
        <v>2787</v>
      </c>
      <c r="O1722" s="5" t="s">
        <v>2786</v>
      </c>
      <c r="P1722" s="5" t="str">
        <f t="shared" si="88"/>
        <v>LAK</v>
      </c>
      <c r="R1722" s="49" t="s">
        <v>2788</v>
      </c>
      <c r="S1722" s="49" t="s">
        <v>2789</v>
      </c>
      <c r="T1722" s="49" t="str">
        <f t="shared" si="89"/>
        <v>LISLAM</v>
      </c>
      <c r="U1722" s="49" t="str">
        <f t="shared" si="90"/>
        <v>XILISLAM</v>
      </c>
      <c r="V1722" s="90" t="s">
        <v>2853</v>
      </c>
      <c r="W1722" s="49">
        <f t="shared" si="91"/>
        <v>2005</v>
      </c>
      <c r="X1722" s="49">
        <f t="shared" si="92"/>
        <v>16</v>
      </c>
      <c r="Y1722" s="49" t="str">
        <f t="shared" si="93"/>
        <v>L16</v>
      </c>
      <c r="Z1722" s="49" t="str">
        <f t="shared" si="94"/>
        <v>XIL16</v>
      </c>
    </row>
    <row r="1723" spans="6:26" x14ac:dyDescent="0.25">
      <c r="F1723" s="58" t="str">
        <f t="shared" si="86"/>
        <v>XIII AK 629</v>
      </c>
      <c r="G1723" s="5">
        <v>29</v>
      </c>
      <c r="H1723" s="60">
        <v>102017761</v>
      </c>
      <c r="I1723" s="81" t="s">
        <v>2336</v>
      </c>
      <c r="J1723" s="61" t="str">
        <f t="shared" si="87"/>
        <v>102017761/0048015139</v>
      </c>
      <c r="K1723" s="69" t="s">
        <v>2337</v>
      </c>
      <c r="L1723" s="86" t="s">
        <v>379</v>
      </c>
      <c r="M1723" s="72" t="s">
        <v>452</v>
      </c>
      <c r="N1723" s="5" t="s">
        <v>2787</v>
      </c>
      <c r="O1723" s="5" t="s">
        <v>2786</v>
      </c>
      <c r="P1723" s="5" t="str">
        <f t="shared" si="88"/>
        <v>LAK</v>
      </c>
      <c r="R1723" s="49" t="s">
        <v>2788</v>
      </c>
      <c r="S1723" s="49" t="s">
        <v>2789</v>
      </c>
      <c r="T1723" s="49" t="str">
        <f t="shared" si="89"/>
        <v>LISLAM</v>
      </c>
      <c r="U1723" s="49" t="str">
        <f t="shared" si="90"/>
        <v>XILISLAM</v>
      </c>
      <c r="V1723" s="90" t="s">
        <v>2988</v>
      </c>
      <c r="W1723" s="49">
        <f t="shared" si="91"/>
        <v>2004</v>
      </c>
      <c r="X1723" s="49">
        <f t="shared" si="92"/>
        <v>17</v>
      </c>
      <c r="Y1723" s="49" t="str">
        <f t="shared" si="93"/>
        <v>L17</v>
      </c>
      <c r="Z1723" s="49" t="str">
        <f t="shared" si="94"/>
        <v>XIL17</v>
      </c>
    </row>
    <row r="1724" spans="6:26" x14ac:dyDescent="0.25">
      <c r="F1724" s="58" t="str">
        <f t="shared" si="86"/>
        <v>XIII AK 630</v>
      </c>
      <c r="G1724" s="5">
        <v>30</v>
      </c>
      <c r="H1724" s="60">
        <v>102017762</v>
      </c>
      <c r="I1724" s="81" t="s">
        <v>2342</v>
      </c>
      <c r="J1724" s="61" t="str">
        <f t="shared" si="87"/>
        <v>102017762/0047962456</v>
      </c>
      <c r="K1724" s="69" t="s">
        <v>2343</v>
      </c>
      <c r="L1724" s="86" t="s">
        <v>379</v>
      </c>
      <c r="M1724" s="72" t="s">
        <v>452</v>
      </c>
      <c r="N1724" s="5" t="s">
        <v>2787</v>
      </c>
      <c r="O1724" s="5" t="s">
        <v>2786</v>
      </c>
      <c r="P1724" s="5" t="str">
        <f t="shared" si="88"/>
        <v>LAK</v>
      </c>
      <c r="R1724" s="49" t="s">
        <v>2788</v>
      </c>
      <c r="S1724" s="49" t="s">
        <v>2789</v>
      </c>
      <c r="T1724" s="49" t="str">
        <f t="shared" si="89"/>
        <v>LISLAM</v>
      </c>
      <c r="U1724" s="49" t="str">
        <f t="shared" si="90"/>
        <v>XILISLAM</v>
      </c>
      <c r="V1724" s="90" t="s">
        <v>2988</v>
      </c>
      <c r="W1724" s="49">
        <f t="shared" si="91"/>
        <v>2004</v>
      </c>
      <c r="X1724" s="49">
        <f t="shared" si="92"/>
        <v>17</v>
      </c>
      <c r="Y1724" s="49" t="str">
        <f t="shared" si="93"/>
        <v>L17</v>
      </c>
      <c r="Z1724" s="49" t="str">
        <f t="shared" si="94"/>
        <v>XIL17</v>
      </c>
    </row>
    <row r="1725" spans="6:26" x14ac:dyDescent="0.25">
      <c r="F1725" s="58" t="str">
        <f t="shared" si="86"/>
        <v>XIII AK 631</v>
      </c>
      <c r="G1725" s="5">
        <v>31</v>
      </c>
      <c r="H1725" s="60">
        <v>102017763</v>
      </c>
      <c r="I1725" s="81" t="s">
        <v>2356</v>
      </c>
      <c r="J1725" s="61" t="str">
        <f t="shared" si="87"/>
        <v>102017763/3040055599</v>
      </c>
      <c r="K1725" s="69" t="s">
        <v>2357</v>
      </c>
      <c r="L1725" s="86" t="s">
        <v>381</v>
      </c>
      <c r="M1725" s="72" t="s">
        <v>452</v>
      </c>
      <c r="N1725" s="5" t="s">
        <v>2787</v>
      </c>
      <c r="O1725" s="5" t="s">
        <v>2786</v>
      </c>
      <c r="P1725" s="5" t="str">
        <f t="shared" si="88"/>
        <v>PAK</v>
      </c>
      <c r="R1725" s="49" t="s">
        <v>2788</v>
      </c>
      <c r="S1725" s="49" t="s">
        <v>2789</v>
      </c>
      <c r="T1725" s="49" t="str">
        <f t="shared" si="89"/>
        <v>PISLAM</v>
      </c>
      <c r="U1725" s="49" t="str">
        <f t="shared" si="90"/>
        <v>XIPISLAM</v>
      </c>
      <c r="V1725" s="90" t="s">
        <v>2989</v>
      </c>
      <c r="W1725" s="49">
        <f t="shared" si="91"/>
        <v>2004</v>
      </c>
      <c r="X1725" s="49">
        <f t="shared" si="92"/>
        <v>17</v>
      </c>
      <c r="Y1725" s="49" t="str">
        <f t="shared" si="93"/>
        <v>P17</v>
      </c>
      <c r="Z1725" s="49" t="str">
        <f t="shared" si="94"/>
        <v>XIP17</v>
      </c>
    </row>
    <row r="1726" spans="6:26" x14ac:dyDescent="0.25">
      <c r="F1726" s="58" t="str">
        <f t="shared" si="86"/>
        <v>XIII AK 632</v>
      </c>
      <c r="G1726" s="5">
        <v>32</v>
      </c>
      <c r="H1726" s="60">
        <v>102017764</v>
      </c>
      <c r="I1726" s="60" t="s">
        <v>2358</v>
      </c>
      <c r="J1726" s="61" t="str">
        <f t="shared" si="87"/>
        <v>102017764/0056881025</v>
      </c>
      <c r="K1726" s="69" t="s">
        <v>2359</v>
      </c>
      <c r="L1726" s="57" t="s">
        <v>381</v>
      </c>
      <c r="M1726" s="72" t="s">
        <v>452</v>
      </c>
      <c r="N1726" s="5" t="s">
        <v>2787</v>
      </c>
      <c r="O1726" s="5" t="s">
        <v>2786</v>
      </c>
      <c r="P1726" s="5" t="str">
        <f t="shared" si="88"/>
        <v>PAK</v>
      </c>
      <c r="R1726" s="49" t="s">
        <v>2788</v>
      </c>
      <c r="S1726" s="49" t="s">
        <v>2789</v>
      </c>
      <c r="T1726" s="49" t="str">
        <f t="shared" si="89"/>
        <v>PISLAM</v>
      </c>
      <c r="U1726" s="49" t="str">
        <f t="shared" si="90"/>
        <v>XIPISLAM</v>
      </c>
      <c r="V1726" s="90" t="s">
        <v>2915</v>
      </c>
      <c r="W1726" s="49">
        <f t="shared" si="91"/>
        <v>2005</v>
      </c>
      <c r="X1726" s="49">
        <f t="shared" si="92"/>
        <v>16</v>
      </c>
      <c r="Y1726" s="49" t="str">
        <f t="shared" si="93"/>
        <v>P16</v>
      </c>
      <c r="Z1726" s="49" t="str">
        <f t="shared" si="94"/>
        <v>XIP16</v>
      </c>
    </row>
    <row r="1727" spans="6:26" x14ac:dyDescent="0.25">
      <c r="F1727" s="58" t="str">
        <f t="shared" si="86"/>
        <v>XIII AK 633</v>
      </c>
      <c r="G1727" s="5">
        <v>33</v>
      </c>
      <c r="H1727" s="60">
        <v>102017765</v>
      </c>
      <c r="I1727" s="60" t="s">
        <v>2364</v>
      </c>
      <c r="J1727" s="61" t="str">
        <f t="shared" si="87"/>
        <v>102017765/0052245843</v>
      </c>
      <c r="K1727" s="69" t="s">
        <v>2365</v>
      </c>
      <c r="L1727" s="57" t="s">
        <v>381</v>
      </c>
      <c r="M1727" s="72" t="s">
        <v>452</v>
      </c>
      <c r="N1727" s="5" t="s">
        <v>2787</v>
      </c>
      <c r="O1727" s="5" t="s">
        <v>2786</v>
      </c>
      <c r="P1727" s="5" t="str">
        <f t="shared" si="88"/>
        <v>PAK</v>
      </c>
      <c r="R1727" s="49" t="s">
        <v>2788</v>
      </c>
      <c r="S1727" s="49" t="s">
        <v>2789</v>
      </c>
      <c r="T1727" s="49" t="str">
        <f t="shared" si="89"/>
        <v>PISLAM</v>
      </c>
      <c r="U1727" s="49" t="str">
        <f t="shared" si="90"/>
        <v>XIPISLAM</v>
      </c>
      <c r="V1727" s="90" t="s">
        <v>2971</v>
      </c>
      <c r="W1727" s="49">
        <f t="shared" si="91"/>
        <v>2005</v>
      </c>
      <c r="X1727" s="49">
        <f t="shared" si="92"/>
        <v>16</v>
      </c>
      <c r="Y1727" s="49" t="str">
        <f t="shared" si="93"/>
        <v>P16</v>
      </c>
      <c r="Z1727" s="49" t="str">
        <f t="shared" si="94"/>
        <v>XIP16</v>
      </c>
    </row>
  </sheetData>
  <autoFilter ref="A1:AA1727" xr:uid="{00000000-0009-0000-0000-000006000000}"/>
  <sortState xmlns:xlrd2="http://schemas.microsoft.com/office/spreadsheetml/2017/richdata2" ref="A1179:H1373">
    <sortCondition ref="H1179:H1373"/>
  </sortState>
  <mergeCells count="1">
    <mergeCell ref="C1374:D1374"/>
  </mergeCells>
  <phoneticPr fontId="42" type="noConversion"/>
  <pageMargins left="0.7" right="0.7" top="0.75" bottom="0.75" header="0.26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7:BA196"/>
  <sheetViews>
    <sheetView topLeftCell="A16" workbookViewId="0"/>
  </sheetViews>
  <sheetFormatPr defaultColWidth="9.140625" defaultRowHeight="15" x14ac:dyDescent="0.25"/>
  <cols>
    <col min="1" max="1" width="4" customWidth="1"/>
    <col min="2" max="2" width="26.5703125" style="17" customWidth="1"/>
    <col min="3" max="3" width="45.28515625" style="15" customWidth="1"/>
    <col min="4" max="4" width="3.42578125" style="18" customWidth="1"/>
    <col min="5" max="35" width="5.28515625" style="19" customWidth="1"/>
    <col min="36" max="36" width="5.28515625" customWidth="1"/>
    <col min="39" max="39" width="10.5703125" customWidth="1"/>
    <col min="40" max="40" width="43" customWidth="1"/>
    <col min="41" max="41" width="19.85546875" customWidth="1"/>
  </cols>
  <sheetData>
    <row r="7" spans="1:41" x14ac:dyDescent="0.25">
      <c r="D7" s="18" t="s">
        <v>2990</v>
      </c>
    </row>
    <row r="9" spans="1:41" ht="6" customHeight="1" x14ac:dyDescent="0.25"/>
    <row r="10" spans="1:41" ht="3.75" customHeight="1" x14ac:dyDescent="0.25">
      <c r="A10" s="20"/>
      <c r="B10" s="21"/>
      <c r="C10" s="22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0"/>
    </row>
    <row r="11" spans="1:41" ht="8.25" customHeight="1" x14ac:dyDescent="0.25"/>
    <row r="12" spans="1:41" ht="5.25" customHeight="1" x14ac:dyDescent="0.25"/>
    <row r="13" spans="1:41" ht="21" customHeight="1" x14ac:dyDescent="0.25">
      <c r="A13" s="235" t="s">
        <v>2991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L13">
        <v>23</v>
      </c>
      <c r="AM13" t="str">
        <f>VLOOKUP(AL13,AL14:AM52,2)</f>
        <v>XII KA 1</v>
      </c>
      <c r="AN13" s="49">
        <f>VLOOKUP(AL13,AL14:AO52,3)</f>
        <v>0</v>
      </c>
    </row>
    <row r="14" spans="1:41" ht="21" customHeight="1" x14ac:dyDescent="0.25">
      <c r="A14" s="236" t="s">
        <v>3833</v>
      </c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L14" s="50">
        <v>1</v>
      </c>
      <c r="AM14" s="1" t="s">
        <v>404</v>
      </c>
    </row>
    <row r="15" spans="1:41" ht="21" customHeight="1" x14ac:dyDescent="0.25">
      <c r="A15" s="235" t="str">
        <f>"KELAS   "&amp;AM13</f>
        <v>KELAS   XII KA 1</v>
      </c>
      <c r="B15" s="235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L15" s="50">
        <v>2</v>
      </c>
      <c r="AM15" s="1" t="s">
        <v>416</v>
      </c>
    </row>
    <row r="16" spans="1:41" ht="8.25" customHeight="1" x14ac:dyDescent="0.25">
      <c r="A16" s="237" t="s">
        <v>2994</v>
      </c>
      <c r="B16" s="237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L16" s="50">
        <v>3</v>
      </c>
      <c r="AM16" s="1" t="s">
        <v>417</v>
      </c>
      <c r="AO16" s="51" t="s">
        <v>2995</v>
      </c>
    </row>
    <row r="17" spans="1:49" ht="19.5" customHeight="1" x14ac:dyDescent="0.25">
      <c r="B17" s="25" t="s">
        <v>2996</v>
      </c>
      <c r="C17" s="26">
        <f>AN13</f>
        <v>0</v>
      </c>
      <c r="D17" s="27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46"/>
      <c r="AL17" s="50">
        <v>4</v>
      </c>
      <c r="AM17" s="1" t="s">
        <v>419</v>
      </c>
      <c r="AP17" s="15"/>
    </row>
    <row r="18" spans="1:49" ht="18.75" customHeight="1" x14ac:dyDescent="0.25">
      <c r="A18" s="238" t="s">
        <v>2997</v>
      </c>
      <c r="B18" s="241" t="s">
        <v>2998</v>
      </c>
      <c r="C18" s="238" t="s">
        <v>377</v>
      </c>
      <c r="D18" s="238" t="s">
        <v>434</v>
      </c>
      <c r="E18" s="244" t="s">
        <v>2999</v>
      </c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38" t="s">
        <v>436</v>
      </c>
      <c r="AL18" s="50">
        <v>5</v>
      </c>
      <c r="AM18" s="1" t="s">
        <v>420</v>
      </c>
    </row>
    <row r="19" spans="1:49" ht="18.75" customHeight="1" x14ac:dyDescent="0.25">
      <c r="A19" s="239"/>
      <c r="B19" s="242"/>
      <c r="C19" s="239"/>
      <c r="D19" s="239"/>
      <c r="E19" s="32">
        <v>1</v>
      </c>
      <c r="F19" s="32">
        <v>2</v>
      </c>
      <c r="G19" s="32">
        <v>3</v>
      </c>
      <c r="H19" s="143">
        <v>4</v>
      </c>
      <c r="I19" s="32">
        <v>5</v>
      </c>
      <c r="J19" s="32">
        <v>6</v>
      </c>
      <c r="K19" s="32">
        <v>7</v>
      </c>
      <c r="L19" s="143">
        <v>8</v>
      </c>
      <c r="M19" s="32">
        <v>9</v>
      </c>
      <c r="N19" s="32">
        <v>10</v>
      </c>
      <c r="O19" s="32">
        <v>11</v>
      </c>
      <c r="P19" s="143">
        <v>12</v>
      </c>
      <c r="Q19" s="32">
        <v>13</v>
      </c>
      <c r="R19" s="32">
        <v>14</v>
      </c>
      <c r="S19" s="32">
        <v>15</v>
      </c>
      <c r="T19" s="143">
        <v>16</v>
      </c>
      <c r="U19" s="32">
        <v>17</v>
      </c>
      <c r="V19" s="32">
        <v>18</v>
      </c>
      <c r="W19" s="32">
        <v>19</v>
      </c>
      <c r="X19" s="143">
        <v>20</v>
      </c>
      <c r="Y19" s="32">
        <v>21</v>
      </c>
      <c r="Z19" s="32">
        <v>22</v>
      </c>
      <c r="AA19" s="32">
        <v>23</v>
      </c>
      <c r="AB19" s="143">
        <v>24</v>
      </c>
      <c r="AC19" s="32">
        <v>25</v>
      </c>
      <c r="AD19" s="32">
        <v>26</v>
      </c>
      <c r="AE19" s="32">
        <v>27</v>
      </c>
      <c r="AF19" s="143">
        <v>28</v>
      </c>
      <c r="AG19" s="32">
        <v>29</v>
      </c>
      <c r="AH19" s="32">
        <v>30</v>
      </c>
      <c r="AI19" s="143">
        <v>31</v>
      </c>
      <c r="AJ19" s="239"/>
      <c r="AL19" s="50">
        <v>6</v>
      </c>
      <c r="AM19" s="1" t="s">
        <v>421</v>
      </c>
      <c r="AO19" s="51"/>
    </row>
    <row r="20" spans="1:49" ht="18.75" customHeight="1" x14ac:dyDescent="0.25">
      <c r="A20" s="240"/>
      <c r="B20" s="243"/>
      <c r="C20" s="240"/>
      <c r="D20" s="240"/>
      <c r="E20" s="33"/>
      <c r="F20" s="33"/>
      <c r="G20" s="33"/>
      <c r="H20" s="3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240"/>
      <c r="AL20" s="50">
        <v>7</v>
      </c>
      <c r="AM20" s="52" t="s">
        <v>422</v>
      </c>
      <c r="AN20" s="151" t="s">
        <v>3835</v>
      </c>
      <c r="AQ20" s="15"/>
    </row>
    <row r="21" spans="1:49" s="15" customFormat="1" ht="18.75" customHeight="1" x14ac:dyDescent="0.25">
      <c r="A21" s="34">
        <v>1</v>
      </c>
      <c r="B21" s="35" t="str">
        <f>VLOOKUP($AM$13&amp;$A21,Baru!$A$2:$H$1373,5,0)</f>
        <v>102318738 / 0076650474</v>
      </c>
      <c r="C21" s="35" t="str">
        <f>VLOOKUP($AM$13&amp;$A21,Baru!$A$2:$H$1373,6,0)</f>
        <v>ADAM ALIF NURAHNAF SYAIFUDIN</v>
      </c>
      <c r="D21" s="36" t="str">
        <f>VLOOKUP($AM$13&amp;$A21,Baru!$A$2:$H$1373,7,0)</f>
        <v>L</v>
      </c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47"/>
      <c r="AL21" s="50">
        <v>8</v>
      </c>
      <c r="AM21" s="52" t="s">
        <v>423</v>
      </c>
      <c r="AN21" s="51" t="s">
        <v>3015</v>
      </c>
    </row>
    <row r="22" spans="1:49" s="15" customFormat="1" ht="20.25" customHeight="1" x14ac:dyDescent="0.25">
      <c r="A22" s="34">
        <v>2</v>
      </c>
      <c r="B22" s="35" t="str">
        <f>VLOOKUP($AM$13&amp;$A22,Baru!$A$2:$H$1373,5,0)</f>
        <v>102318739 / 0086535292</v>
      </c>
      <c r="C22" s="35" t="str">
        <f>VLOOKUP($AM$13&amp;$A22,Baru!$A$2:$H$1373,6,0)</f>
        <v>ALIFA SYAKINA</v>
      </c>
      <c r="D22" s="36" t="str">
        <f>VLOOKUP($AM$13&amp;$A22,Baru!$A$2:$H$1373,7,0)</f>
        <v>P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47"/>
      <c r="AL22" s="50">
        <v>9</v>
      </c>
      <c r="AM22" s="52" t="s">
        <v>424</v>
      </c>
      <c r="AN22" s="15" t="s">
        <v>4258</v>
      </c>
      <c r="AO22" s="51" t="s">
        <v>3003</v>
      </c>
    </row>
    <row r="23" spans="1:49" s="15" customFormat="1" ht="18.75" customHeight="1" x14ac:dyDescent="0.25">
      <c r="A23" s="34">
        <v>3</v>
      </c>
      <c r="B23" s="35" t="str">
        <f>VLOOKUP($AM$13&amp;$A23,Baru!$A$2:$H$1373,5,0)</f>
        <v>102318740 / 0073643663</v>
      </c>
      <c r="C23" s="35" t="str">
        <f>VLOOKUP($AM$13&amp;$A23,Baru!$A$2:$H$1373,6,0)</f>
        <v>ALIYA KHAIRUNNISA</v>
      </c>
      <c r="D23" s="36" t="str">
        <f>VLOOKUP($AM$13&amp;$A23,Baru!$A$2:$H$1373,7,0)</f>
        <v>P</v>
      </c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47"/>
      <c r="AL23" s="50">
        <v>10</v>
      </c>
      <c r="AM23" s="52" t="s">
        <v>425</v>
      </c>
      <c r="AN23" s="15" t="s">
        <v>4259</v>
      </c>
    </row>
    <row r="24" spans="1:49" s="15" customFormat="1" ht="18.75" customHeight="1" x14ac:dyDescent="0.25">
      <c r="A24" s="34">
        <v>4</v>
      </c>
      <c r="B24" s="35" t="str">
        <f>VLOOKUP($AM$13&amp;$A24,Baru!$A$2:$H$1373,5,0)</f>
        <v>102318741 / 0089316539</v>
      </c>
      <c r="C24" s="35" t="str">
        <f>VLOOKUP($AM$13&amp;$A24,Baru!$A$2:$H$1373,6,0)</f>
        <v>ALYA TRI CAHYANI</v>
      </c>
      <c r="D24" s="36" t="str">
        <f>VLOOKUP($AM$13&amp;$A24,Baru!$A$2:$H$1373,7,0)</f>
        <v>P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47"/>
      <c r="AL24" s="50">
        <v>11</v>
      </c>
      <c r="AM24" s="52" t="s">
        <v>426</v>
      </c>
      <c r="AN24" s="15" t="s">
        <v>4260</v>
      </c>
    </row>
    <row r="25" spans="1:49" s="15" customFormat="1" ht="18.75" customHeight="1" x14ac:dyDescent="0.25">
      <c r="A25" s="34">
        <v>5</v>
      </c>
      <c r="B25" s="35" t="str">
        <f>VLOOKUP($AM$13&amp;$A25,Baru!$A$2:$H$1373,5,0)</f>
        <v>102318742 / 0075977264</v>
      </c>
      <c r="C25" s="35" t="str">
        <f>VLOOKUP($AM$13&amp;$A25,Baru!$A$2:$H$1373,6,0)</f>
        <v>AYU SYIFA AL FIYANI</v>
      </c>
      <c r="D25" s="36" t="str">
        <f>VLOOKUP($AM$13&amp;$A25,Baru!$A$2:$H$1373,7,0)</f>
        <v>P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47"/>
      <c r="AL25" s="50">
        <v>12</v>
      </c>
      <c r="AM25" s="52" t="s">
        <v>3822</v>
      </c>
    </row>
    <row r="26" spans="1:49" s="15" customFormat="1" ht="18.75" customHeight="1" x14ac:dyDescent="0.25">
      <c r="A26" s="34">
        <v>6</v>
      </c>
      <c r="B26" s="35" t="str">
        <f>VLOOKUP($AM$13&amp;$A26,Baru!$A$2:$H$1373,5,0)</f>
        <v>102318743 / 0074316539</v>
      </c>
      <c r="C26" s="35" t="str">
        <f>VLOOKUP($AM$13&amp;$A26,Baru!$A$2:$H$1373,6,0)</f>
        <v>DARIN SYAKIRA MARDHIYA</v>
      </c>
      <c r="D26" s="36" t="str">
        <f>VLOOKUP($AM$13&amp;$A26,Baru!$A$2:$H$1373,7,0)</f>
        <v>P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47"/>
      <c r="AL26" s="50">
        <v>13</v>
      </c>
      <c r="AM26" s="52" t="s">
        <v>3823</v>
      </c>
    </row>
    <row r="27" spans="1:49" s="15" customFormat="1" ht="18.75" customHeight="1" x14ac:dyDescent="0.25">
      <c r="A27" s="34">
        <v>7</v>
      </c>
      <c r="B27" s="35" t="str">
        <f>VLOOKUP($AM$13&amp;$A27,Baru!$A$2:$H$1373,5,0)</f>
        <v>102318744 / 0077024892</v>
      </c>
      <c r="C27" s="35" t="str">
        <f>VLOOKUP($AM$13&amp;$A27,Baru!$A$2:$H$1373,6,0)</f>
        <v>DEMAS PRAYUDHA LUTHFIANTO</v>
      </c>
      <c r="D27" s="36" t="str">
        <f>VLOOKUP($AM$13&amp;$A27,Baru!$A$2:$H$1373,7,0)</f>
        <v>L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47"/>
      <c r="AL27" s="50">
        <v>14</v>
      </c>
      <c r="AM27" s="52" t="s">
        <v>3824</v>
      </c>
      <c r="AO27" s="51" t="s">
        <v>3008</v>
      </c>
    </row>
    <row r="28" spans="1:49" s="15" customFormat="1" ht="18.75" customHeight="1" x14ac:dyDescent="0.25">
      <c r="A28" s="34">
        <v>8</v>
      </c>
      <c r="B28" s="35" t="str">
        <f>VLOOKUP($AM$13&amp;$A28,Baru!$A$2:$H$1373,5,0)</f>
        <v>102318745 / 0075115777</v>
      </c>
      <c r="C28" s="35" t="str">
        <f>VLOOKUP($AM$13&amp;$A28,Baru!$A$2:$H$1373,6,0)</f>
        <v>DEWI SRI RAHAYU</v>
      </c>
      <c r="D28" s="36" t="str">
        <f>VLOOKUP($AM$13&amp;$A28,Baru!$A$2:$H$1373,7,0)</f>
        <v>P</v>
      </c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47"/>
      <c r="AL28" s="50">
        <v>15</v>
      </c>
      <c r="AM28" s="52" t="s">
        <v>3825</v>
      </c>
      <c r="AO28" s="51" t="s">
        <v>3009</v>
      </c>
    </row>
    <row r="29" spans="1:49" s="15" customFormat="1" ht="18.75" customHeight="1" x14ac:dyDescent="0.25">
      <c r="A29" s="34">
        <v>9</v>
      </c>
      <c r="B29" s="35" t="str">
        <f>VLOOKUP($AM$13&amp;$A29,Baru!$A$2:$H$1373,5,0)</f>
        <v>102318746 / 0089847230</v>
      </c>
      <c r="C29" s="35" t="str">
        <f>VLOOKUP($AM$13&amp;$A29,Baru!$A$2:$H$1373,6,0)</f>
        <v>DINA LATHIFAH ATHIRAH AZHAR</v>
      </c>
      <c r="D29" s="36" t="str">
        <f>VLOOKUP($AM$13&amp;$A29,Baru!$A$2:$H$1373,7,0)</f>
        <v>P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47"/>
      <c r="AL29" s="50">
        <v>16</v>
      </c>
      <c r="AM29" s="52" t="s">
        <v>3826</v>
      </c>
      <c r="AW29" s="15" t="s">
        <v>3011</v>
      </c>
    </row>
    <row r="30" spans="1:49" s="15" customFormat="1" ht="18.75" customHeight="1" x14ac:dyDescent="0.25">
      <c r="A30" s="34">
        <v>10</v>
      </c>
      <c r="B30" s="35" t="str">
        <f>VLOOKUP($AM$13&amp;$A30,Baru!$A$2:$H$1373,5,0)</f>
        <v>102318747 / 0087993601</v>
      </c>
      <c r="C30" s="35" t="str">
        <f>VLOOKUP($AM$13&amp;$A30,Baru!$A$2:$H$1373,6,0)</f>
        <v>DINDA DAMAYANTI</v>
      </c>
      <c r="D30" s="36" t="str">
        <f>VLOOKUP($AM$13&amp;$A30,Baru!$A$2:$H$1373,7,0)</f>
        <v>P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47"/>
      <c r="AL30" s="50">
        <v>17</v>
      </c>
      <c r="AM30" s="52" t="s">
        <v>3827</v>
      </c>
    </row>
    <row r="31" spans="1:49" s="15" customFormat="1" ht="17.25" x14ac:dyDescent="0.25">
      <c r="A31" s="34">
        <v>11</v>
      </c>
      <c r="B31" s="35" t="str">
        <f>VLOOKUP($AM$13&amp;$A31,Baru!$A$2:$H$1373,5,0)</f>
        <v>102318748 / 0083121409</v>
      </c>
      <c r="C31" s="35" t="str">
        <f>VLOOKUP($AM$13&amp;$A31,Baru!$A$2:$H$1373,6,0)</f>
        <v>DZULFIKAR AHMAD</v>
      </c>
      <c r="D31" s="36" t="str">
        <f>VLOOKUP($AM$13&amp;$A31,Baru!$A$2:$H$1373,7,0)</f>
        <v>L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47"/>
      <c r="AL31" s="50">
        <v>18</v>
      </c>
      <c r="AM31" s="52" t="s">
        <v>3828</v>
      </c>
    </row>
    <row r="32" spans="1:49" s="15" customFormat="1" ht="18.75" customHeight="1" x14ac:dyDescent="0.25">
      <c r="A32" s="34">
        <v>12</v>
      </c>
      <c r="B32" s="35" t="str">
        <f>VLOOKUP($AM$13&amp;$A32,Baru!$A$2:$H$1373,5,0)</f>
        <v>102318749 / 0076487771</v>
      </c>
      <c r="C32" s="35" t="str">
        <f>VLOOKUP($AM$13&amp;$A32,Baru!$A$2:$H$1373,6,0)</f>
        <v>EVI RAHMAWATI</v>
      </c>
      <c r="D32" s="36" t="str">
        <f>VLOOKUP($AM$13&amp;$A32,Baru!$A$2:$H$1373,7,0)</f>
        <v>P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47"/>
      <c r="AL32" s="50">
        <v>19</v>
      </c>
      <c r="AM32" s="52" t="s">
        <v>3829</v>
      </c>
    </row>
    <row r="33" spans="1:45" s="15" customFormat="1" ht="18.75" customHeight="1" x14ac:dyDescent="0.25">
      <c r="A33" s="34">
        <v>13</v>
      </c>
      <c r="B33" s="35" t="str">
        <f>VLOOKUP($AM$13&amp;$A33,Baru!$A$2:$H$1373,5,0)</f>
        <v>102318750 / 0083861812</v>
      </c>
      <c r="C33" s="35" t="str">
        <f>VLOOKUP($AM$13&amp;$A33,Baru!$A$2:$H$1373,6,0)</f>
        <v>FACHRI MUHAMMAD</v>
      </c>
      <c r="D33" s="36" t="str">
        <f>VLOOKUP($AM$13&amp;$A33,Baru!$A$2:$H$1373,7,0)</f>
        <v>L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 t="s">
        <v>3011</v>
      </c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47"/>
      <c r="AL33" s="50">
        <v>20</v>
      </c>
      <c r="AM33" s="52" t="s">
        <v>3830</v>
      </c>
    </row>
    <row r="34" spans="1:45" s="15" customFormat="1" ht="18.75" customHeight="1" x14ac:dyDescent="0.25">
      <c r="A34" s="34">
        <v>14</v>
      </c>
      <c r="B34" s="35" t="str">
        <f>VLOOKUP($AM$13&amp;$A34,Baru!$A$2:$H$1373,5,0)</f>
        <v>102318751 / 0073444383</v>
      </c>
      <c r="C34" s="35" t="str">
        <f>VLOOKUP($AM$13&amp;$A34,Baru!$A$2:$H$1373,6,0)</f>
        <v>FAUZIA LUTHFI ATHAILLAH</v>
      </c>
      <c r="D34" s="36" t="str">
        <f>VLOOKUP($AM$13&amp;$A34,Baru!$A$2:$H$1373,7,0)</f>
        <v>P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47"/>
      <c r="AL34" s="50">
        <v>21</v>
      </c>
      <c r="AM34" s="52" t="s">
        <v>3831</v>
      </c>
      <c r="AR34" s="15" t="s">
        <v>3011</v>
      </c>
    </row>
    <row r="35" spans="1:45" s="15" customFormat="1" ht="18.75" customHeight="1" x14ac:dyDescent="0.25">
      <c r="A35" s="34">
        <v>15</v>
      </c>
      <c r="B35" s="35" t="str">
        <f>VLOOKUP($AM$13&amp;$A35,Baru!$A$2:$H$1373,5,0)</f>
        <v>102318752 / 0086597062</v>
      </c>
      <c r="C35" s="35" t="str">
        <f>VLOOKUP($AM$13&amp;$A35,Baru!$A$2:$H$1373,6,0)</f>
        <v>FIANTIKA DWI IRAWAN</v>
      </c>
      <c r="D35" s="36" t="str">
        <f>VLOOKUP($AM$13&amp;$A35,Baru!$A$2:$H$1373,7,0)</f>
        <v>P</v>
      </c>
      <c r="E35" s="37"/>
      <c r="F35" s="37"/>
      <c r="G35" s="37"/>
      <c r="H35" s="37"/>
      <c r="I35" s="37" t="s">
        <v>3011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47"/>
      <c r="AL35" s="50">
        <v>22</v>
      </c>
      <c r="AM35" s="52" t="s">
        <v>3832</v>
      </c>
    </row>
    <row r="36" spans="1:45" s="15" customFormat="1" ht="18.75" customHeight="1" x14ac:dyDescent="0.25">
      <c r="A36" s="34">
        <v>16</v>
      </c>
      <c r="B36" s="35" t="str">
        <f>VLOOKUP($AM$13&amp;$A36,Baru!$A$2:$H$1373,5,0)</f>
        <v>102318753 / 0088168979</v>
      </c>
      <c r="C36" s="35" t="str">
        <f>VLOOKUP($AM$13&amp;$A36,Baru!$A$2:$H$1373,6,0)</f>
        <v>KAYLA ANANDITA PUTRI</v>
      </c>
      <c r="D36" s="36" t="str">
        <f>VLOOKUP($AM$13&amp;$A36,Baru!$A$2:$H$1373,7,0)</f>
        <v>P</v>
      </c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47"/>
      <c r="AL36" s="50">
        <v>23</v>
      </c>
      <c r="AM36" s="52" t="s">
        <v>3857</v>
      </c>
    </row>
    <row r="37" spans="1:45" s="15" customFormat="1" ht="18.75" customHeight="1" x14ac:dyDescent="0.25">
      <c r="A37" s="34">
        <v>17</v>
      </c>
      <c r="B37" s="35" t="str">
        <f>VLOOKUP($AM$13&amp;$A37,Baru!$A$2:$H$1373,5,0)</f>
        <v>102318754 / 0075463246</v>
      </c>
      <c r="C37" s="35" t="str">
        <f>VLOOKUP($AM$13&amp;$A37,Baru!$A$2:$H$1373,6,0)</f>
        <v>KAYLA QOLBY LIYYAL KHAIRA</v>
      </c>
      <c r="D37" s="36" t="str">
        <f>VLOOKUP($AM$13&amp;$A37,Baru!$A$2:$H$1373,7,0)</f>
        <v>P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47"/>
      <c r="AL37" s="50">
        <v>24</v>
      </c>
      <c r="AM37" s="52" t="s">
        <v>3858</v>
      </c>
      <c r="AO37" s="51" t="s">
        <v>3018</v>
      </c>
      <c r="AS37" s="15" t="s">
        <v>3011</v>
      </c>
    </row>
    <row r="38" spans="1:45" s="15" customFormat="1" ht="18.75" customHeight="1" x14ac:dyDescent="0.25">
      <c r="A38" s="34">
        <v>18</v>
      </c>
      <c r="B38" s="35" t="str">
        <f>VLOOKUP($AM$13&amp;$A38,Baru!$A$2:$H$1373,5,0)</f>
        <v>102318755 / 0071783553</v>
      </c>
      <c r="C38" s="35" t="str">
        <f>VLOOKUP($AM$13&amp;$A38,Baru!$A$2:$H$1373,6,0)</f>
        <v>KAYLA RAHADHATUL AISY</v>
      </c>
      <c r="D38" s="36" t="str">
        <f>VLOOKUP($AM$13&amp;$A38,Baru!$A$2:$H$1373,7,0)</f>
        <v>P</v>
      </c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47"/>
      <c r="AL38" s="50">
        <v>25</v>
      </c>
      <c r="AM38" s="52" t="s">
        <v>3859</v>
      </c>
    </row>
    <row r="39" spans="1:45" s="15" customFormat="1" ht="17.25" x14ac:dyDescent="0.25">
      <c r="A39" s="34">
        <v>19</v>
      </c>
      <c r="B39" s="35" t="str">
        <f>VLOOKUP($AM$13&amp;$A39,Baru!$A$2:$H$1373,5,0)</f>
        <v>102318756 / 0082007607</v>
      </c>
      <c r="C39" s="35" t="str">
        <f>VLOOKUP($AM$13&amp;$A39,Baru!$A$2:$H$1373,6,0)</f>
        <v>KHAIRANI NAZWA ALIYYA MUTTAQIN SYAH</v>
      </c>
      <c r="D39" s="36" t="str">
        <f>VLOOKUP($AM$13&amp;$A39,Baru!$A$2:$H$1373,7,0)</f>
        <v>P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47"/>
      <c r="AL39" s="50">
        <v>26</v>
      </c>
      <c r="AM39" s="52" t="s">
        <v>3860</v>
      </c>
    </row>
    <row r="40" spans="1:45" s="15" customFormat="1" ht="17.25" x14ac:dyDescent="0.25">
      <c r="A40" s="34">
        <v>20</v>
      </c>
      <c r="B40" s="35" t="str">
        <f>VLOOKUP($AM$13&amp;$A40,Baru!$A$2:$H$1373,5,0)</f>
        <v>102318757 / 0087008346</v>
      </c>
      <c r="C40" s="35" t="str">
        <f>VLOOKUP($AM$13&amp;$A40,Baru!$A$2:$H$1373,6,0)</f>
        <v>LUTHFI LATIEFAH NUR JAMEELA</v>
      </c>
      <c r="D40" s="36" t="str">
        <f>VLOOKUP($AM$13&amp;$A40,Baru!$A$2:$H$1373,7,0)</f>
        <v>P</v>
      </c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47"/>
      <c r="AL40" s="50">
        <v>27</v>
      </c>
      <c r="AM40" s="52" t="s">
        <v>3861</v>
      </c>
    </row>
    <row r="41" spans="1:45" s="15" customFormat="1" ht="17.25" x14ac:dyDescent="0.25">
      <c r="A41" s="34">
        <v>21</v>
      </c>
      <c r="B41" s="35" t="str">
        <f>VLOOKUP($AM$13&amp;$A41,Baru!$A$2:$H$1373,5,0)</f>
        <v>102318758 / 0082388418</v>
      </c>
      <c r="C41" s="35" t="str">
        <f>VLOOKUP($AM$13&amp;$A41,Baru!$A$2:$H$1373,6,0)</f>
        <v>MAHYRA ZAHRA PURNAMA</v>
      </c>
      <c r="D41" s="36" t="str">
        <f>VLOOKUP($AM$13&amp;$A41,Baru!$A$2:$H$1373,7,0)</f>
        <v>P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47"/>
      <c r="AL41" s="50">
        <v>28</v>
      </c>
      <c r="AM41" s="52" t="s">
        <v>3862</v>
      </c>
    </row>
    <row r="42" spans="1:45" s="15" customFormat="1" ht="18.75" customHeight="1" x14ac:dyDescent="0.25">
      <c r="A42" s="34">
        <v>22</v>
      </c>
      <c r="B42" s="35" t="str">
        <f>VLOOKUP($AM$13&amp;$A42,Baru!$A$2:$H$1373,5,0)</f>
        <v>102318759 / 0088620854</v>
      </c>
      <c r="C42" s="35" t="str">
        <f>VLOOKUP($AM$13&amp;$A42,Baru!$A$2:$H$1373,6,0)</f>
        <v>MEYLINDA PUTRI SANTIKA</v>
      </c>
      <c r="D42" s="36" t="str">
        <f>VLOOKUP($AM$13&amp;$A42,Baru!$A$2:$H$1373,7,0)</f>
        <v>P</v>
      </c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47"/>
      <c r="AL42" s="50">
        <v>29</v>
      </c>
      <c r="AM42" s="52" t="s">
        <v>3863</v>
      </c>
    </row>
    <row r="43" spans="1:45" s="15" customFormat="1" ht="17.25" x14ac:dyDescent="0.25">
      <c r="A43" s="34">
        <v>23</v>
      </c>
      <c r="B43" s="35" t="str">
        <f>VLOOKUP($AM$13&amp;$A43,Baru!$A$2:$H$1373,5,0)</f>
        <v>102318760 / 0082811386</v>
      </c>
      <c r="C43" s="35" t="str">
        <f>VLOOKUP($AM$13&amp;$A43,Baru!$A$2:$H$1373,6,0)</f>
        <v>MIRZA ARIEL FEBY KAVALERI</v>
      </c>
      <c r="D43" s="36" t="str">
        <f>VLOOKUP($AM$13&amp;$A43,Baru!$A$2:$H$1373,7,0)</f>
        <v>L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47"/>
      <c r="AL43" s="50">
        <v>30</v>
      </c>
      <c r="AM43" s="52" t="s">
        <v>3864</v>
      </c>
    </row>
    <row r="44" spans="1:45" s="15" customFormat="1" ht="17.25" x14ac:dyDescent="0.25">
      <c r="A44" s="34">
        <v>24</v>
      </c>
      <c r="B44" s="35" t="str">
        <f>VLOOKUP($AM$13&amp;$A44,Baru!$A$2:$H$1373,5,0)</f>
        <v>102318761 / 0072159565</v>
      </c>
      <c r="C44" s="35" t="str">
        <f>VLOOKUP($AM$13&amp;$A44,Baru!$A$2:$H$1373,6,0)</f>
        <v>MUHAMMAD MULKI HAKIM</v>
      </c>
      <c r="D44" s="36" t="str">
        <f>VLOOKUP($AM$13&amp;$A44,Baru!$A$2:$H$1373,7,0)</f>
        <v>L</v>
      </c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47"/>
      <c r="AL44" s="50">
        <v>31</v>
      </c>
      <c r="AM44" s="52" t="s">
        <v>3865</v>
      </c>
    </row>
    <row r="45" spans="1:45" s="15" customFormat="1" ht="18.75" customHeight="1" x14ac:dyDescent="0.25">
      <c r="A45" s="34">
        <v>25</v>
      </c>
      <c r="B45" s="35" t="str">
        <f>VLOOKUP($AM$13&amp;$A45,Baru!$A$2:$H$1373,5,0)</f>
        <v>102318762 / 0076284245</v>
      </c>
      <c r="C45" s="35" t="str">
        <f>VLOOKUP($AM$13&amp;$A45,Baru!$A$2:$H$1373,6,0)</f>
        <v>NAILAH AGHNIYA TAFIDAH</v>
      </c>
      <c r="D45" s="36" t="str">
        <f>VLOOKUP($AM$13&amp;$A45,Baru!$A$2:$H$1373,7,0)</f>
        <v>P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47"/>
      <c r="AL45" s="50">
        <v>32</v>
      </c>
      <c r="AM45" s="52" t="s">
        <v>3866</v>
      </c>
    </row>
    <row r="46" spans="1:45" s="15" customFormat="1" ht="18.75" customHeight="1" x14ac:dyDescent="0.25">
      <c r="A46" s="34">
        <v>26</v>
      </c>
      <c r="B46" s="35" t="str">
        <f>VLOOKUP($AM$13&amp;$A46,Baru!$A$2:$H$1373,5,0)</f>
        <v>102318763 / 0078016724</v>
      </c>
      <c r="C46" s="35" t="str">
        <f>VLOOKUP($AM$13&amp;$A46,Baru!$A$2:$H$1373,6,0)</f>
        <v>PRISHA KHAIRUNISA NA'IEMAH</v>
      </c>
      <c r="D46" s="36" t="str">
        <f>VLOOKUP($AM$13&amp;$A46,Baru!$A$2:$H$1373,7,0)</f>
        <v>P</v>
      </c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47"/>
      <c r="AL46" s="50">
        <v>33</v>
      </c>
      <c r="AM46" s="52" t="s">
        <v>3867</v>
      </c>
    </row>
    <row r="47" spans="1:45" s="15" customFormat="1" ht="18.75" customHeight="1" x14ac:dyDescent="0.25">
      <c r="A47" s="34">
        <v>27</v>
      </c>
      <c r="B47" s="35" t="str">
        <f>VLOOKUP($AM$13&amp;$A47,Baru!$A$2:$H$1373,5,0)</f>
        <v>102318764 / 0085595699</v>
      </c>
      <c r="C47" s="35" t="str">
        <f>VLOOKUP($AM$13&amp;$A47,Baru!$A$2:$H$1373,6,0)</f>
        <v>PUTRI RISMAYANTI MUHTARI</v>
      </c>
      <c r="D47" s="36" t="str">
        <f>VLOOKUP($AM$13&amp;$A47,Baru!$A$2:$H$1373,7,0)</f>
        <v>P</v>
      </c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47"/>
      <c r="AL47" s="50">
        <v>34</v>
      </c>
      <c r="AM47" s="52" t="s">
        <v>4252</v>
      </c>
      <c r="AO47" s="51" t="s">
        <v>3028</v>
      </c>
    </row>
    <row r="48" spans="1:45" s="15" customFormat="1" ht="18.75" customHeight="1" x14ac:dyDescent="0.25">
      <c r="A48" s="34">
        <v>28</v>
      </c>
      <c r="B48" s="35" t="str">
        <f>VLOOKUP($AM$13&amp;$A48,Baru!$A$2:$H$1373,5,0)</f>
        <v>102318765 / 0071854052</v>
      </c>
      <c r="C48" s="35" t="str">
        <f>VLOOKUP($AM$13&amp;$A48,Baru!$A$2:$H$1373,6,0)</f>
        <v>RASYA SYAHID ARROYAN</v>
      </c>
      <c r="D48" s="36" t="str">
        <f>VLOOKUP($AM$13&amp;$A48,Baru!$A$2:$H$1373,7,0)</f>
        <v>L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47"/>
      <c r="AL48" s="50">
        <v>35</v>
      </c>
      <c r="AM48" s="52" t="s">
        <v>4253</v>
      </c>
    </row>
    <row r="49" spans="1:42" s="15" customFormat="1" ht="18.75" customHeight="1" x14ac:dyDescent="0.25">
      <c r="A49" s="34">
        <v>29</v>
      </c>
      <c r="B49" s="35" t="str">
        <f>VLOOKUP($AM$13&amp;$A49,Baru!$A$2:$H$1373,5,0)</f>
        <v>102318766 / 0074233228</v>
      </c>
      <c r="C49" s="35" t="str">
        <f>VLOOKUP($AM$13&amp;$A49,Baru!$A$2:$H$1373,6,0)</f>
        <v>RATU PUTRIDEWI NURRAHMAN</v>
      </c>
      <c r="D49" s="36" t="str">
        <f>VLOOKUP($AM$13&amp;$A49,Baru!$A$2:$H$1373,7,0)</f>
        <v>P</v>
      </c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47"/>
      <c r="AL49" s="50">
        <v>36</v>
      </c>
      <c r="AM49" s="52" t="s">
        <v>4254</v>
      </c>
      <c r="AP49" s="15" t="s">
        <v>3031</v>
      </c>
    </row>
    <row r="50" spans="1:42" s="15" customFormat="1" ht="18.75" customHeight="1" x14ac:dyDescent="0.25">
      <c r="A50" s="34">
        <v>30</v>
      </c>
      <c r="B50" s="35" t="str">
        <f>VLOOKUP($AM$13&amp;$A50,Baru!$A$2:$H$1373,5,0)</f>
        <v>102318767 / 0081133852</v>
      </c>
      <c r="C50" s="35" t="str">
        <f>VLOOKUP($AM$13&amp;$A50,Baru!$A$2:$H$1373,6,0)</f>
        <v>RIF'AT FADILAH</v>
      </c>
      <c r="D50" s="36" t="str">
        <f>VLOOKUP($AM$13&amp;$A50,Baru!$A$2:$H$1373,7,0)</f>
        <v>L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47"/>
      <c r="AL50" s="50">
        <v>37</v>
      </c>
      <c r="AM50" s="52" t="s">
        <v>4255</v>
      </c>
    </row>
    <row r="51" spans="1:42" s="15" customFormat="1" ht="18.75" customHeight="1" x14ac:dyDescent="0.25">
      <c r="A51" s="34">
        <v>31</v>
      </c>
      <c r="B51" s="35" t="str">
        <f>VLOOKUP($AM$13&amp;$A51,Baru!$A$2:$H$1373,5,0)</f>
        <v>102318768 / 3078294883</v>
      </c>
      <c r="C51" s="35" t="str">
        <f>VLOOKUP($AM$13&amp;$A51,Baru!$A$2:$H$1373,6,0)</f>
        <v>RIRIN WIDYA AJAHRA</v>
      </c>
      <c r="D51" s="36" t="str">
        <f>VLOOKUP($AM$13&amp;$A51,Baru!$A$2:$H$1373,7,0)</f>
        <v>P</v>
      </c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47"/>
      <c r="AL51" s="50">
        <v>38</v>
      </c>
      <c r="AM51" s="52" t="s">
        <v>4256</v>
      </c>
    </row>
    <row r="52" spans="1:42" s="15" customFormat="1" ht="18.75" customHeight="1" x14ac:dyDescent="0.25">
      <c r="A52" s="34">
        <v>32</v>
      </c>
      <c r="B52" s="35" t="str">
        <f>VLOOKUP($AM$13&amp;$A52,Baru!$A$2:$H$1373,5,0)</f>
        <v>102318769 / 0078892846</v>
      </c>
      <c r="C52" s="35" t="str">
        <f>VLOOKUP($AM$13&amp;$A52,Baru!$A$2:$H$1373,6,0)</f>
        <v>RISALAH MUAWIYAH</v>
      </c>
      <c r="D52" s="36" t="str">
        <f>VLOOKUP($AM$13&amp;$A52,Baru!$A$2:$H$1373,7,0)</f>
        <v>P</v>
      </c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47"/>
      <c r="AL52" s="50">
        <v>39</v>
      </c>
      <c r="AM52" s="52" t="s">
        <v>4257</v>
      </c>
      <c r="AO52" s="51" t="s">
        <v>3034</v>
      </c>
    </row>
    <row r="53" spans="1:42" s="15" customFormat="1" ht="18.75" customHeight="1" x14ac:dyDescent="0.25">
      <c r="A53" s="34">
        <v>33</v>
      </c>
      <c r="B53" s="35" t="str">
        <f>VLOOKUP($AM$13&amp;$A53,Baru!$A$2:$H$1373,5,0)</f>
        <v>102318770 / 0086108062</v>
      </c>
      <c r="C53" s="35" t="str">
        <f>VLOOKUP($AM$13&amp;$A53,Baru!$A$2:$H$1373,6,0)</f>
        <v>SAHLAN AHMAD FAUZAAN</v>
      </c>
      <c r="D53" s="36" t="str">
        <f>VLOOKUP($AM$13&amp;$A53,Baru!$A$2:$H$1373,7,0)</f>
        <v>L</v>
      </c>
      <c r="E53" s="39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47"/>
    </row>
    <row r="54" spans="1:42" s="15" customFormat="1" ht="18.75" customHeight="1" x14ac:dyDescent="0.25">
      <c r="A54" s="34">
        <v>34</v>
      </c>
      <c r="B54" s="35" t="str">
        <f>VLOOKUP($AM$13&amp;$A54,Baru!$A$2:$H$1373,5,0)</f>
        <v>102318771 / 0075938192</v>
      </c>
      <c r="C54" s="35" t="str">
        <f>VLOOKUP($AM$13&amp;$A54,Baru!$A$2:$H$1373,6,0)</f>
        <v>SATRIA RIZKI SAPUTRA</v>
      </c>
      <c r="D54" s="36" t="str">
        <f>VLOOKUP($AM$13&amp;$A54,Baru!$A$2:$H$1373,7,0)</f>
        <v>L</v>
      </c>
      <c r="E54" s="39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47"/>
    </row>
    <row r="55" spans="1:42" s="15" customFormat="1" ht="18.75" customHeight="1" x14ac:dyDescent="0.25">
      <c r="A55" s="34">
        <v>35</v>
      </c>
      <c r="B55" s="35" t="str">
        <f>VLOOKUP($AM$13&amp;$A55,Baru!$A$2:$H$1373,5,0)</f>
        <v>102318773 / 0086799792</v>
      </c>
      <c r="C55" s="35" t="str">
        <f>VLOOKUP($AM$13&amp;$A55,Baru!$A$2:$H$1373,6,0)</f>
        <v>ZAHVA KHALLISBOA</v>
      </c>
      <c r="D55" s="36" t="str">
        <f>VLOOKUP($AM$13&amp;$A55,Baru!$A$2:$H$1373,7,0)</f>
        <v>P</v>
      </c>
      <c r="E55" s="40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47"/>
    </row>
    <row r="56" spans="1:42" s="16" customFormat="1" ht="17.25" x14ac:dyDescent="0.25">
      <c r="A56" s="34">
        <v>36</v>
      </c>
      <c r="B56" s="35" t="e">
        <f>VLOOKUP($AM$13&amp;$A56,Baru!$A$2:$H$1373,5,0)</f>
        <v>#N/A</v>
      </c>
      <c r="C56" s="35" t="e">
        <f>VLOOKUP($AM$13&amp;$A56,Baru!$A$2:$H$1373,6,0)</f>
        <v>#N/A</v>
      </c>
      <c r="D56" s="36" t="e">
        <f>VLOOKUP($AM$13&amp;$A56,Baru!$A$2:$H$1373,7,0)</f>
        <v>#N/A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8"/>
    </row>
    <row r="57" spans="1:42" s="15" customFormat="1" ht="10.5" customHeight="1" x14ac:dyDescent="0.25">
      <c r="A57" s="27"/>
      <c r="B57" s="42"/>
      <c r="C57" s="43"/>
      <c r="D57" s="44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43"/>
    </row>
    <row r="58" spans="1:42" ht="13.5" customHeight="1" x14ac:dyDescent="0.25">
      <c r="A58" s="28"/>
      <c r="B58" s="42" t="s">
        <v>3035</v>
      </c>
      <c r="C58" s="43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46"/>
      <c r="AM58" t="s">
        <v>3036</v>
      </c>
    </row>
    <row r="59" spans="1:42" ht="13.5" customHeight="1" x14ac:dyDescent="0.25">
      <c r="A59" s="28"/>
      <c r="B59" s="42" t="s">
        <v>3037</v>
      </c>
      <c r="C59" s="45" t="str">
        <f>"= "&amp;COUNTIF(D21:D56,"L")</f>
        <v>= 10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43"/>
      <c r="O59" s="27"/>
      <c r="P59" s="27"/>
      <c r="R59" s="27"/>
      <c r="S59" s="27"/>
      <c r="T59" s="27"/>
      <c r="U59" s="28"/>
      <c r="V59" s="28"/>
      <c r="W59" s="28"/>
      <c r="X59" s="28"/>
      <c r="Y59" s="28"/>
      <c r="Z59" s="27" t="s">
        <v>3038</v>
      </c>
      <c r="AA59" s="28"/>
      <c r="AB59" s="28"/>
      <c r="AC59" s="28"/>
      <c r="AD59" s="28"/>
      <c r="AE59" s="28"/>
      <c r="AF59" s="28"/>
      <c r="AG59" s="28"/>
      <c r="AH59" s="28"/>
      <c r="AI59" s="28"/>
      <c r="AJ59" s="46"/>
    </row>
    <row r="60" spans="1:42" ht="13.5" customHeight="1" x14ac:dyDescent="0.25">
      <c r="A60" s="28"/>
      <c r="B60" s="42" t="s">
        <v>3039</v>
      </c>
      <c r="C60" s="45" t="str">
        <f>"= "&amp;COUNTIF(D21:D56,"P")</f>
        <v>= 25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46"/>
    </row>
    <row r="61" spans="1:42" ht="13.5" customHeight="1" x14ac:dyDescent="0.25">
      <c r="A61" s="28"/>
      <c r="B61" s="42" t="s">
        <v>3040</v>
      </c>
      <c r="C61" s="43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46"/>
    </row>
    <row r="62" spans="1:42" ht="13.5" customHeight="1" x14ac:dyDescent="0.25">
      <c r="A62" s="28"/>
      <c r="B62" s="42" t="s">
        <v>3041</v>
      </c>
      <c r="C62" s="43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46"/>
    </row>
    <row r="63" spans="1:42" ht="13.5" customHeight="1" x14ac:dyDescent="0.25">
      <c r="A63" s="28"/>
      <c r="B63" s="42" t="s">
        <v>3042</v>
      </c>
      <c r="C63" s="43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46"/>
    </row>
    <row r="64" spans="1:42" ht="13.5" customHeight="1" x14ac:dyDescent="0.25">
      <c r="A64" s="28"/>
      <c r="B64" s="42" t="s">
        <v>3043</v>
      </c>
      <c r="C64" s="43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46"/>
    </row>
    <row r="65" spans="1:53" x14ac:dyDescent="0.25">
      <c r="A65" s="19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</row>
    <row r="66" spans="1:53" x14ac:dyDescent="0.25">
      <c r="A66" s="19"/>
      <c r="E66" s="18"/>
      <c r="F66" s="18"/>
      <c r="G66" s="18"/>
      <c r="H66" s="18" t="str">
        <f>AM13</f>
        <v>XII KA 1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</row>
    <row r="67" spans="1:53" x14ac:dyDescent="0.25">
      <c r="A67" s="19"/>
    </row>
    <row r="68" spans="1:53" x14ac:dyDescent="0.25">
      <c r="A68" s="19"/>
    </row>
    <row r="69" spans="1:53" x14ac:dyDescent="0.25">
      <c r="A69" s="19"/>
    </row>
    <row r="70" spans="1:53" x14ac:dyDescent="0.25">
      <c r="A70" s="19"/>
    </row>
    <row r="71" spans="1:53" x14ac:dyDescent="0.25">
      <c r="A71" s="19"/>
    </row>
    <row r="72" spans="1:53" x14ac:dyDescent="0.25">
      <c r="A72" s="19"/>
    </row>
    <row r="73" spans="1:53" x14ac:dyDescent="0.25">
      <c r="A73" s="19"/>
    </row>
    <row r="74" spans="1:53" x14ac:dyDescent="0.25">
      <c r="A74" s="19"/>
    </row>
    <row r="75" spans="1:53" x14ac:dyDescent="0.25">
      <c r="A75" s="19"/>
    </row>
    <row r="76" spans="1:53" x14ac:dyDescent="0.25">
      <c r="A76" s="19"/>
    </row>
    <row r="77" spans="1:53" x14ac:dyDescent="0.25">
      <c r="A77" s="19"/>
    </row>
    <row r="78" spans="1:53" x14ac:dyDescent="0.25">
      <c r="A78" s="19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spans="1:53" x14ac:dyDescent="0.25">
      <c r="A79" s="1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BA79" t="s">
        <v>381</v>
      </c>
    </row>
    <row r="80" spans="1:53" x14ac:dyDescent="0.25">
      <c r="A80" s="19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spans="1:35" x14ac:dyDescent="0.25">
      <c r="A81" s="19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spans="1:35" x14ac:dyDescent="0.25">
      <c r="A82" s="19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spans="1:35" x14ac:dyDescent="0.25">
      <c r="A83" s="19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spans="1:35" x14ac:dyDescent="0.25">
      <c r="A84" s="19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spans="1:35" x14ac:dyDescent="0.25">
      <c r="A85" s="19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spans="1:35" x14ac:dyDescent="0.25">
      <c r="A86" s="19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spans="1:35" x14ac:dyDescent="0.25">
      <c r="A87" s="19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  <row r="88" spans="1:35" x14ac:dyDescent="0.25">
      <c r="A88" s="19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spans="1:35" x14ac:dyDescent="0.25">
      <c r="A89" s="1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</row>
    <row r="90" spans="1:35" x14ac:dyDescent="0.25">
      <c r="A90" s="19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spans="1:35" x14ac:dyDescent="0.25">
      <c r="A91" s="19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spans="1:35" x14ac:dyDescent="0.25">
      <c r="A92" s="19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spans="1:35" x14ac:dyDescent="0.25">
      <c r="A93" s="19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spans="1:35" x14ac:dyDescent="0.25">
      <c r="A94" s="19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spans="1:35" x14ac:dyDescent="0.25">
      <c r="A95" s="19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</row>
    <row r="96" spans="1:35" x14ac:dyDescent="0.25">
      <c r="A96" s="19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spans="1:35" x14ac:dyDescent="0.25">
      <c r="A97" s="19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</row>
    <row r="98" spans="1:35" x14ac:dyDescent="0.25">
      <c r="A98" s="19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spans="1:35" x14ac:dyDescent="0.25">
      <c r="A99" s="1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spans="1:35" x14ac:dyDescent="0.25">
      <c r="A100" s="19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 x14ac:dyDescent="0.25">
      <c r="A101" s="19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spans="1:35" x14ac:dyDescent="0.25">
      <c r="A102" s="19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 x14ac:dyDescent="0.25">
      <c r="A103" s="19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spans="1:35" x14ac:dyDescent="0.25">
      <c r="A104" s="19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 x14ac:dyDescent="0.25">
      <c r="A105" s="19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spans="1:35" x14ac:dyDescent="0.25">
      <c r="A106" s="19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 x14ac:dyDescent="0.25">
      <c r="A107" s="19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spans="1:35" x14ac:dyDescent="0.25">
      <c r="A108" s="19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 x14ac:dyDescent="0.25">
      <c r="A109" s="1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spans="1:35" x14ac:dyDescent="0.25">
      <c r="A110" s="19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 x14ac:dyDescent="0.25">
      <c r="A111" s="19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spans="1:35" x14ac:dyDescent="0.25">
      <c r="A112" s="19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 x14ac:dyDescent="0.25">
      <c r="A113" s="19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 x14ac:dyDescent="0.25">
      <c r="A114" s="19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 x14ac:dyDescent="0.25">
      <c r="A115" s="19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x14ac:dyDescent="0.25">
      <c r="A116" s="19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x14ac:dyDescent="0.25">
      <c r="A117" s="19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x14ac:dyDescent="0.25">
      <c r="A118" s="19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x14ac:dyDescent="0.25">
      <c r="A119" s="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x14ac:dyDescent="0.25">
      <c r="A120" s="19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x14ac:dyDescent="0.25">
      <c r="A121" s="19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x14ac:dyDescent="0.25">
      <c r="A122" s="19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x14ac:dyDescent="0.25">
      <c r="A123" s="19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x14ac:dyDescent="0.25">
      <c r="A124" s="19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 x14ac:dyDescent="0.25">
      <c r="A125" s="19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x14ac:dyDescent="0.25">
      <c r="A126" s="19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x14ac:dyDescent="0.25">
      <c r="A127" s="19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x14ac:dyDescent="0.25">
      <c r="A128" s="19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x14ac:dyDescent="0.25">
      <c r="A129" s="1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x14ac:dyDescent="0.25">
      <c r="A130" s="19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x14ac:dyDescent="0.25">
      <c r="A131" s="19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x14ac:dyDescent="0.25">
      <c r="A132" s="19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x14ac:dyDescent="0.25">
      <c r="A133" s="19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x14ac:dyDescent="0.25">
      <c r="A134" s="19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x14ac:dyDescent="0.25">
      <c r="A135" s="19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x14ac:dyDescent="0.25">
      <c r="A136" s="19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x14ac:dyDescent="0.25">
      <c r="A137" s="19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 x14ac:dyDescent="0.25">
      <c r="A138" s="19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 x14ac:dyDescent="0.25">
      <c r="A139" s="1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 x14ac:dyDescent="0.25">
      <c r="A140" s="19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 x14ac:dyDescent="0.25">
      <c r="A141" s="19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 x14ac:dyDescent="0.25">
      <c r="A142" s="19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 x14ac:dyDescent="0.25">
      <c r="A143" s="19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 x14ac:dyDescent="0.25">
      <c r="A144" s="19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 x14ac:dyDescent="0.25">
      <c r="A145" s="19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 x14ac:dyDescent="0.25">
      <c r="A146" s="19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 x14ac:dyDescent="0.25">
      <c r="A147" s="19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 x14ac:dyDescent="0.25">
      <c r="A148" s="19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 x14ac:dyDescent="0.25">
      <c r="A149" s="1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 x14ac:dyDescent="0.25">
      <c r="A150" s="19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 x14ac:dyDescent="0.25">
      <c r="A151" s="19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x14ac:dyDescent="0.25">
      <c r="A152" s="19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x14ac:dyDescent="0.25">
      <c r="A153" s="19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 x14ac:dyDescent="0.25">
      <c r="A154" s="19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x14ac:dyDescent="0.25">
      <c r="A155" s="19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 x14ac:dyDescent="0.25">
      <c r="A156" s="19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x14ac:dyDescent="0.25">
      <c r="A157" s="19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 x14ac:dyDescent="0.25">
      <c r="A158" s="19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x14ac:dyDescent="0.25">
      <c r="A159" s="1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 x14ac:dyDescent="0.25">
      <c r="A160" s="19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 x14ac:dyDescent="0.25">
      <c r="A161" s="19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 x14ac:dyDescent="0.25">
      <c r="A162" s="19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x14ac:dyDescent="0.25">
      <c r="A163" s="19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 x14ac:dyDescent="0.25">
      <c r="A164" s="19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 x14ac:dyDescent="0.25">
      <c r="A165" s="19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 x14ac:dyDescent="0.25">
      <c r="A166" s="19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 x14ac:dyDescent="0.25">
      <c r="A167" s="19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 x14ac:dyDescent="0.25">
      <c r="A168" s="19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 x14ac:dyDescent="0.25">
      <c r="A169" s="1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 x14ac:dyDescent="0.25">
      <c r="A170" s="19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 x14ac:dyDescent="0.25">
      <c r="A171" s="19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 x14ac:dyDescent="0.25">
      <c r="A172" s="19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 x14ac:dyDescent="0.25">
      <c r="A173" s="19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 x14ac:dyDescent="0.25">
      <c r="A174" s="19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 x14ac:dyDescent="0.25">
      <c r="A175" s="19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 x14ac:dyDescent="0.25">
      <c r="A176" s="19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 x14ac:dyDescent="0.25">
      <c r="A177" s="19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 x14ac:dyDescent="0.25">
      <c r="A178" s="19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 x14ac:dyDescent="0.25">
      <c r="A179" s="1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 x14ac:dyDescent="0.25">
      <c r="A180" s="19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 x14ac:dyDescent="0.25">
      <c r="A181" s="19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 x14ac:dyDescent="0.25">
      <c r="A182" s="19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 x14ac:dyDescent="0.25">
      <c r="A183" s="19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 x14ac:dyDescent="0.25">
      <c r="A184" s="19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 x14ac:dyDescent="0.25">
      <c r="A185" s="19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 x14ac:dyDescent="0.25">
      <c r="A186" s="19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 x14ac:dyDescent="0.25">
      <c r="A187" s="19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 x14ac:dyDescent="0.25">
      <c r="A188" s="19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 x14ac:dyDescent="0.25">
      <c r="A189" s="1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 x14ac:dyDescent="0.25">
      <c r="A190" s="19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 x14ac:dyDescent="0.25">
      <c r="A191" s="19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 x14ac:dyDescent="0.25">
      <c r="A192" s="19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 x14ac:dyDescent="0.25">
      <c r="A193" s="19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 x14ac:dyDescent="0.25">
      <c r="A194" s="19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 x14ac:dyDescent="0.25">
      <c r="A195" s="19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 x14ac:dyDescent="0.25">
      <c r="A196" s="19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</sheetData>
  <mergeCells count="10">
    <mergeCell ref="A13:AJ13"/>
    <mergeCell ref="A14:AJ14"/>
    <mergeCell ref="A15:AJ15"/>
    <mergeCell ref="A16:AJ16"/>
    <mergeCell ref="A18:A20"/>
    <mergeCell ref="B18:B20"/>
    <mergeCell ref="C18:C20"/>
    <mergeCell ref="D18:D20"/>
    <mergeCell ref="AJ18:AJ20"/>
    <mergeCell ref="E18:AI18"/>
  </mergeCells>
  <conditionalFormatting sqref="B50:D56">
    <cfRule type="containsErrors" dxfId="7" priority="1">
      <formula>ISERROR(B50)</formula>
    </cfRule>
  </conditionalFormatting>
  <conditionalFormatting sqref="E49:J56">
    <cfRule type="containsErrors" dxfId="6" priority="6">
      <formula>ISERROR(E49)</formula>
    </cfRule>
  </conditionalFormatting>
  <printOptions horizontalCentered="1"/>
  <pageMargins left="0.11811023622047245" right="0.11811023622047245" top="0.23622047244094491" bottom="0.27559055118110237" header="0.23622047244094491" footer="0.11811023622047245"/>
  <pageSetup paperSize="9" scale="54" orientation="landscape" verticalDpi="360" r:id="rId1"/>
  <colBreaks count="1" manualBreakCount="1">
    <brk id="3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41" r:id="rId4" name="Spinner 1">
              <controlPr defaultSize="0" autoPict="0">
                <anchor moveWithCells="1" sizeWithCells="1">
                  <from>
                    <xdr:col>36</xdr:col>
                    <xdr:colOff>485775</xdr:colOff>
                    <xdr:row>21</xdr:row>
                    <xdr:rowOff>152400</xdr:rowOff>
                  </from>
                  <to>
                    <xdr:col>37</xdr:col>
                    <xdr:colOff>361950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2" r:id="rId5" name="Spinner 2">
              <controlPr defaultSize="0" autoPict="0">
                <anchor moveWithCells="1" sizeWithCells="1">
                  <from>
                    <xdr:col>37</xdr:col>
                    <xdr:colOff>57150</xdr:colOff>
                    <xdr:row>51</xdr:row>
                    <xdr:rowOff>76200</xdr:rowOff>
                  </from>
                  <to>
                    <xdr:col>37</xdr:col>
                    <xdr:colOff>514350</xdr:colOff>
                    <xdr:row>58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3" r:id="rId6" name="Spinner 3">
              <controlPr defaultSize="0" autoPict="0">
                <anchor moveWithCells="1" sizeWithCells="1">
                  <from>
                    <xdr:col>36</xdr:col>
                    <xdr:colOff>485775</xdr:colOff>
                    <xdr:row>20</xdr:row>
                    <xdr:rowOff>152400</xdr:rowOff>
                  </from>
                  <to>
                    <xdr:col>37</xdr:col>
                    <xdr:colOff>361950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4" r:id="rId7" name="Spinner 4">
              <controlPr defaultSize="0" autoPict="0">
                <anchor moveWithCells="1" sizeWithCells="1">
                  <from>
                    <xdr:col>36</xdr:col>
                    <xdr:colOff>485775</xdr:colOff>
                    <xdr:row>20</xdr:row>
                    <xdr:rowOff>152400</xdr:rowOff>
                  </from>
                  <to>
                    <xdr:col>37</xdr:col>
                    <xdr:colOff>361950</xdr:colOff>
                    <xdr:row>28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AN200"/>
  <sheetViews>
    <sheetView tabSelected="1" view="pageBreakPreview" topLeftCell="A6" zoomScale="60" zoomScaleNormal="60" workbookViewId="0">
      <selection activeCell="Y27" sqref="Y27"/>
    </sheetView>
  </sheetViews>
  <sheetFormatPr defaultColWidth="9.140625" defaultRowHeight="15" x14ac:dyDescent="0.25"/>
  <cols>
    <col min="1" max="1" width="4" customWidth="1"/>
    <col min="2" max="2" width="29.7109375" style="17" customWidth="1"/>
    <col min="3" max="3" width="52.42578125" style="15" customWidth="1"/>
    <col min="4" max="4" width="6" style="18" customWidth="1"/>
    <col min="5" max="7" width="3.140625" style="19" customWidth="1"/>
    <col min="8" max="13" width="2.85546875" style="19" customWidth="1"/>
    <col min="14" max="20" width="3.5703125" style="19" customWidth="1"/>
    <col min="21" max="21" width="4.28515625" style="19" customWidth="1"/>
    <col min="22" max="22" width="5.42578125" style="19" customWidth="1"/>
    <col min="23" max="23" width="7.140625" customWidth="1"/>
    <col min="26" max="26" width="10.5703125" customWidth="1"/>
    <col min="27" max="27" width="43" customWidth="1"/>
    <col min="28" max="28" width="19.85546875" customWidth="1"/>
  </cols>
  <sheetData>
    <row r="1" spans="1:28" s="187" customFormat="1" x14ac:dyDescent="0.25">
      <c r="B1" s="188"/>
      <c r="C1" s="188"/>
      <c r="D1" s="189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</row>
    <row r="2" spans="1:28" s="187" customFormat="1" x14ac:dyDescent="0.25">
      <c r="B2" s="188"/>
      <c r="C2" s="188"/>
      <c r="D2" s="189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</row>
    <row r="3" spans="1:28" s="187" customFormat="1" x14ac:dyDescent="0.25">
      <c r="B3" s="188"/>
      <c r="C3" s="188"/>
      <c r="D3" s="189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</row>
    <row r="4" spans="1:28" s="187" customFormat="1" x14ac:dyDescent="0.25">
      <c r="B4" s="188"/>
      <c r="C4" s="188"/>
      <c r="D4" s="189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</row>
    <row r="5" spans="1:28" s="187" customFormat="1" x14ac:dyDescent="0.25">
      <c r="B5" s="188"/>
      <c r="C5" s="188"/>
      <c r="D5" s="189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</row>
    <row r="6" spans="1:28" s="187" customFormat="1" x14ac:dyDescent="0.25">
      <c r="B6" s="188"/>
      <c r="C6" s="188"/>
      <c r="D6" s="189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</row>
    <row r="7" spans="1:28" s="187" customFormat="1" x14ac:dyDescent="0.25">
      <c r="B7" s="188"/>
      <c r="C7" s="188"/>
      <c r="D7" s="189" t="s">
        <v>2990</v>
      </c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</row>
    <row r="8" spans="1:28" s="187" customFormat="1" x14ac:dyDescent="0.25">
      <c r="B8" s="188"/>
      <c r="C8" s="188"/>
      <c r="D8" s="189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</row>
    <row r="9" spans="1:28" s="187" customFormat="1" x14ac:dyDescent="0.25">
      <c r="B9" s="188"/>
      <c r="C9" s="188"/>
      <c r="D9" s="189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</row>
    <row r="10" spans="1:28" s="187" customFormat="1" ht="3.75" customHeight="1" x14ac:dyDescent="0.25">
      <c r="A10" s="191"/>
      <c r="B10" s="192"/>
      <c r="C10" s="192"/>
      <c r="D10" s="193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1"/>
    </row>
    <row r="11" spans="1:28" s="187" customFormat="1" ht="8.25" customHeight="1" x14ac:dyDescent="0.25">
      <c r="B11" s="188"/>
      <c r="C11" s="188"/>
      <c r="D11" s="189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</row>
    <row r="12" spans="1:28" ht="9" customHeight="1" x14ac:dyDescent="0.25"/>
    <row r="13" spans="1:28" ht="21" customHeight="1" x14ac:dyDescent="0.25">
      <c r="A13" s="235" t="s">
        <v>2991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Y13">
        <v>12</v>
      </c>
      <c r="Z13" t="str">
        <f>VLOOKUP(Y13,Y14:Z52,2)</f>
        <v>XI KA 1</v>
      </c>
      <c r="AA13" s="49" t="str">
        <f>VLOOKUP(Y13,Y14:AB52,3)</f>
        <v xml:space="preserve">Taufik Hidayat, S.Pd, M.M.Pd </v>
      </c>
    </row>
    <row r="14" spans="1:28" ht="21" customHeight="1" x14ac:dyDescent="0.25">
      <c r="A14" s="235" t="s">
        <v>5520</v>
      </c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Y14" s="50">
        <v>1</v>
      </c>
      <c r="Z14" s="1" t="s">
        <v>404</v>
      </c>
      <c r="AA14" s="49" t="s">
        <v>6026</v>
      </c>
    </row>
    <row r="15" spans="1:28" ht="21" customHeight="1" x14ac:dyDescent="0.25">
      <c r="A15" s="235" t="str">
        <f>"KELAS   "&amp;Z13</f>
        <v>KELAS   XI KA 1</v>
      </c>
      <c r="B15" s="235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Y15" s="50">
        <v>2</v>
      </c>
      <c r="Z15" s="1" t="s">
        <v>416</v>
      </c>
      <c r="AA15" s="49" t="s">
        <v>6027</v>
      </c>
    </row>
    <row r="16" spans="1:28" ht="13.5" customHeight="1" x14ac:dyDescent="0.25">
      <c r="A16" s="237" t="s">
        <v>2994</v>
      </c>
      <c r="B16" s="237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Y16" s="50">
        <v>3</v>
      </c>
      <c r="Z16" s="1" t="s">
        <v>417</v>
      </c>
      <c r="AA16" s="49" t="s">
        <v>3020</v>
      </c>
      <c r="AB16" s="51"/>
    </row>
    <row r="17" spans="1:36" ht="19.5" customHeight="1" x14ac:dyDescent="0.25">
      <c r="B17" s="25" t="s">
        <v>2996</v>
      </c>
      <c r="C17" s="26" t="str">
        <f>AA13</f>
        <v xml:space="preserve">Taufik Hidayat, S.Pd, M.M.Pd </v>
      </c>
      <c r="D17" s="27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46"/>
      <c r="Y17" s="50">
        <v>4</v>
      </c>
      <c r="Z17" s="1" t="s">
        <v>419</v>
      </c>
      <c r="AA17" s="49" t="s">
        <v>4265</v>
      </c>
      <c r="AC17" s="15"/>
    </row>
    <row r="18" spans="1:36" ht="18.75" customHeight="1" x14ac:dyDescent="0.25">
      <c r="A18" s="238" t="s">
        <v>2997</v>
      </c>
      <c r="B18" s="241" t="s">
        <v>2998</v>
      </c>
      <c r="C18" s="238" t="s">
        <v>377</v>
      </c>
      <c r="D18" s="238" t="s">
        <v>434</v>
      </c>
      <c r="E18" s="244" t="s">
        <v>2999</v>
      </c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38" t="s">
        <v>436</v>
      </c>
      <c r="Y18" s="50">
        <v>5</v>
      </c>
      <c r="Z18" s="1" t="s">
        <v>420</v>
      </c>
      <c r="AA18" s="49" t="s">
        <v>6028</v>
      </c>
    </row>
    <row r="19" spans="1:36" ht="18.75" customHeight="1" x14ac:dyDescent="0.25">
      <c r="A19" s="239"/>
      <c r="B19" s="242"/>
      <c r="C19" s="239"/>
      <c r="D19" s="239"/>
      <c r="E19" s="30">
        <v>1</v>
      </c>
      <c r="F19" s="30">
        <v>2</v>
      </c>
      <c r="G19" s="30">
        <v>3</v>
      </c>
      <c r="H19" s="31">
        <v>4</v>
      </c>
      <c r="I19" s="31">
        <v>5</v>
      </c>
      <c r="J19" s="31">
        <v>6</v>
      </c>
      <c r="K19" s="31">
        <v>7</v>
      </c>
      <c r="L19" s="31">
        <v>8</v>
      </c>
      <c r="M19" s="31">
        <v>9</v>
      </c>
      <c r="N19" s="29">
        <v>10</v>
      </c>
      <c r="O19" s="29">
        <v>11</v>
      </c>
      <c r="P19" s="29">
        <v>12</v>
      </c>
      <c r="Q19" s="29">
        <v>13</v>
      </c>
      <c r="R19" s="29">
        <v>14</v>
      </c>
      <c r="S19" s="29">
        <v>15</v>
      </c>
      <c r="T19" s="29">
        <v>16</v>
      </c>
      <c r="U19" s="29">
        <v>17</v>
      </c>
      <c r="V19" s="29">
        <v>18</v>
      </c>
      <c r="W19" s="239"/>
      <c r="Y19" s="50">
        <v>6</v>
      </c>
      <c r="Z19" s="1" t="s">
        <v>421</v>
      </c>
      <c r="AA19" s="49" t="s">
        <v>4273</v>
      </c>
      <c r="AB19" s="51"/>
    </row>
    <row r="20" spans="1:36" ht="18.75" customHeight="1" x14ac:dyDescent="0.25">
      <c r="A20" s="240"/>
      <c r="B20" s="243"/>
      <c r="C20" s="240"/>
      <c r="D20" s="240"/>
      <c r="E20" s="33"/>
      <c r="F20" s="33"/>
      <c r="G20" s="33"/>
      <c r="H20" s="32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40"/>
      <c r="Y20" s="50">
        <v>7</v>
      </c>
      <c r="Z20" s="52" t="s">
        <v>422</v>
      </c>
      <c r="AA20" s="49" t="s">
        <v>6031</v>
      </c>
      <c r="AD20" s="15"/>
    </row>
    <row r="21" spans="1:36" s="15" customFormat="1" ht="21.75" customHeight="1" x14ac:dyDescent="0.25">
      <c r="A21" s="34">
        <v>1</v>
      </c>
      <c r="B21" s="35" t="str">
        <f>VLOOKUP($Z$13&amp;$A21,Baru!$A$2:$H$1373,5,0)</f>
        <v xml:space="preserve">102419135 /   0086985872  </v>
      </c>
      <c r="C21" s="35" t="str">
        <f>VLOOKUP($Z$13&amp;$A21,Baru!$A$2:$H$1373,6,0)</f>
        <v>AKHTAR ANARGYA WAHYUDI</v>
      </c>
      <c r="D21" s="36" t="str">
        <f>VLOOKUP($Z$13&amp;$A21,Baru!$A$2:$H$1373,7,0)</f>
        <v>L</v>
      </c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47"/>
      <c r="Y21" s="50">
        <v>8</v>
      </c>
      <c r="Z21" s="52" t="s">
        <v>423</v>
      </c>
      <c r="AA21" s="55" t="s">
        <v>6032</v>
      </c>
    </row>
    <row r="22" spans="1:36" s="15" customFormat="1" ht="21.75" customHeight="1" x14ac:dyDescent="0.25">
      <c r="A22" s="34">
        <v>2</v>
      </c>
      <c r="B22" s="35" t="str">
        <f>VLOOKUP($Z$13&amp;$A22,Baru!$A$2:$H$1373,5,0)</f>
        <v xml:space="preserve">102419136 /   0082738092  </v>
      </c>
      <c r="C22" s="35" t="str">
        <f>VLOOKUP($Z$13&amp;$A22,Baru!$A$2:$H$1373,6,0)</f>
        <v>AKMAL NUR HAKIM</v>
      </c>
      <c r="D22" s="36" t="str">
        <f>VLOOKUP($Z$13&amp;$A22,Baru!$A$2:$H$1373,7,0)</f>
        <v>L</v>
      </c>
      <c r="E22" s="37"/>
      <c r="F22" s="37"/>
      <c r="G22" s="37"/>
      <c r="H22" s="37"/>
      <c r="I22" s="37"/>
      <c r="J22" s="37"/>
      <c r="K22" s="37"/>
      <c r="L22" s="37"/>
      <c r="M22" s="37"/>
      <c r="N22" s="37" t="s">
        <v>3011</v>
      </c>
      <c r="O22" s="37"/>
      <c r="P22" s="37"/>
      <c r="Q22" s="37"/>
      <c r="R22" s="37"/>
      <c r="S22" s="37"/>
      <c r="T22" s="37"/>
      <c r="U22" s="37"/>
      <c r="V22" s="37"/>
      <c r="W22" s="47"/>
      <c r="Y22" s="50">
        <v>9</v>
      </c>
      <c r="Z22" s="52" t="s">
        <v>424</v>
      </c>
      <c r="AA22" s="49" t="s">
        <v>6029</v>
      </c>
    </row>
    <row r="23" spans="1:36" s="15" customFormat="1" ht="21.75" customHeight="1" x14ac:dyDescent="0.25">
      <c r="A23" s="34">
        <v>3</v>
      </c>
      <c r="B23" s="35" t="str">
        <f>VLOOKUP($Z$13&amp;$A23,Baru!$A$2:$H$1373,5,0)</f>
        <v xml:space="preserve">102419137 /   0085056739  </v>
      </c>
      <c r="C23" s="35" t="str">
        <f>VLOOKUP($Z$13&amp;$A23,Baru!$A$2:$H$1373,6,0)</f>
        <v>ANDHIKA DWI PUTRA KUSTYAN</v>
      </c>
      <c r="D23" s="36" t="str">
        <f>VLOOKUP($Z$13&amp;$A23,Baru!$A$2:$H$1373,7,0)</f>
        <v>L</v>
      </c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47"/>
      <c r="Y23" s="50">
        <v>10</v>
      </c>
      <c r="Z23" s="52" t="s">
        <v>425</v>
      </c>
      <c r="AA23" s="49" t="s">
        <v>3015</v>
      </c>
      <c r="AB23" s="51"/>
    </row>
    <row r="24" spans="1:36" s="15" customFormat="1" ht="21.75" customHeight="1" x14ac:dyDescent="0.25">
      <c r="A24" s="34">
        <v>4</v>
      </c>
      <c r="B24" s="35" t="str">
        <f>VLOOKUP($Z$13&amp;$A24,Baru!$A$2:$H$1373,5,0)</f>
        <v xml:space="preserve">102419138 /   0096040843  </v>
      </c>
      <c r="C24" s="35" t="str">
        <f>VLOOKUP($Z$13&amp;$A24,Baru!$A$2:$H$1373,6,0)</f>
        <v>ARRUBI NAZMA HIDAYAT</v>
      </c>
      <c r="D24" s="36" t="str">
        <f>VLOOKUP($Z$13&amp;$A24,Baru!$A$2:$H$1373,7,0)</f>
        <v>P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47"/>
      <c r="Y24" s="50">
        <v>11</v>
      </c>
      <c r="Z24" s="52" t="s">
        <v>426</v>
      </c>
      <c r="AA24" s="51" t="s">
        <v>6030</v>
      </c>
      <c r="AB24" s="51"/>
    </row>
    <row r="25" spans="1:36" s="15" customFormat="1" ht="21.75" customHeight="1" x14ac:dyDescent="0.25">
      <c r="A25" s="34">
        <v>5</v>
      </c>
      <c r="B25" s="35" t="str">
        <f>VLOOKUP($Z$13&amp;$A25,Baru!$A$2:$H$1373,5,0)</f>
        <v xml:space="preserve">102419139 /   0091552057  </v>
      </c>
      <c r="C25" s="35" t="str">
        <f>VLOOKUP($Z$13&amp;$A25,Baru!$A$2:$H$1373,6,0)</f>
        <v>AVISA VALERIE INDRA PUTRI</v>
      </c>
      <c r="D25" s="36" t="str">
        <f>VLOOKUP($Z$13&amp;$A25,Baru!$A$2:$H$1373,7,0)</f>
        <v>P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47"/>
      <c r="Y25" s="50">
        <v>12</v>
      </c>
      <c r="Z25" s="52" t="s">
        <v>3822</v>
      </c>
      <c r="AA25" s="164" t="s">
        <v>6033</v>
      </c>
    </row>
    <row r="26" spans="1:36" s="15" customFormat="1" ht="21.75" customHeight="1" x14ac:dyDescent="0.25">
      <c r="A26" s="34">
        <v>6</v>
      </c>
      <c r="B26" s="35" t="str">
        <f>VLOOKUP($Z$13&amp;$A26,Baru!$A$2:$H$1373,5,0)</f>
        <v xml:space="preserve">102419140 /   0081306089  </v>
      </c>
      <c r="C26" s="35" t="str">
        <f>VLOOKUP($Z$13&amp;$A26,Baru!$A$2:$H$1373,6,0)</f>
        <v>CHARISA FITRIYANTI</v>
      </c>
      <c r="D26" s="36" t="str">
        <f>VLOOKUP($Z$13&amp;$A26,Baru!$A$2:$H$1373,7,0)</f>
        <v>P</v>
      </c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47"/>
      <c r="Y26" s="50">
        <v>13</v>
      </c>
      <c r="Z26" s="52" t="s">
        <v>3823</v>
      </c>
      <c r="AA26" s="49" t="s">
        <v>3034</v>
      </c>
    </row>
    <row r="27" spans="1:36" s="15" customFormat="1" ht="21.75" customHeight="1" x14ac:dyDescent="0.25">
      <c r="A27" s="34">
        <v>7</v>
      </c>
      <c r="B27" s="35" t="str">
        <f>VLOOKUP($Z$13&amp;$A27,Baru!$A$2:$H$1373,5,0)</f>
        <v xml:space="preserve">102419141 /   0084014496  </v>
      </c>
      <c r="C27" s="35" t="str">
        <f>VLOOKUP($Z$13&amp;$A27,Baru!$A$2:$H$1373,6,0)</f>
        <v>FATMA RIZKYANI FADILAH</v>
      </c>
      <c r="D27" s="36" t="str">
        <f>VLOOKUP($Z$13&amp;$A27,Baru!$A$2:$H$1373,7,0)</f>
        <v>P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47"/>
      <c r="Y27" s="50">
        <v>14</v>
      </c>
      <c r="Z27" s="52" t="s">
        <v>3824</v>
      </c>
      <c r="AA27" s="51" t="s">
        <v>4266</v>
      </c>
    </row>
    <row r="28" spans="1:36" s="15" customFormat="1" ht="21.75" customHeight="1" x14ac:dyDescent="0.25">
      <c r="A28" s="34">
        <v>8</v>
      </c>
      <c r="B28" s="35" t="str">
        <f>VLOOKUP($Z$13&amp;$A28,Baru!$A$2:$H$1373,5,0)</f>
        <v xml:space="preserve">102419142 /   0081520116  </v>
      </c>
      <c r="C28" s="35" t="str">
        <f>VLOOKUP($Z$13&amp;$A28,Baru!$A$2:$H$1373,6,0)</f>
        <v>FIRLY DWI ATHALLAH</v>
      </c>
      <c r="D28" s="36" t="str">
        <f>VLOOKUP($Z$13&amp;$A28,Baru!$A$2:$H$1373,7,0)</f>
        <v>L</v>
      </c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47"/>
      <c r="Y28" s="50">
        <v>15</v>
      </c>
      <c r="Z28" s="52" t="s">
        <v>3825</v>
      </c>
      <c r="AA28" s="49" t="s">
        <v>3006</v>
      </c>
      <c r="AB28" s="51"/>
    </row>
    <row r="29" spans="1:36" s="15" customFormat="1" ht="21.75" customHeight="1" x14ac:dyDescent="0.25">
      <c r="A29" s="34">
        <v>9</v>
      </c>
      <c r="B29" s="35" t="str">
        <f>VLOOKUP($Z$13&amp;$A29,Baru!$A$2:$H$1373,5,0)</f>
        <v xml:space="preserve">102419143 /   0092327546  </v>
      </c>
      <c r="C29" s="35" t="str">
        <f>VLOOKUP($Z$13&amp;$A29,Baru!$A$2:$H$1373,6,0)</f>
        <v>GYNA RIZKI NUR PADILAH</v>
      </c>
      <c r="D29" s="36" t="str">
        <f>VLOOKUP($Z$13&amp;$A29,Baru!$A$2:$H$1373,7,0)</f>
        <v>P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47"/>
      <c r="Y29" s="50">
        <v>16</v>
      </c>
      <c r="Z29" s="52" t="s">
        <v>3826</v>
      </c>
      <c r="AA29" s="151" t="s">
        <v>6034</v>
      </c>
      <c r="AB29" s="51"/>
      <c r="AJ29" s="15" t="s">
        <v>3011</v>
      </c>
    </row>
    <row r="30" spans="1:36" s="15" customFormat="1" ht="21.75" customHeight="1" x14ac:dyDescent="0.25">
      <c r="A30" s="34">
        <v>10</v>
      </c>
      <c r="B30" s="35" t="str">
        <f>VLOOKUP($Z$13&amp;$A30,Baru!$A$2:$H$1373,5,0)</f>
        <v xml:space="preserve">102419144 /   0086624070  </v>
      </c>
      <c r="C30" s="35" t="str">
        <f>VLOOKUP($Z$13&amp;$A30,Baru!$A$2:$H$1373,6,0)</f>
        <v>IRFAN RAMADHANI</v>
      </c>
      <c r="D30" s="36" t="str">
        <f>VLOOKUP($Z$13&amp;$A30,Baru!$A$2:$H$1373,7,0)</f>
        <v>L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47"/>
      <c r="Y30" s="50">
        <v>17</v>
      </c>
      <c r="Z30" s="52" t="s">
        <v>3827</v>
      </c>
      <c r="AA30" s="51" t="s">
        <v>6035</v>
      </c>
    </row>
    <row r="31" spans="1:36" s="15" customFormat="1" ht="21.75" customHeight="1" x14ac:dyDescent="0.25">
      <c r="A31" s="34">
        <v>11</v>
      </c>
      <c r="B31" s="35" t="str">
        <f>VLOOKUP($Z$13&amp;$A31,Baru!$A$2:$H$1373,5,0)</f>
        <v xml:space="preserve">102419145 /   0081155652  </v>
      </c>
      <c r="C31" s="35" t="str">
        <f>VLOOKUP($Z$13&amp;$A31,Baru!$A$2:$H$1373,6,0)</f>
        <v>JASMINE QUEENEZ KHARUNNISA</v>
      </c>
      <c r="D31" s="36" t="str">
        <f>VLOOKUP($Z$13&amp;$A31,Baru!$A$2:$H$1373,7,0)</f>
        <v>P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47"/>
      <c r="Y31" s="50">
        <v>18</v>
      </c>
      <c r="Z31" s="52" t="s">
        <v>1644</v>
      </c>
      <c r="AA31" s="49" t="s">
        <v>6038</v>
      </c>
      <c r="AB31" s="51"/>
    </row>
    <row r="32" spans="1:36" s="15" customFormat="1" ht="21.75" customHeight="1" x14ac:dyDescent="0.25">
      <c r="A32" s="34">
        <v>12</v>
      </c>
      <c r="B32" s="35" t="str">
        <f>VLOOKUP($Z$13&amp;$A32,Baru!$A$2:$H$1373,5,0)</f>
        <v xml:space="preserve">102419146 /   0085551583  </v>
      </c>
      <c r="C32" s="35" t="str">
        <f>VLOOKUP($Z$13&amp;$A32,Baru!$A$2:$H$1373,6,0)</f>
        <v>JIHAN ASSYIFA DEWI</v>
      </c>
      <c r="D32" s="36" t="str">
        <f>VLOOKUP($Z$13&amp;$A32,Baru!$A$2:$H$1373,7,0)</f>
        <v>P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47"/>
      <c r="Y32" s="50">
        <v>19</v>
      </c>
      <c r="Z32" s="52" t="s">
        <v>1618</v>
      </c>
      <c r="AA32" s="51" t="s">
        <v>6039</v>
      </c>
    </row>
    <row r="33" spans="1:32" s="15" customFormat="1" ht="21.75" customHeight="1" x14ac:dyDescent="0.25">
      <c r="A33" s="34">
        <v>13</v>
      </c>
      <c r="B33" s="35" t="str">
        <f>VLOOKUP($Z$13&amp;$A33,Baru!$A$2:$H$1373,5,0)</f>
        <v xml:space="preserve">102419148 /   3080576208  </v>
      </c>
      <c r="C33" s="35" t="str">
        <f>VLOOKUP($Z$13&amp;$A33,Baru!$A$2:$H$1373,6,0)</f>
        <v>KEIKO KANAYA RIZQI WAHYUDI PUTRI</v>
      </c>
      <c r="D33" s="36" t="str">
        <f>VLOOKUP($Z$13&amp;$A33,Baru!$A$2:$H$1373,7,0)</f>
        <v>P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 t="s">
        <v>3011</v>
      </c>
      <c r="Q33" s="37"/>
      <c r="R33" s="37"/>
      <c r="S33" s="37"/>
      <c r="T33" s="37"/>
      <c r="U33" s="37"/>
      <c r="V33" s="37"/>
      <c r="W33" s="47"/>
      <c r="Y33" s="50">
        <v>20</v>
      </c>
      <c r="Z33" s="52" t="s">
        <v>1612</v>
      </c>
      <c r="AA33" s="51" t="s">
        <v>6036</v>
      </c>
    </row>
    <row r="34" spans="1:32" s="15" customFormat="1" ht="21.75" customHeight="1" x14ac:dyDescent="0.25">
      <c r="A34" s="34">
        <v>14</v>
      </c>
      <c r="B34" s="35" t="str">
        <f>VLOOKUP($Z$13&amp;$A34,Baru!$A$2:$H$1373,5,0)</f>
        <v xml:space="preserve">102419149 /   0091024499  </v>
      </c>
      <c r="C34" s="35" t="str">
        <f>VLOOKUP($Z$13&amp;$A34,Baru!$A$2:$H$1373,6,0)</f>
        <v>KIRANA AZKA PUTRI</v>
      </c>
      <c r="D34" s="36" t="str">
        <f>VLOOKUP($Z$13&amp;$A34,Baru!$A$2:$H$1373,7,0)</f>
        <v>P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47"/>
      <c r="Y34" s="50">
        <v>21</v>
      </c>
      <c r="Z34" s="52" t="s">
        <v>1630</v>
      </c>
      <c r="AA34" s="152" t="s">
        <v>3839</v>
      </c>
      <c r="AB34" s="151"/>
      <c r="AE34" s="15" t="s">
        <v>3011</v>
      </c>
    </row>
    <row r="35" spans="1:32" s="15" customFormat="1" ht="21.75" customHeight="1" x14ac:dyDescent="0.25">
      <c r="A35" s="34">
        <v>15</v>
      </c>
      <c r="B35" s="35" t="str">
        <f>VLOOKUP($Z$13&amp;$A35,Baru!$A$2:$H$1373,5,0)</f>
        <v xml:space="preserve">102419150 /   0089181110  </v>
      </c>
      <c r="C35" s="35" t="str">
        <f>VLOOKUP($Z$13&amp;$A35,Baru!$A$2:$H$1373,6,0)</f>
        <v>KOKO DWI PRIHANTORO</v>
      </c>
      <c r="D35" s="36" t="str">
        <f>VLOOKUP($Z$13&amp;$A35,Baru!$A$2:$H$1373,7,0)</f>
        <v>L</v>
      </c>
      <c r="E35" s="37"/>
      <c r="F35" s="37"/>
      <c r="G35" s="37"/>
      <c r="H35" s="37"/>
      <c r="I35" s="37" t="s">
        <v>3011</v>
      </c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47"/>
      <c r="Y35" s="50">
        <v>22</v>
      </c>
      <c r="Z35" s="52" t="s">
        <v>1615</v>
      </c>
      <c r="AA35" s="51" t="s">
        <v>6037</v>
      </c>
      <c r="AB35" s="51"/>
    </row>
    <row r="36" spans="1:32" s="15" customFormat="1" ht="21.75" customHeight="1" x14ac:dyDescent="0.25">
      <c r="A36" s="34">
        <v>16</v>
      </c>
      <c r="B36" s="35" t="str">
        <f>VLOOKUP($Z$13&amp;$A36,Baru!$A$2:$H$1373,5,0)</f>
        <v xml:space="preserve">102419151 /   0096669557  </v>
      </c>
      <c r="C36" s="35" t="str">
        <f>VLOOKUP($Z$13&amp;$A36,Baru!$A$2:$H$1373,6,0)</f>
        <v>MEYLIA DEWI HANDAYANI</v>
      </c>
      <c r="D36" s="36" t="str">
        <f>VLOOKUP($Z$13&amp;$A36,Baru!$A$2:$H$1373,7,0)</f>
        <v>P</v>
      </c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47"/>
      <c r="Y36" s="50">
        <v>23</v>
      </c>
      <c r="Z36" s="52" t="s">
        <v>3857</v>
      </c>
      <c r="AA36" s="51" t="s">
        <v>2992</v>
      </c>
    </row>
    <row r="37" spans="1:32" s="15" customFormat="1" ht="21.75" customHeight="1" x14ac:dyDescent="0.25">
      <c r="A37" s="34">
        <v>17</v>
      </c>
      <c r="B37" s="35" t="str">
        <f>VLOOKUP($Z$13&amp;$A37,Baru!$A$2:$H$1373,5,0)</f>
        <v xml:space="preserve">102419152 /   0084688524  </v>
      </c>
      <c r="C37" s="35" t="str">
        <f>VLOOKUP($Z$13&amp;$A37,Baru!$A$2:$H$1373,6,0)</f>
        <v>MICHAELA REZQI RICHMOND</v>
      </c>
      <c r="D37" s="36" t="str">
        <f>VLOOKUP($Z$13&amp;$A37,Baru!$A$2:$H$1373,7,0)</f>
        <v>P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47"/>
      <c r="Y37" s="50">
        <v>24</v>
      </c>
      <c r="Z37" s="52" t="s">
        <v>3858</v>
      </c>
      <c r="AA37" s="151" t="s">
        <v>6040</v>
      </c>
      <c r="AF37" s="15" t="s">
        <v>3011</v>
      </c>
    </row>
    <row r="38" spans="1:32" s="15" customFormat="1" ht="21.75" customHeight="1" x14ac:dyDescent="0.25">
      <c r="A38" s="34">
        <v>18</v>
      </c>
      <c r="B38" s="35" t="str">
        <f>VLOOKUP($Z$13&amp;$A38,Baru!$A$2:$H$1373,5,0)</f>
        <v xml:space="preserve">102419153 /   0081675840  </v>
      </c>
      <c r="C38" s="35" t="str">
        <f>VLOOKUP($Z$13&amp;$A38,Baru!$A$2:$H$1373,6,0)</f>
        <v>MISVIRA TRIAULIA RIZKY RUSBIANTO</v>
      </c>
      <c r="D38" s="36" t="str">
        <f>VLOOKUP($Z$13&amp;$A38,Baru!$A$2:$H$1373,7,0)</f>
        <v>P</v>
      </c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47"/>
      <c r="Y38" s="50">
        <v>25</v>
      </c>
      <c r="Z38" s="52" t="s">
        <v>3859</v>
      </c>
      <c r="AA38" s="151" t="s">
        <v>6041</v>
      </c>
    </row>
    <row r="39" spans="1:32" s="15" customFormat="1" ht="21.75" customHeight="1" x14ac:dyDescent="0.25">
      <c r="A39" s="34">
        <v>19</v>
      </c>
      <c r="B39" s="35" t="str">
        <f>VLOOKUP($Z$13&amp;$A39,Baru!$A$2:$H$1373,5,0)</f>
        <v xml:space="preserve">102419154 /   0091278801  </v>
      </c>
      <c r="C39" s="35" t="str">
        <f>VLOOKUP($Z$13&amp;$A39,Baru!$A$2:$H$1373,6,0)</f>
        <v>MUSTIKA AZAHRA LINTANG</v>
      </c>
      <c r="D39" s="36" t="str">
        <f>VLOOKUP($Z$13&amp;$A39,Baru!$A$2:$H$1373,7,0)</f>
        <v>P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47"/>
      <c r="Y39" s="50">
        <v>26</v>
      </c>
      <c r="Z39" s="52" t="s">
        <v>3860</v>
      </c>
      <c r="AA39" s="49" t="s">
        <v>6042</v>
      </c>
    </row>
    <row r="40" spans="1:32" s="15" customFormat="1" ht="21.75" customHeight="1" x14ac:dyDescent="0.25">
      <c r="A40" s="34">
        <v>20</v>
      </c>
      <c r="B40" s="35" t="str">
        <f>VLOOKUP($Z$13&amp;$A40,Baru!$A$2:$H$1373,5,0)</f>
        <v xml:space="preserve">102419155 /   0088394224  </v>
      </c>
      <c r="C40" s="35" t="str">
        <f>VLOOKUP($Z$13&amp;$A40,Baru!$A$2:$H$1373,6,0)</f>
        <v>NASWA SALSABILA ZAHRA</v>
      </c>
      <c r="D40" s="36" t="str">
        <f>VLOOKUP($Z$13&amp;$A40,Baru!$A$2:$H$1373,7,0)</f>
        <v>P</v>
      </c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47"/>
      <c r="Y40" s="50">
        <v>27</v>
      </c>
      <c r="Z40" s="52" t="s">
        <v>3861</v>
      </c>
      <c r="AA40" s="51" t="s">
        <v>6043</v>
      </c>
    </row>
    <row r="41" spans="1:32" s="15" customFormat="1" ht="21.75" customHeight="1" x14ac:dyDescent="0.25">
      <c r="A41" s="34">
        <v>21</v>
      </c>
      <c r="B41" s="35" t="str">
        <f>VLOOKUP($Z$13&amp;$A41,Baru!$A$2:$H$1373,5,0)</f>
        <v xml:space="preserve">102419156 /   0099887847  </v>
      </c>
      <c r="C41" s="35" t="str">
        <f>VLOOKUP($Z$13&amp;$A41,Baru!$A$2:$H$1373,6,0)</f>
        <v>NIKITA AYU KIRANA</v>
      </c>
      <c r="D41" s="36" t="str">
        <f>VLOOKUP($Z$13&amp;$A41,Baru!$A$2:$H$1373,7,0)</f>
        <v>P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47"/>
      <c r="Y41" s="50">
        <v>28</v>
      </c>
      <c r="Z41" s="52" t="s">
        <v>3862</v>
      </c>
      <c r="AA41" s="51" t="s">
        <v>3840</v>
      </c>
    </row>
    <row r="42" spans="1:32" s="15" customFormat="1" ht="21.75" customHeight="1" x14ac:dyDescent="0.25">
      <c r="A42" s="34">
        <v>22</v>
      </c>
      <c r="B42" s="35" t="str">
        <f>VLOOKUP($Z$13&amp;$A42,Baru!$A$2:$H$1373,5,0)</f>
        <v xml:space="preserve">102419157 /   0098880380  </v>
      </c>
      <c r="C42" s="35" t="str">
        <f>VLOOKUP($Z$13&amp;$A42,Baru!$A$2:$H$1373,6,0)</f>
        <v>PUTRI KHAIRUNNISA ZAHIRAH</v>
      </c>
      <c r="D42" s="36" t="str">
        <f>VLOOKUP($Z$13&amp;$A42,Baru!$A$2:$H$1373,7,0)</f>
        <v>P</v>
      </c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47"/>
      <c r="Y42" s="50">
        <v>29</v>
      </c>
      <c r="Z42" s="52" t="s">
        <v>878</v>
      </c>
      <c r="AA42" s="51" t="s">
        <v>6046</v>
      </c>
      <c r="AB42" s="51"/>
    </row>
    <row r="43" spans="1:32" s="15" customFormat="1" ht="21.75" customHeight="1" x14ac:dyDescent="0.25">
      <c r="A43" s="34">
        <v>23</v>
      </c>
      <c r="B43" s="35" t="str">
        <f>VLOOKUP($Z$13&amp;$A43,Baru!$A$2:$H$1373,5,0)</f>
        <v xml:space="preserve">102419158 /   0093656322  </v>
      </c>
      <c r="C43" s="35" t="str">
        <f>VLOOKUP($Z$13&amp;$A43,Baru!$A$2:$H$1373,6,0)</f>
        <v>QUINSYA SYAFA AZ-ZAHRA</v>
      </c>
      <c r="D43" s="36" t="str">
        <f>VLOOKUP($Z$13&amp;$A43,Baru!$A$2:$H$1373,7,0)</f>
        <v>P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47"/>
      <c r="Y43" s="50">
        <v>30</v>
      </c>
      <c r="Z43" s="52" t="s">
        <v>854</v>
      </c>
      <c r="AA43" s="49" t="s">
        <v>6047</v>
      </c>
      <c r="AB43" s="51"/>
    </row>
    <row r="44" spans="1:32" s="15" customFormat="1" ht="21.75" customHeight="1" x14ac:dyDescent="0.25">
      <c r="A44" s="34">
        <v>24</v>
      </c>
      <c r="B44" s="35" t="str">
        <f>VLOOKUP($Z$13&amp;$A44,Baru!$A$2:$H$1373,5,0)</f>
        <v xml:space="preserve">102419159 /   0098731360  </v>
      </c>
      <c r="C44" s="35" t="str">
        <f>VLOOKUP($Z$13&amp;$A44,Baru!$A$2:$H$1373,6,0)</f>
        <v>RAYNA SYFA PUTRI KUSTIANDI</v>
      </c>
      <c r="D44" s="36" t="str">
        <f>VLOOKUP($Z$13&amp;$A44,Baru!$A$2:$H$1373,7,0)</f>
        <v>P</v>
      </c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47"/>
      <c r="Y44" s="50">
        <v>31</v>
      </c>
      <c r="Z44" s="52" t="s">
        <v>843</v>
      </c>
      <c r="AA44" s="51" t="s">
        <v>6044</v>
      </c>
      <c r="AB44" s="151"/>
    </row>
    <row r="45" spans="1:32" s="15" customFormat="1" ht="21.75" customHeight="1" x14ac:dyDescent="0.25">
      <c r="A45" s="34">
        <v>25</v>
      </c>
      <c r="B45" s="35" t="str">
        <f>VLOOKUP($Z$13&amp;$A45,Baru!$A$2:$H$1373,5,0)</f>
        <v xml:space="preserve">102419160 /   0088305634  </v>
      </c>
      <c r="C45" s="35" t="str">
        <f>VLOOKUP($Z$13&amp;$A45,Baru!$A$2:$H$1373,6,0)</f>
        <v>RENI MEILINDA</v>
      </c>
      <c r="D45" s="36" t="str">
        <f>VLOOKUP($Z$13&amp;$A45,Baru!$A$2:$H$1373,7,0)</f>
        <v>P</v>
      </c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47"/>
      <c r="Y45" s="50">
        <v>32</v>
      </c>
      <c r="Z45" s="52" t="s">
        <v>846</v>
      </c>
      <c r="AA45" s="51" t="s">
        <v>6045</v>
      </c>
      <c r="AB45" s="51"/>
    </row>
    <row r="46" spans="1:32" s="15" customFormat="1" ht="21.75" customHeight="1" x14ac:dyDescent="0.25">
      <c r="A46" s="34">
        <v>26</v>
      </c>
      <c r="B46" s="35" t="str">
        <f>VLOOKUP($Z$13&amp;$A46,Baru!$A$2:$H$1373,5,0)</f>
        <v xml:space="preserve">102419161 /   0084430131  </v>
      </c>
      <c r="C46" s="35" t="str">
        <f>VLOOKUP($Z$13&amp;$A46,Baru!$A$2:$H$1373,6,0)</f>
        <v>RIFA WIDYA ASTUTI</v>
      </c>
      <c r="D46" s="36" t="str">
        <f>VLOOKUP($Z$13&amp;$A46,Baru!$A$2:$H$1373,7,0)</f>
        <v>P</v>
      </c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47"/>
      <c r="Y46" s="50">
        <v>33</v>
      </c>
      <c r="Z46" s="52" t="s">
        <v>863</v>
      </c>
      <c r="AA46" s="51" t="s">
        <v>3013</v>
      </c>
    </row>
    <row r="47" spans="1:32" s="15" customFormat="1" ht="21.75" customHeight="1" x14ac:dyDescent="0.25">
      <c r="A47" s="34">
        <v>27</v>
      </c>
      <c r="B47" s="35" t="str">
        <f>VLOOKUP($Z$13&amp;$A47,Baru!$A$2:$H$1373,5,0)</f>
        <v xml:space="preserve">102419163 /   0095262167  </v>
      </c>
      <c r="C47" s="35" t="str">
        <f>VLOOKUP($Z$13&amp;$A47,Baru!$A$2:$H$1373,6,0)</f>
        <v>SALSABILA SAPANA</v>
      </c>
      <c r="D47" s="36" t="str">
        <f>VLOOKUP($Z$13&amp;$A47,Baru!$A$2:$H$1373,7,0)</f>
        <v>P</v>
      </c>
      <c r="E47" s="38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47"/>
      <c r="Y47" s="50">
        <v>34</v>
      </c>
      <c r="Z47" s="52" t="s">
        <v>4252</v>
      </c>
      <c r="AA47" s="51" t="s">
        <v>3017</v>
      </c>
    </row>
    <row r="48" spans="1:32" s="15" customFormat="1" ht="21.75" customHeight="1" x14ac:dyDescent="0.25">
      <c r="A48" s="34">
        <v>28</v>
      </c>
      <c r="B48" s="35" t="str">
        <f>VLOOKUP($Z$13&amp;$A48,Baru!$A$2:$H$1373,5,0)</f>
        <v xml:space="preserve">102419164 /   0083367863  </v>
      </c>
      <c r="C48" s="35" t="str">
        <f>VLOOKUP($Z$13&amp;$A48,Baru!$A$2:$H$1373,6,0)</f>
        <v>SANTI DEWI</v>
      </c>
      <c r="D48" s="36" t="str">
        <f>VLOOKUP($Z$13&amp;$A48,Baru!$A$2:$H$1373,7,0)</f>
        <v>P</v>
      </c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47"/>
      <c r="Y48" s="50">
        <v>35</v>
      </c>
      <c r="Z48" s="52" t="s">
        <v>4253</v>
      </c>
      <c r="AA48" s="49" t="s">
        <v>4271</v>
      </c>
      <c r="AB48" s="51"/>
    </row>
    <row r="49" spans="1:29" s="15" customFormat="1" ht="21.75" customHeight="1" x14ac:dyDescent="0.25">
      <c r="A49" s="34">
        <v>29</v>
      </c>
      <c r="B49" s="35" t="str">
        <f>VLOOKUP($Z$13&amp;$A49,Baru!$A$2:$H$1373,5,0)</f>
        <v xml:space="preserve">102419165 /   0093408875  </v>
      </c>
      <c r="C49" s="35" t="str">
        <f>VLOOKUP($Z$13&amp;$A49,Baru!$A$2:$H$1373,6,0)</f>
        <v>SHAFA NA'ILA HASNA</v>
      </c>
      <c r="D49" s="36" t="str">
        <f>VLOOKUP($Z$13&amp;$A49,Baru!$A$2:$H$1373,7,0)</f>
        <v>P</v>
      </c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47"/>
      <c r="Y49" s="50">
        <v>36</v>
      </c>
      <c r="Z49" s="52" t="s">
        <v>4254</v>
      </c>
      <c r="AA49" s="51" t="s">
        <v>6048</v>
      </c>
      <c r="AC49" s="15" t="s">
        <v>3031</v>
      </c>
    </row>
    <row r="50" spans="1:29" s="15" customFormat="1" ht="21.75" customHeight="1" x14ac:dyDescent="0.25">
      <c r="A50" s="34">
        <v>30</v>
      </c>
      <c r="B50" s="35" t="str">
        <f>VLOOKUP($Z$13&amp;$A50,Baru!$A$2:$H$1373,5,0)</f>
        <v xml:space="preserve">102419166 /   0081592132  </v>
      </c>
      <c r="C50" s="35" t="str">
        <f>VLOOKUP($Z$13&amp;$A50,Baru!$A$2:$H$1373,6,0)</f>
        <v>SYIFA AMNA MUQIMAH FUTHIYAH</v>
      </c>
      <c r="D50" s="36" t="str">
        <f>VLOOKUP($Z$13&amp;$A50,Baru!$A$2:$H$1373,7,0)</f>
        <v>P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47"/>
      <c r="Y50" s="50">
        <v>37</v>
      </c>
      <c r="Z50" s="52" t="s">
        <v>4255</v>
      </c>
      <c r="AA50" s="49" t="s">
        <v>6049</v>
      </c>
    </row>
    <row r="51" spans="1:29" s="15" customFormat="1" ht="21.75" customHeight="1" x14ac:dyDescent="0.25">
      <c r="A51" s="34">
        <v>31</v>
      </c>
      <c r="B51" s="35" t="str">
        <f>VLOOKUP($Z$13&amp;$A51,Baru!$A$2:$H$1373,5,0)</f>
        <v xml:space="preserve">102419167 /   0091689841  </v>
      </c>
      <c r="C51" s="35" t="str">
        <f>VLOOKUP($Z$13&amp;$A51,Baru!$A$2:$H$1373,6,0)</f>
        <v>SYIFA JIHADA PUTRI</v>
      </c>
      <c r="D51" s="36" t="str">
        <f>VLOOKUP($Z$13&amp;$A51,Baru!$A$2:$H$1373,7,0)</f>
        <v>P</v>
      </c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47"/>
      <c r="Y51" s="50">
        <v>38</v>
      </c>
      <c r="Z51" s="52" t="s">
        <v>4256</v>
      </c>
      <c r="AA51" s="51" t="s">
        <v>6050</v>
      </c>
    </row>
    <row r="52" spans="1:29" s="15" customFormat="1" ht="21.75" customHeight="1" x14ac:dyDescent="0.25">
      <c r="A52" s="34">
        <v>32</v>
      </c>
      <c r="B52" s="35" t="str">
        <f>VLOOKUP($Z$13&amp;$A52,Baru!$A$2:$H$1373,5,0)</f>
        <v xml:space="preserve">102419170 /   0096436995  </v>
      </c>
      <c r="C52" s="35" t="str">
        <f>VLOOKUP($Z$13&amp;$A52,Baru!$A$2:$H$1373,6,0)</f>
        <v>ZAHRA EKA PUTRI</v>
      </c>
      <c r="D52" s="36" t="str">
        <f>VLOOKUP($Z$13&amp;$A52,Baru!$A$2:$H$1373,7,0)</f>
        <v>P</v>
      </c>
      <c r="E52" s="39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47"/>
      <c r="Y52" s="50">
        <v>39</v>
      </c>
      <c r="Z52" s="52" t="s">
        <v>4257</v>
      </c>
      <c r="AA52" s="51" t="s">
        <v>6051</v>
      </c>
    </row>
    <row r="53" spans="1:29" s="15" customFormat="1" ht="21.75" customHeight="1" x14ac:dyDescent="0.25">
      <c r="A53" s="34">
        <v>33</v>
      </c>
      <c r="B53" s="35" t="e">
        <f>VLOOKUP($Z$13&amp;$A53,Baru!$A$2:$H$1373,5,0)</f>
        <v>#N/A</v>
      </c>
      <c r="C53" s="35" t="e">
        <f>VLOOKUP($Z$13&amp;$A53,Baru!$A$2:$H$1373,6,0)</f>
        <v>#N/A</v>
      </c>
      <c r="D53" s="36" t="e">
        <f>VLOOKUP($Z$13&amp;$A53,Baru!$A$2:$H$1373,7,0)</f>
        <v>#N/A</v>
      </c>
      <c r="E53" s="39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47"/>
    </row>
    <row r="54" spans="1:29" s="15" customFormat="1" ht="21.75" customHeight="1" x14ac:dyDescent="0.25">
      <c r="A54" s="34">
        <v>34</v>
      </c>
      <c r="B54" s="35" t="e">
        <f>VLOOKUP($Z$13&amp;$A54,Baru!$A$2:$H$1373,5,0)</f>
        <v>#N/A</v>
      </c>
      <c r="C54" s="35" t="e">
        <f>VLOOKUP($Z$13&amp;$A54,Baru!$A$2:$H$1373,6,0)</f>
        <v>#N/A</v>
      </c>
      <c r="D54" s="36" t="e">
        <f>VLOOKUP($Z$13&amp;$A54,Baru!$A$2:$H$1373,7,0)</f>
        <v>#N/A</v>
      </c>
      <c r="E54" s="40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47"/>
      <c r="AA54" s="15" t="s">
        <v>3044</v>
      </c>
    </row>
    <row r="55" spans="1:29" s="16" customFormat="1" ht="21.75" customHeight="1" x14ac:dyDescent="0.25">
      <c r="A55" s="34">
        <v>35</v>
      </c>
      <c r="B55" s="35" t="e">
        <f>VLOOKUP($Z$13&amp;$A55,Baru!$A$2:$H$1373,5,0)</f>
        <v>#N/A</v>
      </c>
      <c r="C55" s="35" t="e">
        <f>VLOOKUP($Z$13&amp;$A55,Baru!$A$2:$H$1373,6,0)</f>
        <v>#N/A</v>
      </c>
      <c r="D55" s="36" t="e">
        <f>VLOOKUP($Z$13&amp;$A55,Baru!$A$2:$H$1373,7,0)</f>
        <v>#N/A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8"/>
    </row>
    <row r="56" spans="1:29" s="16" customFormat="1" ht="21.75" customHeight="1" x14ac:dyDescent="0.25">
      <c r="A56" s="34">
        <v>36</v>
      </c>
      <c r="B56" s="35" t="e">
        <f>VLOOKUP($Z$13&amp;$A56,Baru!$A$2:$H$1373,5,0)</f>
        <v>#N/A</v>
      </c>
      <c r="C56" s="35" t="e">
        <f>VLOOKUP($Z$13&amp;$A56,Baru!$A$2:$H$1373,6,0)</f>
        <v>#N/A</v>
      </c>
      <c r="D56" s="36" t="e">
        <f>VLOOKUP($Z$13&amp;$A56,Baru!$A$2:$H$1373,7,0)</f>
        <v>#N/A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8"/>
    </row>
    <row r="57" spans="1:29" s="16" customFormat="1" ht="21.75" customHeight="1" x14ac:dyDescent="0.25">
      <c r="A57" s="34">
        <v>37</v>
      </c>
      <c r="B57" s="35" t="e">
        <f>VLOOKUP($Z$13&amp;$A57,Baru!$A$2:$H$1373,5,0)</f>
        <v>#N/A</v>
      </c>
      <c r="C57" s="35" t="e">
        <f>VLOOKUP($Z$13&amp;$A57,Baru!$A$2:$H$1373,6,0)</f>
        <v>#N/A</v>
      </c>
      <c r="D57" s="36" t="e">
        <f>VLOOKUP($Z$13&amp;$A57,Baru!$A$2:$H$1373,7,0)</f>
        <v>#N/A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8"/>
    </row>
    <row r="58" spans="1:29" s="16" customFormat="1" ht="21.75" customHeight="1" x14ac:dyDescent="0.25">
      <c r="A58" s="34">
        <v>38</v>
      </c>
      <c r="B58" s="35" t="e">
        <f>VLOOKUP($Z$13&amp;$A58,Baru!$A$2:$H$1373,5,0)</f>
        <v>#N/A</v>
      </c>
      <c r="C58" s="35" t="e">
        <f>VLOOKUP($Z$13&amp;$A58,Baru!$A$2:$H$1373,6,0)</f>
        <v>#N/A</v>
      </c>
      <c r="D58" s="36" t="e">
        <f>VLOOKUP($Z$13&amp;$A58,Baru!$A$2:$H$1373,7,0)</f>
        <v>#N/A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8"/>
    </row>
    <row r="59" spans="1:29" s="16" customFormat="1" ht="21.75" customHeight="1" x14ac:dyDescent="0.25">
      <c r="A59" s="34">
        <v>39</v>
      </c>
      <c r="B59" s="35" t="e">
        <f>VLOOKUP($Z$13&amp;$A59,Baru!$A$2:$H$1373,5,0)</f>
        <v>#N/A</v>
      </c>
      <c r="C59" s="35" t="e">
        <f>VLOOKUP($Z$13&amp;$A59,Baru!$A$2:$H$1373,6,0)</f>
        <v>#N/A</v>
      </c>
      <c r="D59" s="36" t="e">
        <f>VLOOKUP($Z$13&amp;$A59,Baru!$A$2:$H$1373,7,0)</f>
        <v>#N/A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8"/>
    </row>
    <row r="60" spans="1:29" s="16" customFormat="1" ht="21.75" customHeight="1" x14ac:dyDescent="0.25">
      <c r="A60" s="34">
        <v>40</v>
      </c>
      <c r="B60" s="35" t="e">
        <f>VLOOKUP($Z$13&amp;$A60,Baru!$A$2:$H$1373,5,0)</f>
        <v>#N/A</v>
      </c>
      <c r="C60" s="35" t="e">
        <f>VLOOKUP($Z$13&amp;$A60,Baru!$A$2:$H$1373,6,0)</f>
        <v>#N/A</v>
      </c>
      <c r="D60" s="36" t="e">
        <f>VLOOKUP($Z$13&amp;$A60,Baru!$A$2:$H$1373,7,0)</f>
        <v>#N/A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8"/>
    </row>
    <row r="61" spans="1:29" s="15" customFormat="1" ht="10.5" customHeight="1" x14ac:dyDescent="0.25">
      <c r="A61" s="27"/>
      <c r="B61" s="42"/>
      <c r="C61" s="43"/>
      <c r="D61" s="44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43"/>
    </row>
    <row r="62" spans="1:29" ht="13.5" customHeight="1" x14ac:dyDescent="0.25">
      <c r="A62" s="28"/>
      <c r="B62" s="42" t="s">
        <v>3035</v>
      </c>
      <c r="C62" s="43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8"/>
      <c r="V62" s="28"/>
      <c r="W62" s="46"/>
      <c r="Z62" t="s">
        <v>3036</v>
      </c>
    </row>
    <row r="63" spans="1:29" ht="13.5" customHeight="1" x14ac:dyDescent="0.25">
      <c r="A63" s="28"/>
      <c r="B63" s="42" t="s">
        <v>3037</v>
      </c>
      <c r="C63" s="45" t="str">
        <f>"= "&amp;COUNTIF(D21:D60,"L")</f>
        <v>= 6</v>
      </c>
      <c r="E63" s="27"/>
      <c r="F63" s="27"/>
      <c r="G63" s="27"/>
      <c r="H63" s="27"/>
      <c r="I63" s="27"/>
      <c r="J63" s="27"/>
      <c r="K63" s="27"/>
      <c r="L63" s="27"/>
      <c r="M63" s="27"/>
      <c r="N63" s="43"/>
      <c r="O63" s="27"/>
      <c r="P63" s="27"/>
      <c r="Q63" s="27" t="s">
        <v>3045</v>
      </c>
      <c r="R63" s="27"/>
      <c r="S63" s="27"/>
      <c r="T63" s="27"/>
      <c r="U63" s="28"/>
      <c r="V63" s="28"/>
      <c r="W63" s="46"/>
    </row>
    <row r="64" spans="1:29" ht="13.5" customHeight="1" x14ac:dyDescent="0.25">
      <c r="A64" s="28"/>
      <c r="B64" s="42" t="s">
        <v>3039</v>
      </c>
      <c r="C64" s="45" t="str">
        <f>"= "&amp;COUNTIF(D21:D60,"P")</f>
        <v>= 26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8"/>
      <c r="V64" s="28"/>
      <c r="W64" s="46"/>
    </row>
    <row r="65" spans="1:23" ht="13.5" customHeight="1" x14ac:dyDescent="0.25">
      <c r="A65" s="28"/>
      <c r="B65" s="42" t="s">
        <v>3040</v>
      </c>
      <c r="C65" s="43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8"/>
    </row>
    <row r="66" spans="1:23" ht="13.5" customHeight="1" x14ac:dyDescent="0.25">
      <c r="A66" s="28"/>
      <c r="B66" s="42" t="s">
        <v>3041</v>
      </c>
      <c r="C66" s="43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8"/>
    </row>
    <row r="67" spans="1:23" ht="13.5" customHeight="1" x14ac:dyDescent="0.25">
      <c r="A67" s="28"/>
      <c r="B67" s="42" t="s">
        <v>3042</v>
      </c>
      <c r="C67" s="43"/>
      <c r="D67" s="27"/>
      <c r="E67" s="27"/>
      <c r="F67" s="27"/>
      <c r="G67" s="27"/>
      <c r="H67" s="27"/>
      <c r="I67" s="27"/>
      <c r="J67" s="27"/>
      <c r="K67" s="27"/>
      <c r="L67" s="27"/>
      <c r="M67" s="27"/>
      <c r="O67" s="27"/>
      <c r="P67" s="27"/>
      <c r="Q67" s="27"/>
      <c r="R67" s="27"/>
      <c r="S67" s="27"/>
      <c r="T67" s="27"/>
      <c r="U67" s="28"/>
      <c r="V67" s="28"/>
      <c r="W67" s="46"/>
    </row>
    <row r="68" spans="1:23" ht="13.5" customHeight="1" x14ac:dyDescent="0.25">
      <c r="A68" s="28"/>
      <c r="B68" s="42" t="s">
        <v>3043</v>
      </c>
      <c r="C68" s="43"/>
      <c r="D68" s="27"/>
      <c r="E68" s="27"/>
      <c r="F68" s="27"/>
      <c r="G68" s="27"/>
      <c r="H68" s="27"/>
      <c r="I68" s="27"/>
      <c r="J68" s="27"/>
      <c r="K68" s="27"/>
      <c r="L68" s="27"/>
      <c r="M68" s="27"/>
      <c r="O68" s="27"/>
      <c r="P68" s="27"/>
      <c r="Q68" s="27"/>
      <c r="R68" s="27"/>
      <c r="S68" s="27"/>
      <c r="T68" s="27"/>
      <c r="U68" s="28"/>
      <c r="V68" s="28"/>
      <c r="W68" s="46"/>
    </row>
    <row r="69" spans="1:23" x14ac:dyDescent="0.25">
      <c r="A69" s="19"/>
      <c r="E69" s="18"/>
      <c r="F69" s="18"/>
      <c r="G69" s="18"/>
      <c r="H69" s="18"/>
      <c r="I69" s="18" t="str">
        <f>Z13</f>
        <v>XI KA 1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</row>
    <row r="70" spans="1:23" x14ac:dyDescent="0.25">
      <c r="A70" s="19"/>
      <c r="E70" s="18"/>
      <c r="F70" s="18"/>
      <c r="G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</row>
    <row r="71" spans="1:23" x14ac:dyDescent="0.25">
      <c r="A71" s="19"/>
    </row>
    <row r="72" spans="1:23" x14ac:dyDescent="0.25">
      <c r="A72" s="19"/>
    </row>
    <row r="73" spans="1:23" x14ac:dyDescent="0.25">
      <c r="A73" s="19"/>
    </row>
    <row r="74" spans="1:23" x14ac:dyDescent="0.25">
      <c r="A74" s="19"/>
    </row>
    <row r="75" spans="1:23" x14ac:dyDescent="0.25">
      <c r="A75" s="19"/>
    </row>
    <row r="76" spans="1:23" x14ac:dyDescent="0.25">
      <c r="A76" s="19"/>
    </row>
    <row r="77" spans="1:23" x14ac:dyDescent="0.25">
      <c r="A77" s="19"/>
    </row>
    <row r="78" spans="1:23" x14ac:dyDescent="0.25">
      <c r="A78" s="19"/>
    </row>
    <row r="79" spans="1:23" x14ac:dyDescent="0.25">
      <c r="A79" s="19"/>
    </row>
    <row r="80" spans="1:23" x14ac:dyDescent="0.25">
      <c r="A80" s="19"/>
    </row>
    <row r="81" spans="1:40" x14ac:dyDescent="0.25">
      <c r="A81" s="19"/>
    </row>
    <row r="82" spans="1:40" x14ac:dyDescent="0.25">
      <c r="A82" s="19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1:40" x14ac:dyDescent="0.25">
      <c r="A83" s="19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AN83" t="s">
        <v>381</v>
      </c>
    </row>
    <row r="84" spans="1:40" x14ac:dyDescent="0.25">
      <c r="A84" s="19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1:40" x14ac:dyDescent="0.25">
      <c r="A85" s="19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1:40" x14ac:dyDescent="0.25">
      <c r="A86" s="19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1:40" x14ac:dyDescent="0.25">
      <c r="A87" s="19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1:40" x14ac:dyDescent="0.25">
      <c r="A88" s="19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1:40" x14ac:dyDescent="0.25">
      <c r="A89" s="1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1:40" x14ac:dyDescent="0.25">
      <c r="A90" s="19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1:40" x14ac:dyDescent="0.25">
      <c r="A91" s="19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1:40" x14ac:dyDescent="0.25">
      <c r="A92" s="19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1:40" x14ac:dyDescent="0.25">
      <c r="A93" s="19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1:40" x14ac:dyDescent="0.25">
      <c r="A94" s="19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1:40" x14ac:dyDescent="0.25">
      <c r="A95" s="19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1:40" x14ac:dyDescent="0.25">
      <c r="A96" s="19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1:22" x14ac:dyDescent="0.25">
      <c r="A97" s="19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1:22" x14ac:dyDescent="0.25">
      <c r="A98" s="19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1:22" x14ac:dyDescent="0.25">
      <c r="A99" s="1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1:22" x14ac:dyDescent="0.25">
      <c r="A100" s="19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1:22" x14ac:dyDescent="0.25">
      <c r="A101" s="19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1:22" x14ac:dyDescent="0.25">
      <c r="A102" s="19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1:22" x14ac:dyDescent="0.25">
      <c r="A103" s="19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1:22" x14ac:dyDescent="0.25">
      <c r="A104" s="19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1:22" x14ac:dyDescent="0.25">
      <c r="A105" s="19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1:22" x14ac:dyDescent="0.25">
      <c r="A106" s="19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1:22" x14ac:dyDescent="0.25">
      <c r="A107" s="19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1:22" x14ac:dyDescent="0.25">
      <c r="A108" s="19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1:22" x14ac:dyDescent="0.25">
      <c r="A109" s="1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1:22" x14ac:dyDescent="0.25">
      <c r="A110" s="19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1:22" x14ac:dyDescent="0.25">
      <c r="A111" s="19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1:22" x14ac:dyDescent="0.25">
      <c r="A112" s="19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1:22" x14ac:dyDescent="0.25">
      <c r="A113" s="19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1:22" x14ac:dyDescent="0.25">
      <c r="A114" s="19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1:22" x14ac:dyDescent="0.25">
      <c r="A115" s="19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1:22" x14ac:dyDescent="0.25">
      <c r="A116" s="19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1:22" x14ac:dyDescent="0.25">
      <c r="A117" s="19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1:22" x14ac:dyDescent="0.25">
      <c r="A118" s="19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1:22" x14ac:dyDescent="0.25">
      <c r="A119" s="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1:22" x14ac:dyDescent="0.25">
      <c r="A120" s="19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1:22" x14ac:dyDescent="0.25">
      <c r="A121" s="19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1:22" x14ac:dyDescent="0.25">
      <c r="A122" s="19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1:22" x14ac:dyDescent="0.25">
      <c r="A123" s="19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1:22" x14ac:dyDescent="0.25">
      <c r="A124" s="19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1:22" x14ac:dyDescent="0.25">
      <c r="A125" s="19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1:22" x14ac:dyDescent="0.25">
      <c r="A126" s="19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1:22" x14ac:dyDescent="0.25">
      <c r="A127" s="19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1:22" x14ac:dyDescent="0.25">
      <c r="A128" s="19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1:22" x14ac:dyDescent="0.25">
      <c r="A129" s="1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spans="1:22" x14ac:dyDescent="0.25">
      <c r="A130" s="19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spans="1:22" x14ac:dyDescent="0.25">
      <c r="A131" s="19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1:22" x14ac:dyDescent="0.25">
      <c r="A132" s="19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spans="1:22" x14ac:dyDescent="0.25">
      <c r="A133" s="19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1:22" x14ac:dyDescent="0.25">
      <c r="A134" s="19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spans="1:22" x14ac:dyDescent="0.25">
      <c r="A135" s="19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spans="1:22" x14ac:dyDescent="0.25">
      <c r="A136" s="19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spans="1:22" x14ac:dyDescent="0.25">
      <c r="A137" s="19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spans="1:22" x14ac:dyDescent="0.25">
      <c r="A138" s="19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1:22" x14ac:dyDescent="0.25">
      <c r="A139" s="1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spans="1:22" x14ac:dyDescent="0.25">
      <c r="A140" s="19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spans="1:22" x14ac:dyDescent="0.25">
      <c r="A141" s="19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1:22" x14ac:dyDescent="0.25">
      <c r="A142" s="19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spans="1:22" x14ac:dyDescent="0.25">
      <c r="A143" s="19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spans="1:22" x14ac:dyDescent="0.25">
      <c r="A144" s="19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spans="1:22" x14ac:dyDescent="0.25">
      <c r="A145" s="19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spans="1:22" x14ac:dyDescent="0.25">
      <c r="A146" s="19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spans="1:22" x14ac:dyDescent="0.25">
      <c r="A147" s="19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spans="1:22" x14ac:dyDescent="0.25">
      <c r="A148" s="19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1:22" x14ac:dyDescent="0.25">
      <c r="A149" s="1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 spans="1:22" x14ac:dyDescent="0.25">
      <c r="A150" s="19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 spans="1:22" x14ac:dyDescent="0.25">
      <c r="A151" s="19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spans="1:22" x14ac:dyDescent="0.25">
      <c r="A152" s="19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 spans="1:22" x14ac:dyDescent="0.25">
      <c r="A153" s="19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</row>
    <row r="154" spans="1:22" x14ac:dyDescent="0.25">
      <c r="A154" s="19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</row>
    <row r="155" spans="1:22" x14ac:dyDescent="0.25">
      <c r="A155" s="19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</row>
    <row r="156" spans="1:22" x14ac:dyDescent="0.25">
      <c r="A156" s="19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</row>
    <row r="157" spans="1:22" x14ac:dyDescent="0.25">
      <c r="A157" s="19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</row>
    <row r="158" spans="1:22" x14ac:dyDescent="0.25">
      <c r="A158" s="19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</row>
    <row r="159" spans="1:22" x14ac:dyDescent="0.25">
      <c r="A159" s="1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</row>
    <row r="160" spans="1:22" x14ac:dyDescent="0.25">
      <c r="A160" s="19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</row>
    <row r="161" spans="1:22" x14ac:dyDescent="0.25">
      <c r="A161" s="19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</row>
    <row r="162" spans="1:22" x14ac:dyDescent="0.25">
      <c r="A162" s="19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</row>
    <row r="163" spans="1:22" x14ac:dyDescent="0.25">
      <c r="A163" s="19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</row>
    <row r="164" spans="1:22" x14ac:dyDescent="0.25">
      <c r="A164" s="19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</row>
    <row r="165" spans="1:22" x14ac:dyDescent="0.25">
      <c r="A165" s="19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</row>
    <row r="166" spans="1:22" x14ac:dyDescent="0.25">
      <c r="A166" s="19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</row>
    <row r="167" spans="1:22" x14ac:dyDescent="0.25">
      <c r="A167" s="19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</row>
    <row r="168" spans="1:22" x14ac:dyDescent="0.25">
      <c r="A168" s="19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</row>
    <row r="169" spans="1:22" x14ac:dyDescent="0.25">
      <c r="A169" s="1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</row>
    <row r="170" spans="1:22" x14ac:dyDescent="0.25">
      <c r="A170" s="19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</row>
    <row r="171" spans="1:22" x14ac:dyDescent="0.25">
      <c r="A171" s="19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</row>
    <row r="172" spans="1:22" x14ac:dyDescent="0.25">
      <c r="A172" s="19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</row>
    <row r="173" spans="1:22" x14ac:dyDescent="0.25">
      <c r="A173" s="19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</row>
    <row r="174" spans="1:22" x14ac:dyDescent="0.25">
      <c r="A174" s="19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</row>
    <row r="175" spans="1:22" x14ac:dyDescent="0.25">
      <c r="A175" s="19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</row>
    <row r="176" spans="1:22" x14ac:dyDescent="0.25">
      <c r="A176" s="19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</row>
    <row r="177" spans="1:22" x14ac:dyDescent="0.25">
      <c r="A177" s="19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</row>
    <row r="178" spans="1:22" x14ac:dyDescent="0.25">
      <c r="A178" s="19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</row>
    <row r="179" spans="1:22" x14ac:dyDescent="0.25">
      <c r="A179" s="1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</row>
    <row r="180" spans="1:22" x14ac:dyDescent="0.25">
      <c r="A180" s="19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</row>
    <row r="181" spans="1:22" x14ac:dyDescent="0.25">
      <c r="A181" s="19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</row>
    <row r="182" spans="1:22" x14ac:dyDescent="0.25">
      <c r="A182" s="19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</row>
    <row r="183" spans="1:22" x14ac:dyDescent="0.25">
      <c r="A183" s="19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</row>
    <row r="184" spans="1:22" x14ac:dyDescent="0.25">
      <c r="A184" s="19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</row>
    <row r="185" spans="1:22" x14ac:dyDescent="0.25">
      <c r="A185" s="19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</row>
    <row r="186" spans="1:22" x14ac:dyDescent="0.25">
      <c r="A186" s="19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</row>
    <row r="187" spans="1:22" x14ac:dyDescent="0.25">
      <c r="A187" s="19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</row>
    <row r="188" spans="1:22" x14ac:dyDescent="0.25">
      <c r="A188" s="19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</row>
    <row r="189" spans="1:22" x14ac:dyDescent="0.25">
      <c r="A189" s="1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</row>
    <row r="190" spans="1:22" x14ac:dyDescent="0.25">
      <c r="A190" s="19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</row>
    <row r="191" spans="1:22" x14ac:dyDescent="0.25">
      <c r="A191" s="19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</row>
    <row r="192" spans="1:22" x14ac:dyDescent="0.25">
      <c r="A192" s="19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</row>
    <row r="193" spans="1:22" x14ac:dyDescent="0.25">
      <c r="A193" s="19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</row>
    <row r="194" spans="1:22" x14ac:dyDescent="0.25">
      <c r="A194" s="19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</row>
    <row r="195" spans="1:22" x14ac:dyDescent="0.25">
      <c r="A195" s="19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</row>
    <row r="196" spans="1:22" x14ac:dyDescent="0.25">
      <c r="A196" s="19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</row>
    <row r="197" spans="1:22" x14ac:dyDescent="0.25">
      <c r="A197" s="19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</row>
    <row r="198" spans="1:22" x14ac:dyDescent="0.25">
      <c r="A198" s="19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</row>
    <row r="199" spans="1:22" x14ac:dyDescent="0.25">
      <c r="A199" s="1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</row>
    <row r="200" spans="1:22" x14ac:dyDescent="0.25">
      <c r="A200" s="19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</row>
  </sheetData>
  <mergeCells count="10">
    <mergeCell ref="A13:W13"/>
    <mergeCell ref="A14:W14"/>
    <mergeCell ref="A15:W15"/>
    <mergeCell ref="A16:W16"/>
    <mergeCell ref="E18:V18"/>
    <mergeCell ref="A18:A20"/>
    <mergeCell ref="B18:B20"/>
    <mergeCell ref="C18:C20"/>
    <mergeCell ref="D18:D20"/>
    <mergeCell ref="W18:W20"/>
  </mergeCells>
  <phoneticPr fontId="47" type="noConversion"/>
  <conditionalFormatting sqref="A45 A48:A60 E49:J60">
    <cfRule type="containsErrors" dxfId="5" priority="6">
      <formula>ISERROR(A45)</formula>
    </cfRule>
  </conditionalFormatting>
  <conditionalFormatting sqref="A50:F60">
    <cfRule type="containsErrors" dxfId="4" priority="1">
      <formula>ISERROR(A50)</formula>
    </cfRule>
  </conditionalFormatting>
  <conditionalFormatting sqref="A55:W60">
    <cfRule type="containsErrors" dxfId="3" priority="2">
      <formula>ISERROR(A55)</formula>
    </cfRule>
  </conditionalFormatting>
  <printOptions horizontalCentered="1"/>
  <pageMargins left="0.11811023622047245" right="0.11811023622047245" top="2.0299999999999998" bottom="0.27559055118110237" header="0.23622047244094491" footer="0.11811023622047245"/>
  <pageSetup paperSize="9" scale="61" orientation="portrait" horizontalDpi="4294967293" verticalDpi="360" r:id="rId1"/>
  <colBreaks count="1" manualBreakCount="1">
    <brk id="23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Spinner 3">
              <controlPr defaultSize="0" autoPict="0">
                <anchor moveWithCells="1" sizeWithCells="1">
                  <from>
                    <xdr:col>23</xdr:col>
                    <xdr:colOff>485775</xdr:colOff>
                    <xdr:row>21</xdr:row>
                    <xdr:rowOff>152400</xdr:rowOff>
                  </from>
                  <to>
                    <xdr:col>24</xdr:col>
                    <xdr:colOff>361950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Spinner 4">
              <controlPr defaultSize="0" autoPict="0">
                <anchor moveWithCells="1" sizeWithCells="1">
                  <from>
                    <xdr:col>24</xdr:col>
                    <xdr:colOff>57150</xdr:colOff>
                    <xdr:row>51</xdr:row>
                    <xdr:rowOff>0</xdr:rowOff>
                  </from>
                  <to>
                    <xdr:col>24</xdr:col>
                    <xdr:colOff>514350</xdr:colOff>
                    <xdr:row>62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Spinner 7">
              <controlPr defaultSize="0" autoPict="0">
                <anchor moveWithCells="1" sizeWithCells="1">
                  <from>
                    <xdr:col>23</xdr:col>
                    <xdr:colOff>485775</xdr:colOff>
                    <xdr:row>20</xdr:row>
                    <xdr:rowOff>152400</xdr:rowOff>
                  </from>
                  <to>
                    <xdr:col>24</xdr:col>
                    <xdr:colOff>361950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7" name="Spinner 8">
              <controlPr defaultSize="0" autoPict="0">
                <anchor moveWithCells="1" sizeWithCells="1">
                  <from>
                    <xdr:col>23</xdr:col>
                    <xdr:colOff>485775</xdr:colOff>
                    <xdr:row>20</xdr:row>
                    <xdr:rowOff>152400</xdr:rowOff>
                  </from>
                  <to>
                    <xdr:col>24</xdr:col>
                    <xdr:colOff>361950</xdr:colOff>
                    <xdr:row>28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1802-31E0-45FB-AECD-0E125757B3F0}">
  <sheetPr>
    <tabColor rgb="FFC00000"/>
  </sheetPr>
  <dimension ref="A7:V196"/>
  <sheetViews>
    <sheetView topLeftCell="A7" workbookViewId="0"/>
  </sheetViews>
  <sheetFormatPr defaultColWidth="9.140625" defaultRowHeight="15" x14ac:dyDescent="0.25"/>
  <cols>
    <col min="1" max="1" width="4" customWidth="1"/>
    <col min="2" max="2" width="27.140625" style="17" customWidth="1"/>
    <col min="3" max="3" width="42.28515625" style="15" customWidth="1"/>
    <col min="4" max="4" width="44" style="18" customWidth="1"/>
    <col min="5" max="5" width="28.140625" style="19" customWidth="1"/>
    <col min="8" max="8" width="10.5703125" customWidth="1"/>
    <col min="9" max="9" width="43" customWidth="1"/>
    <col min="10" max="10" width="19.85546875" customWidth="1"/>
  </cols>
  <sheetData>
    <row r="7" spans="1:10" x14ac:dyDescent="0.25">
      <c r="D7" s="18" t="s">
        <v>2990</v>
      </c>
    </row>
    <row r="10" spans="1:10" ht="3.75" customHeight="1" x14ac:dyDescent="0.25">
      <c r="A10" s="20"/>
      <c r="B10" s="21"/>
      <c r="C10" s="22"/>
      <c r="D10" s="23"/>
      <c r="E10" s="24"/>
    </row>
    <row r="11" spans="1:10" ht="14.25" customHeight="1" x14ac:dyDescent="0.25"/>
    <row r="12" spans="1:10" ht="24" customHeight="1" x14ac:dyDescent="0.25">
      <c r="A12" s="235" t="s">
        <v>3849</v>
      </c>
      <c r="B12" s="235"/>
      <c r="C12" s="235"/>
      <c r="D12" s="235"/>
      <c r="E12" s="235"/>
    </row>
    <row r="13" spans="1:10" ht="21" customHeight="1" x14ac:dyDescent="0.25">
      <c r="A13" s="235" t="s">
        <v>3850</v>
      </c>
      <c r="B13" s="235"/>
      <c r="C13" s="235"/>
      <c r="D13" s="235"/>
      <c r="E13" s="235"/>
      <c r="G13">
        <v>40</v>
      </c>
      <c r="H13" t="str">
        <f>VLOOKUP(G13,G14:H52,2)</f>
        <v>XIII AK 6</v>
      </c>
      <c r="I13" s="49" t="str">
        <f>VLOOKUP(G13,G14:J52,3)</f>
        <v>Ade Hartono, S.Pd</v>
      </c>
    </row>
    <row r="14" spans="1:10" ht="21" customHeight="1" x14ac:dyDescent="0.25">
      <c r="A14" s="235" t="s">
        <v>3833</v>
      </c>
      <c r="B14" s="235"/>
      <c r="C14" s="235"/>
      <c r="D14" s="235"/>
      <c r="E14" s="235"/>
      <c r="G14" s="50">
        <v>1</v>
      </c>
      <c r="H14" s="1" t="s">
        <v>404</v>
      </c>
      <c r="I14" t="s">
        <v>2992</v>
      </c>
      <c r="J14" s="15"/>
    </row>
    <row r="15" spans="1:10" ht="21" customHeight="1" x14ac:dyDescent="0.25">
      <c r="A15" s="235" t="str">
        <f>"KELAS   "&amp;H13</f>
        <v>KELAS   XIII AK 6</v>
      </c>
      <c r="B15" s="235"/>
      <c r="C15" s="235"/>
      <c r="D15" s="235"/>
      <c r="E15" s="235"/>
      <c r="G15" s="50">
        <v>2</v>
      </c>
      <c r="H15" s="1" t="s">
        <v>416</v>
      </c>
      <c r="I15" t="s">
        <v>2993</v>
      </c>
      <c r="J15" s="15"/>
    </row>
    <row r="16" spans="1:10" ht="8.25" customHeight="1" x14ac:dyDescent="0.25">
      <c r="A16" s="237" t="s">
        <v>2994</v>
      </c>
      <c r="B16" s="237"/>
      <c r="C16" s="237"/>
      <c r="D16" s="237"/>
      <c r="E16" s="237"/>
      <c r="G16" s="50">
        <v>3</v>
      </c>
      <c r="H16" s="1" t="s">
        <v>417</v>
      </c>
      <c r="I16" s="51" t="s">
        <v>3024</v>
      </c>
      <c r="J16" s="15"/>
    </row>
    <row r="17" spans="1:18" ht="19.5" customHeight="1" x14ac:dyDescent="0.25">
      <c r="B17" s="25" t="s">
        <v>2996</v>
      </c>
      <c r="C17" s="26" t="str">
        <f>I13</f>
        <v>Ade Hartono, S.Pd</v>
      </c>
      <c r="D17" s="27"/>
      <c r="E17" s="28"/>
      <c r="G17" s="50">
        <v>4</v>
      </c>
      <c r="H17" s="1" t="s">
        <v>419</v>
      </c>
      <c r="I17" s="51" t="s">
        <v>3000</v>
      </c>
      <c r="K17" s="15"/>
    </row>
    <row r="18" spans="1:18" ht="18.75" customHeight="1" x14ac:dyDescent="0.25">
      <c r="A18" s="245" t="s">
        <v>2997</v>
      </c>
      <c r="B18" s="248" t="s">
        <v>2998</v>
      </c>
      <c r="C18" s="245" t="s">
        <v>433</v>
      </c>
      <c r="D18" s="245" t="s">
        <v>3851</v>
      </c>
      <c r="E18" s="245" t="s">
        <v>3852</v>
      </c>
      <c r="G18" s="50">
        <v>5</v>
      </c>
      <c r="H18" s="1" t="s">
        <v>420</v>
      </c>
      <c r="I18" t="s">
        <v>3837</v>
      </c>
    </row>
    <row r="19" spans="1:18" ht="18.75" customHeight="1" x14ac:dyDescent="0.25">
      <c r="A19" s="246"/>
      <c r="B19" s="249"/>
      <c r="C19" s="246"/>
      <c r="D19" s="246"/>
      <c r="E19" s="246"/>
      <c r="G19" s="50">
        <v>6</v>
      </c>
      <c r="H19" s="1" t="s">
        <v>421</v>
      </c>
      <c r="I19" s="51" t="s">
        <v>3842</v>
      </c>
      <c r="J19" s="15"/>
    </row>
    <row r="20" spans="1:18" ht="18.75" customHeight="1" x14ac:dyDescent="0.25">
      <c r="A20" s="247"/>
      <c r="B20" s="250"/>
      <c r="C20" s="247"/>
      <c r="D20" s="247"/>
      <c r="E20" s="247"/>
      <c r="G20" s="50">
        <v>7</v>
      </c>
      <c r="H20" s="52" t="s">
        <v>422</v>
      </c>
      <c r="I20" s="151" t="s">
        <v>3835</v>
      </c>
      <c r="J20" s="15"/>
      <c r="L20" s="15"/>
    </row>
    <row r="21" spans="1:18" s="15" customFormat="1" ht="27" customHeight="1" x14ac:dyDescent="0.25">
      <c r="A21" s="34">
        <v>1</v>
      </c>
      <c r="B21" s="153" t="e">
        <f>VLOOKUP($H$13&amp;$A21,Baru!$A$426:$H$1373,5,0)</f>
        <v>#N/A</v>
      </c>
      <c r="C21" s="153" t="e">
        <f>VLOOKUP($H$13&amp;$A21,Baru!$A$426:$H$1373,6,0)</f>
        <v>#N/A</v>
      </c>
      <c r="D21" s="154"/>
      <c r="E21" s="155">
        <v>1</v>
      </c>
      <c r="G21" s="50">
        <v>8</v>
      </c>
      <c r="H21" s="52" t="s">
        <v>423</v>
      </c>
      <c r="I21" s="51" t="s">
        <v>3015</v>
      </c>
    </row>
    <row r="22" spans="1:18" s="15" customFormat="1" ht="27" customHeight="1" x14ac:dyDescent="0.25">
      <c r="A22" s="34">
        <v>2</v>
      </c>
      <c r="B22" s="153" t="e">
        <f>VLOOKUP($H$13&amp;$A22,Baru!$A$426:$H$1373,5,0)</f>
        <v>#N/A</v>
      </c>
      <c r="C22" s="153" t="e">
        <f>VLOOKUP($H$13&amp;$A22,Baru!$A$426:$H$1373,6,0)</f>
        <v>#N/A</v>
      </c>
      <c r="D22" s="154"/>
      <c r="E22" s="156">
        <v>2</v>
      </c>
      <c r="G22" s="50">
        <v>9</v>
      </c>
      <c r="H22" s="52" t="s">
        <v>424</v>
      </c>
      <c r="I22" s="51" t="s">
        <v>3001</v>
      </c>
    </row>
    <row r="23" spans="1:18" s="15" customFormat="1" ht="27" customHeight="1" x14ac:dyDescent="0.25">
      <c r="A23" s="34">
        <v>3</v>
      </c>
      <c r="B23" s="153" t="e">
        <f>VLOOKUP($H$13&amp;$A23,Baru!$A$426:$H$1373,5,0)</f>
        <v>#N/A</v>
      </c>
      <c r="C23" s="153" t="e">
        <f>VLOOKUP($H$13&amp;$A23,Baru!$A$426:$H$1373,6,0)</f>
        <v>#N/A</v>
      </c>
      <c r="D23" s="154"/>
      <c r="E23" s="155">
        <v>3</v>
      </c>
      <c r="G23" s="50">
        <v>10</v>
      </c>
      <c r="H23" s="52" t="s">
        <v>425</v>
      </c>
      <c r="I23" s="51" t="s">
        <v>3002</v>
      </c>
    </row>
    <row r="24" spans="1:18" s="15" customFormat="1" ht="27" customHeight="1" x14ac:dyDescent="0.25">
      <c r="A24" s="34">
        <v>4</v>
      </c>
      <c r="B24" s="153" t="e">
        <f>VLOOKUP($H$13&amp;$A24,Baru!$A$426:$H$1373,5,0)</f>
        <v>#N/A</v>
      </c>
      <c r="C24" s="153" t="e">
        <f>VLOOKUP($H$13&amp;$A24,Baru!$A$426:$H$1373,6,0)</f>
        <v>#N/A</v>
      </c>
      <c r="D24" s="154"/>
      <c r="E24" s="156">
        <v>4</v>
      </c>
      <c r="G24" s="50">
        <v>11</v>
      </c>
      <c r="H24" s="52" t="s">
        <v>426</v>
      </c>
      <c r="I24" s="51" t="s">
        <v>3836</v>
      </c>
    </row>
    <row r="25" spans="1:18" s="15" customFormat="1" ht="27" customHeight="1" x14ac:dyDescent="0.25">
      <c r="A25" s="34">
        <v>5</v>
      </c>
      <c r="B25" s="153" t="e">
        <f>VLOOKUP($H$13&amp;$A25,Baru!$A$426:$H$1373,5,0)</f>
        <v>#N/A</v>
      </c>
      <c r="C25" s="153" t="e">
        <f>VLOOKUP($H$13&amp;$A25,Baru!$A$426:$H$1373,6,0)</f>
        <v>#N/A</v>
      </c>
      <c r="D25" s="154"/>
      <c r="E25" s="155">
        <v>5</v>
      </c>
      <c r="G25" s="50">
        <v>12</v>
      </c>
      <c r="H25" s="52" t="s">
        <v>3822</v>
      </c>
      <c r="I25" s="151" t="s">
        <v>3838</v>
      </c>
    </row>
    <row r="26" spans="1:18" s="15" customFormat="1" ht="27" customHeight="1" x14ac:dyDescent="0.25">
      <c r="A26" s="34">
        <v>6</v>
      </c>
      <c r="B26" s="153" t="e">
        <f>VLOOKUP($H$13&amp;$A26,Baru!$A$426:$H$1373,5,0)</f>
        <v>#N/A</v>
      </c>
      <c r="C26" s="153" t="e">
        <f>VLOOKUP($H$13&amp;$A26,Baru!$A$426:$H$1373,6,0)</f>
        <v>#N/A</v>
      </c>
      <c r="D26" s="154"/>
      <c r="E26" s="156">
        <v>6</v>
      </c>
      <c r="G26" s="50">
        <v>13</v>
      </c>
      <c r="H26" s="52" t="s">
        <v>3823</v>
      </c>
      <c r="I26" s="151" t="s">
        <v>3034</v>
      </c>
    </row>
    <row r="27" spans="1:18" s="15" customFormat="1" ht="27" customHeight="1" x14ac:dyDescent="0.25">
      <c r="A27" s="34">
        <v>7</v>
      </c>
      <c r="B27" s="153" t="e">
        <f>VLOOKUP($H$13&amp;$A27,Baru!$A$426:$H$1373,5,0)</f>
        <v>#N/A</v>
      </c>
      <c r="C27" s="153" t="e">
        <f>VLOOKUP($H$13&amp;$A27,Baru!$A$426:$H$1373,6,0)</f>
        <v>#N/A</v>
      </c>
      <c r="D27" s="154"/>
      <c r="E27" s="155">
        <v>7</v>
      </c>
      <c r="G27" s="50">
        <v>14</v>
      </c>
      <c r="H27" s="52" t="s">
        <v>3824</v>
      </c>
      <c r="I27" s="51" t="s">
        <v>3006</v>
      </c>
      <c r="J27"/>
    </row>
    <row r="28" spans="1:18" s="15" customFormat="1" ht="27" customHeight="1" x14ac:dyDescent="0.25">
      <c r="A28" s="34">
        <v>8</v>
      </c>
      <c r="B28" s="153" t="e">
        <f>VLOOKUP($H$13&amp;$A28,Baru!$A$426:$H$1373,5,0)</f>
        <v>#N/A</v>
      </c>
      <c r="C28" s="153" t="e">
        <f>VLOOKUP($H$13&amp;$A28,Baru!$A$426:$H$1373,6,0)</f>
        <v>#N/A</v>
      </c>
      <c r="D28" s="154"/>
      <c r="E28" s="156">
        <v>8</v>
      </c>
      <c r="G28" s="50">
        <v>15</v>
      </c>
      <c r="H28" s="52" t="s">
        <v>3825</v>
      </c>
      <c r="I28" s="51" t="s">
        <v>3012</v>
      </c>
      <c r="J28"/>
    </row>
    <row r="29" spans="1:18" s="15" customFormat="1" ht="27" customHeight="1" x14ac:dyDescent="0.25">
      <c r="A29" s="34">
        <v>9</v>
      </c>
      <c r="B29" s="153" t="e">
        <f>VLOOKUP($H$13&amp;$A29,Baru!$A$426:$H$1373,5,0)</f>
        <v>#N/A</v>
      </c>
      <c r="C29" s="153" t="e">
        <f>VLOOKUP($H$13&amp;$A29,Baru!$A$426:$H$1373,6,0)</f>
        <v>#N/A</v>
      </c>
      <c r="D29" s="154"/>
      <c r="E29" s="155">
        <v>9</v>
      </c>
      <c r="G29" s="50">
        <v>16</v>
      </c>
      <c r="H29" s="52" t="s">
        <v>3826</v>
      </c>
      <c r="I29" s="51" t="s">
        <v>3010</v>
      </c>
      <c r="R29" s="15" t="s">
        <v>3011</v>
      </c>
    </row>
    <row r="30" spans="1:18" s="15" customFormat="1" ht="27" customHeight="1" x14ac:dyDescent="0.25">
      <c r="A30" s="34">
        <v>10</v>
      </c>
      <c r="B30" s="153" t="e">
        <f>VLOOKUP($H$13&amp;$A30,Baru!$A$426:$H$1373,5,0)</f>
        <v>#N/A</v>
      </c>
      <c r="C30" s="153" t="e">
        <f>VLOOKUP($H$13&amp;$A30,Baru!$A$426:$H$1373,6,0)</f>
        <v>#N/A</v>
      </c>
      <c r="D30" s="154"/>
      <c r="E30" s="156">
        <v>10</v>
      </c>
      <c r="G30" s="50">
        <v>17</v>
      </c>
      <c r="H30" s="52" t="s">
        <v>3827</v>
      </c>
      <c r="I30" s="51" t="s">
        <v>3023</v>
      </c>
    </row>
    <row r="31" spans="1:18" s="15" customFormat="1" ht="27" customHeight="1" x14ac:dyDescent="0.25">
      <c r="A31" s="34">
        <v>11</v>
      </c>
      <c r="B31" s="153" t="e">
        <f>VLOOKUP($H$13&amp;$A31,Baru!$A$426:$H$1373,5,0)</f>
        <v>#N/A</v>
      </c>
      <c r="C31" s="153" t="e">
        <f>VLOOKUP($H$13&amp;$A31,Baru!$A$426:$H$1373,6,0)</f>
        <v>#N/A</v>
      </c>
      <c r="D31" s="154"/>
      <c r="E31" s="155">
        <v>11</v>
      </c>
      <c r="G31" s="50">
        <v>18</v>
      </c>
      <c r="H31" s="52" t="s">
        <v>3828</v>
      </c>
      <c r="I31" s="51" t="s">
        <v>3027</v>
      </c>
    </row>
    <row r="32" spans="1:18" s="15" customFormat="1" ht="27" customHeight="1" x14ac:dyDescent="0.25">
      <c r="A32" s="34">
        <v>12</v>
      </c>
      <c r="B32" s="153" t="e">
        <f>VLOOKUP($H$13&amp;$A32,Baru!$A$426:$H$1373,5,0)</f>
        <v>#N/A</v>
      </c>
      <c r="C32" s="153" t="e">
        <f>VLOOKUP($H$13&amp;$A32,Baru!$A$426:$H$1373,6,0)</f>
        <v>#N/A</v>
      </c>
      <c r="D32" s="154"/>
      <c r="E32" s="156">
        <v>12</v>
      </c>
      <c r="G32" s="50">
        <v>19</v>
      </c>
      <c r="H32" s="52" t="s">
        <v>3829</v>
      </c>
      <c r="I32" s="152" t="s">
        <v>3004</v>
      </c>
    </row>
    <row r="33" spans="1:14" s="15" customFormat="1" ht="27" customHeight="1" x14ac:dyDescent="0.25">
      <c r="A33" s="34">
        <v>13</v>
      </c>
      <c r="B33" s="153" t="e">
        <f>VLOOKUP($H$13&amp;$A33,Baru!$A$426:$H$1373,5,0)</f>
        <v>#N/A</v>
      </c>
      <c r="C33" s="153" t="e">
        <f>VLOOKUP($H$13&amp;$A33,Baru!$A$426:$H$1373,6,0)</f>
        <v>#N/A</v>
      </c>
      <c r="D33" s="154"/>
      <c r="E33" s="155">
        <v>13</v>
      </c>
      <c r="G33" s="50">
        <v>20</v>
      </c>
      <c r="H33" s="52" t="s">
        <v>3830</v>
      </c>
      <c r="I33" s="51" t="s">
        <v>3013</v>
      </c>
    </row>
    <row r="34" spans="1:14" s="15" customFormat="1" ht="27" customHeight="1" x14ac:dyDescent="0.25">
      <c r="A34" s="34">
        <v>14</v>
      </c>
      <c r="B34" s="153" t="e">
        <f>VLOOKUP($H$13&amp;$A34,Baru!$A$426:$H$1373,5,0)</f>
        <v>#N/A</v>
      </c>
      <c r="C34" s="153" t="e">
        <f>VLOOKUP($H$13&amp;$A34,Baru!$A$426:$H$1373,6,0)</f>
        <v>#N/A</v>
      </c>
      <c r="D34" s="154"/>
      <c r="E34" s="156">
        <v>14</v>
      </c>
      <c r="G34" s="50">
        <v>21</v>
      </c>
      <c r="H34" s="52" t="s">
        <v>3831</v>
      </c>
      <c r="I34" s="151" t="s">
        <v>3839</v>
      </c>
      <c r="M34" s="15" t="s">
        <v>3011</v>
      </c>
    </row>
    <row r="35" spans="1:14" s="15" customFormat="1" ht="27" customHeight="1" x14ac:dyDescent="0.25">
      <c r="A35" s="34">
        <v>15</v>
      </c>
      <c r="B35" s="153" t="e">
        <f>VLOOKUP($H$13&amp;$A35,Baru!$A$426:$H$1373,5,0)</f>
        <v>#N/A</v>
      </c>
      <c r="C35" s="153" t="e">
        <f>VLOOKUP($H$13&amp;$A35,Baru!$A$426:$H$1373,6,0)</f>
        <v>#N/A</v>
      </c>
      <c r="D35" s="154"/>
      <c r="E35" s="155">
        <v>15</v>
      </c>
      <c r="G35" s="50">
        <v>22</v>
      </c>
      <c r="H35" s="52" t="s">
        <v>3832</v>
      </c>
      <c r="I35" s="51" t="s">
        <v>174</v>
      </c>
    </row>
    <row r="36" spans="1:14" s="15" customFormat="1" ht="27" customHeight="1" x14ac:dyDescent="0.25">
      <c r="A36" s="34">
        <v>16</v>
      </c>
      <c r="B36" s="153" t="e">
        <f>VLOOKUP($H$13&amp;$A36,Baru!$A$426:$H$1373,5,0)</f>
        <v>#N/A</v>
      </c>
      <c r="C36" s="153" t="e">
        <f>VLOOKUP($H$13&amp;$A36,Baru!$A$426:$H$1373,6,0)</f>
        <v>#N/A</v>
      </c>
      <c r="D36" s="154"/>
      <c r="E36" s="156">
        <v>16</v>
      </c>
      <c r="G36" s="50">
        <v>23</v>
      </c>
      <c r="H36" s="52" t="s">
        <v>837</v>
      </c>
      <c r="I36" s="51" t="s">
        <v>3017</v>
      </c>
    </row>
    <row r="37" spans="1:14" s="15" customFormat="1" ht="27" customHeight="1" x14ac:dyDescent="0.25">
      <c r="A37" s="34">
        <v>17</v>
      </c>
      <c r="B37" s="153" t="e">
        <f>VLOOKUP($H$13&amp;$A37,Baru!$A$426:$H$1373,5,0)</f>
        <v>#N/A</v>
      </c>
      <c r="C37" s="153" t="e">
        <f>VLOOKUP($H$13&amp;$A37,Baru!$A$426:$H$1373,6,0)</f>
        <v>#N/A</v>
      </c>
      <c r="D37" s="154"/>
      <c r="E37" s="155">
        <v>17</v>
      </c>
      <c r="G37" s="50">
        <v>24</v>
      </c>
      <c r="H37" s="52" t="s">
        <v>840</v>
      </c>
      <c r="I37" s="51" t="s">
        <v>3026</v>
      </c>
      <c r="N37" s="15" t="s">
        <v>3011</v>
      </c>
    </row>
    <row r="38" spans="1:14" s="15" customFormat="1" ht="27" customHeight="1" x14ac:dyDescent="0.25">
      <c r="A38" s="34">
        <v>18</v>
      </c>
      <c r="B38" s="153" t="e">
        <f>VLOOKUP($H$13&amp;$A38,Baru!$A$426:$H$1373,5,0)</f>
        <v>#N/A</v>
      </c>
      <c r="C38" s="153" t="e">
        <f>VLOOKUP($H$13&amp;$A38,Baru!$A$426:$H$1373,6,0)</f>
        <v>#N/A</v>
      </c>
      <c r="D38" s="154"/>
      <c r="E38" s="156">
        <v>18</v>
      </c>
      <c r="G38" s="50">
        <v>25</v>
      </c>
      <c r="H38" s="52" t="s">
        <v>875</v>
      </c>
      <c r="I38" s="51" t="s">
        <v>3019</v>
      </c>
    </row>
    <row r="39" spans="1:14" s="15" customFormat="1" ht="27" customHeight="1" x14ac:dyDescent="0.25">
      <c r="A39" s="34">
        <v>19</v>
      </c>
      <c r="B39" s="153" t="e">
        <f>VLOOKUP($H$13&amp;$A39,Baru!$A$426:$H$1373,5,0)</f>
        <v>#N/A</v>
      </c>
      <c r="C39" s="153" t="e">
        <f>VLOOKUP($H$13&amp;$A39,Baru!$A$426:$H$1373,6,0)</f>
        <v>#N/A</v>
      </c>
      <c r="D39" s="154"/>
      <c r="E39" s="155">
        <v>19</v>
      </c>
      <c r="G39" s="50">
        <v>26</v>
      </c>
      <c r="H39" s="52" t="s">
        <v>851</v>
      </c>
      <c r="I39" s="51" t="s">
        <v>3020</v>
      </c>
    </row>
    <row r="40" spans="1:14" s="15" customFormat="1" ht="27" customHeight="1" x14ac:dyDescent="0.25">
      <c r="A40" s="34">
        <v>20</v>
      </c>
      <c r="B40" s="153" t="e">
        <f>VLOOKUP($H$13&amp;$A40,Baru!$A$426:$H$1373,5,0)</f>
        <v>#N/A</v>
      </c>
      <c r="C40" s="153" t="e">
        <f>VLOOKUP($H$13&amp;$A40,Baru!$A$426:$H$1373,6,0)</f>
        <v>#N/A</v>
      </c>
      <c r="D40" s="154"/>
      <c r="E40" s="156">
        <v>20</v>
      </c>
      <c r="G40" s="50">
        <v>27</v>
      </c>
      <c r="H40" s="52" t="s">
        <v>887</v>
      </c>
      <c r="I40" s="51" t="s">
        <v>3021</v>
      </c>
    </row>
    <row r="41" spans="1:14" s="15" customFormat="1" ht="27" customHeight="1" x14ac:dyDescent="0.25">
      <c r="A41" s="34">
        <v>21</v>
      </c>
      <c r="B41" s="153" t="e">
        <f>VLOOKUP($H$13&amp;$A41,Baru!$A$426:$H$1373,5,0)</f>
        <v>#N/A</v>
      </c>
      <c r="C41" s="153" t="e">
        <f>VLOOKUP($H$13&amp;$A41,Baru!$A$426:$H$1373,6,0)</f>
        <v>#N/A</v>
      </c>
      <c r="D41" s="154"/>
      <c r="E41" s="155">
        <v>21</v>
      </c>
      <c r="G41" s="50">
        <v>28</v>
      </c>
      <c r="H41" s="52" t="s">
        <v>870</v>
      </c>
      <c r="I41" s="151" t="s">
        <v>3840</v>
      </c>
    </row>
    <row r="42" spans="1:14" s="15" customFormat="1" ht="27" customHeight="1" x14ac:dyDescent="0.25">
      <c r="A42" s="34">
        <v>22</v>
      </c>
      <c r="B42" s="153" t="e">
        <f>VLOOKUP($H$13&amp;$A42,Baru!$A$426:$H$1373,5,0)</f>
        <v>#N/A</v>
      </c>
      <c r="C42" s="153" t="e">
        <f>VLOOKUP($H$13&amp;$A42,Baru!$A$426:$H$1373,6,0)</f>
        <v>#N/A</v>
      </c>
      <c r="D42" s="154"/>
      <c r="E42" s="156">
        <v>22</v>
      </c>
      <c r="G42" s="50">
        <v>29</v>
      </c>
      <c r="H42" s="52" t="s">
        <v>878</v>
      </c>
      <c r="I42" s="51" t="s">
        <v>3016</v>
      </c>
    </row>
    <row r="43" spans="1:14" s="15" customFormat="1" ht="27" customHeight="1" x14ac:dyDescent="0.25">
      <c r="A43" s="34">
        <v>23</v>
      </c>
      <c r="B43" s="153" t="e">
        <f>VLOOKUP($H$13&amp;$A43,Baru!$A$426:$H$1373,5,0)</f>
        <v>#N/A</v>
      </c>
      <c r="C43" s="153" t="e">
        <f>VLOOKUP($H$13&amp;$A43,Baru!$A$426:$H$1373,6,0)</f>
        <v>#N/A</v>
      </c>
      <c r="D43" s="154"/>
      <c r="E43" s="155">
        <v>23</v>
      </c>
      <c r="G43" s="50">
        <v>30</v>
      </c>
      <c r="H43" s="52" t="s">
        <v>854</v>
      </c>
      <c r="I43" s="51" t="s">
        <v>3005</v>
      </c>
    </row>
    <row r="44" spans="1:14" s="15" customFormat="1" ht="27" customHeight="1" x14ac:dyDescent="0.25">
      <c r="A44" s="34">
        <v>24</v>
      </c>
      <c r="B44" s="153" t="e">
        <f>VLOOKUP($H$13&amp;$A44,Baru!$A$426:$H$1373,5,0)</f>
        <v>#N/A</v>
      </c>
      <c r="C44" s="153" t="e">
        <f>VLOOKUP($H$13&amp;$A44,Baru!$A$426:$H$1373,6,0)</f>
        <v>#N/A</v>
      </c>
      <c r="D44" s="154"/>
      <c r="E44" s="156">
        <v>24</v>
      </c>
      <c r="G44" s="50">
        <v>31</v>
      </c>
      <c r="H44" s="52" t="s">
        <v>843</v>
      </c>
      <c r="I44" s="151" t="s">
        <v>3841</v>
      </c>
    </row>
    <row r="45" spans="1:14" s="15" customFormat="1" ht="27" customHeight="1" x14ac:dyDescent="0.25">
      <c r="A45" s="34">
        <v>25</v>
      </c>
      <c r="B45" s="153" t="e">
        <f>VLOOKUP($H$13&amp;$A45,Baru!$A$426:$H$1373,5,0)</f>
        <v>#N/A</v>
      </c>
      <c r="C45" s="153" t="e">
        <f>VLOOKUP($H$13&amp;$A45,Baru!$A$426:$H$1373,6,0)</f>
        <v>#N/A</v>
      </c>
      <c r="D45" s="154"/>
      <c r="E45" s="155">
        <v>25</v>
      </c>
      <c r="G45" s="50">
        <v>32</v>
      </c>
      <c r="H45" s="52" t="s">
        <v>846</v>
      </c>
      <c r="I45" s="51" t="s">
        <v>3014</v>
      </c>
    </row>
    <row r="46" spans="1:14" s="15" customFormat="1" ht="27" customHeight="1" x14ac:dyDescent="0.25">
      <c r="A46" s="34">
        <v>26</v>
      </c>
      <c r="B46" s="153" t="e">
        <f>VLOOKUP($H$13&amp;$A46,Baru!$A$426:$H$1373,5,0)</f>
        <v>#N/A</v>
      </c>
      <c r="C46" s="153" t="e">
        <f>VLOOKUP($H$13&amp;$A46,Baru!$A$426:$H$1373,6,0)</f>
        <v>#N/A</v>
      </c>
      <c r="D46" s="154"/>
      <c r="E46" s="156">
        <v>26</v>
      </c>
      <c r="G46" s="50">
        <v>33</v>
      </c>
      <c r="H46" s="52" t="s">
        <v>863</v>
      </c>
      <c r="I46" s="51" t="s">
        <v>3025</v>
      </c>
    </row>
    <row r="47" spans="1:14" s="15" customFormat="1" ht="27" customHeight="1" x14ac:dyDescent="0.25">
      <c r="A47" s="34">
        <v>27</v>
      </c>
      <c r="B47" s="153" t="e">
        <f>VLOOKUP($H$13&amp;$A47,Baru!$A$426:$H$1373,5,0)</f>
        <v>#N/A</v>
      </c>
      <c r="C47" s="153" t="e">
        <f>VLOOKUP($H$13&amp;$A47,Baru!$A$426:$H$1373,6,0)</f>
        <v>#N/A</v>
      </c>
      <c r="D47" s="154"/>
      <c r="E47" s="155">
        <v>27</v>
      </c>
      <c r="G47" s="50">
        <v>34</v>
      </c>
      <c r="H47" s="52" t="s">
        <v>483</v>
      </c>
      <c r="I47" s="51" t="s">
        <v>3022</v>
      </c>
    </row>
    <row r="48" spans="1:14" s="15" customFormat="1" ht="27" customHeight="1" x14ac:dyDescent="0.25">
      <c r="A48" s="34">
        <v>28</v>
      </c>
      <c r="B48" s="153" t="e">
        <f>VLOOKUP($H$13&amp;$A48,Baru!$A$426:$H$1373,5,0)</f>
        <v>#N/A</v>
      </c>
      <c r="C48" s="153" t="e">
        <f>VLOOKUP($H$13&amp;$A48,Baru!$A$426:$H$1373,6,0)</f>
        <v>#N/A</v>
      </c>
      <c r="D48" s="154"/>
      <c r="E48" s="156">
        <v>28</v>
      </c>
      <c r="G48" s="50">
        <v>35</v>
      </c>
      <c r="H48" s="52" t="s">
        <v>449</v>
      </c>
      <c r="I48" s="51" t="s">
        <v>3029</v>
      </c>
    </row>
    <row r="49" spans="1:11" s="15" customFormat="1" ht="27" customHeight="1" x14ac:dyDescent="0.25">
      <c r="A49" s="34">
        <v>29</v>
      </c>
      <c r="B49" s="153" t="e">
        <f>VLOOKUP($H$13&amp;$A49,Baru!$A$426:$H$1373,5,0)</f>
        <v>#N/A</v>
      </c>
      <c r="C49" s="153" t="e">
        <f>VLOOKUP($H$13&amp;$A49,Baru!$A$426:$H$1373,6,0)</f>
        <v>#N/A</v>
      </c>
      <c r="D49" s="154"/>
      <c r="E49" s="155">
        <v>29</v>
      </c>
      <c r="G49" s="50">
        <v>36</v>
      </c>
      <c r="H49" s="52" t="s">
        <v>455</v>
      </c>
      <c r="I49" s="51" t="s">
        <v>3030</v>
      </c>
      <c r="K49" s="15" t="s">
        <v>3031</v>
      </c>
    </row>
    <row r="50" spans="1:11" s="15" customFormat="1" ht="27" customHeight="1" x14ac:dyDescent="0.25">
      <c r="A50" s="34">
        <v>30</v>
      </c>
      <c r="B50" s="153" t="e">
        <f>VLOOKUP($H$13&amp;$A50,Baru!$A$426:$H$1373,5,0)</f>
        <v>#N/A</v>
      </c>
      <c r="C50" s="153" t="e">
        <f>VLOOKUP($H$13&amp;$A50,Baru!$A$426:$H$1373,6,0)</f>
        <v>#N/A</v>
      </c>
      <c r="D50" s="154"/>
      <c r="E50" s="156">
        <v>30</v>
      </c>
      <c r="G50" s="50">
        <v>37</v>
      </c>
      <c r="H50" s="52" t="s">
        <v>443</v>
      </c>
      <c r="I50" s="51" t="s">
        <v>3032</v>
      </c>
    </row>
    <row r="51" spans="1:11" s="15" customFormat="1" ht="27" customHeight="1" x14ac:dyDescent="0.25">
      <c r="A51" s="34">
        <v>31</v>
      </c>
      <c r="B51" s="153" t="e">
        <f>VLOOKUP($H$13&amp;$A51,Baru!$A$426:$H$1373,5,0)</f>
        <v>#N/A</v>
      </c>
      <c r="C51" s="153" t="e">
        <f>VLOOKUP($H$13&amp;$A51,Baru!$A$426:$H$1373,6,0)</f>
        <v>#N/A</v>
      </c>
      <c r="D51" s="154"/>
      <c r="E51" s="155">
        <v>31</v>
      </c>
      <c r="G51" s="50">
        <v>38</v>
      </c>
      <c r="H51" s="52" t="s">
        <v>462</v>
      </c>
      <c r="I51" s="51" t="s">
        <v>3033</v>
      </c>
    </row>
    <row r="52" spans="1:11" s="15" customFormat="1" ht="27" customHeight="1" x14ac:dyDescent="0.25">
      <c r="A52" s="34">
        <v>32</v>
      </c>
      <c r="B52" s="153" t="e">
        <f>VLOOKUP($H$13&amp;$A52,Baru!$A$426:$H$1373,5,0)</f>
        <v>#N/A</v>
      </c>
      <c r="C52" s="153" t="e">
        <f>VLOOKUP($H$13&amp;$A52,Baru!$A$426:$H$1373,6,0)</f>
        <v>#N/A</v>
      </c>
      <c r="D52" s="154"/>
      <c r="E52" s="156">
        <v>32</v>
      </c>
      <c r="G52" s="50">
        <v>39</v>
      </c>
      <c r="H52" s="52" t="s">
        <v>452</v>
      </c>
      <c r="I52" s="51" t="s">
        <v>3007</v>
      </c>
    </row>
    <row r="53" spans="1:11" s="15" customFormat="1" ht="27" customHeight="1" x14ac:dyDescent="0.25">
      <c r="A53" s="34">
        <v>33</v>
      </c>
      <c r="B53" s="153" t="e">
        <f>VLOOKUP($H$13&amp;$A53,Baru!$A$426:$H$1373,5,0)</f>
        <v>#N/A</v>
      </c>
      <c r="C53" s="153" t="e">
        <f>VLOOKUP($H$13&amp;$A53,Baru!$A$426:$H$1373,6,0)</f>
        <v>#N/A</v>
      </c>
      <c r="D53" s="154"/>
      <c r="E53" s="155">
        <v>33</v>
      </c>
    </row>
    <row r="54" spans="1:11" s="15" customFormat="1" ht="27" customHeight="1" x14ac:dyDescent="0.25">
      <c r="A54" s="34">
        <v>34</v>
      </c>
      <c r="B54" s="153" t="e">
        <f>VLOOKUP($H$13&amp;$A54,Baru!$A$426:$H$1373,5,0)</f>
        <v>#N/A</v>
      </c>
      <c r="C54" s="153" t="e">
        <f>VLOOKUP($H$13&amp;$A54,Baru!$A$426:$H$1373,6,0)</f>
        <v>#N/A</v>
      </c>
      <c r="D54" s="154"/>
      <c r="E54" s="156"/>
    </row>
    <row r="55" spans="1:11" s="15" customFormat="1" ht="27" customHeight="1" x14ac:dyDescent="0.25">
      <c r="A55" s="34">
        <v>35</v>
      </c>
      <c r="B55" s="153" t="e">
        <f>VLOOKUP($H$13&amp;$A55,Baru!$A$426:$H$1373,5,0)</f>
        <v>#N/A</v>
      </c>
      <c r="C55" s="153" t="e">
        <f>VLOOKUP($H$13&amp;$A55,Baru!$A$426:$H$1373,6,0)</f>
        <v>#N/A</v>
      </c>
      <c r="D55" s="154"/>
      <c r="E55" s="155"/>
      <c r="I55" s="15" t="s">
        <v>3044</v>
      </c>
    </row>
    <row r="56" spans="1:11" s="16" customFormat="1" ht="27" customHeight="1" x14ac:dyDescent="0.25">
      <c r="A56" s="34">
        <v>36</v>
      </c>
      <c r="B56" s="153" t="e">
        <f>VLOOKUP($H$13&amp;$A56,Baru!$A$426:$H$1373,5,0)</f>
        <v>#N/A</v>
      </c>
      <c r="C56" s="153" t="e">
        <f>VLOOKUP($H$13&amp;$A56,Baru!$A$426:$H$1373,6,0)</f>
        <v>#N/A</v>
      </c>
      <c r="D56" s="154"/>
      <c r="E56" s="156"/>
    </row>
    <row r="57" spans="1:11" s="15" customFormat="1" ht="10.5" customHeight="1" x14ac:dyDescent="0.25">
      <c r="A57" s="27"/>
      <c r="B57" s="42"/>
      <c r="C57" s="43"/>
      <c r="D57" s="44"/>
      <c r="E57" s="27"/>
    </row>
    <row r="58" spans="1:11" ht="13.5" customHeight="1" x14ac:dyDescent="0.25">
      <c r="A58" s="28"/>
      <c r="B58" s="42"/>
      <c r="C58" s="43"/>
      <c r="D58" s="27"/>
      <c r="E58" s="27"/>
      <c r="H58" t="s">
        <v>3036</v>
      </c>
    </row>
    <row r="59" spans="1:11" ht="13.5" customHeight="1" x14ac:dyDescent="0.25">
      <c r="A59" s="28"/>
      <c r="B59" s="42"/>
      <c r="C59" s="45"/>
      <c r="E59" s="27"/>
    </row>
    <row r="60" spans="1:11" ht="13.5" customHeight="1" x14ac:dyDescent="0.25">
      <c r="A60" s="28"/>
      <c r="B60" s="42"/>
      <c r="C60" s="45"/>
      <c r="E60" s="27"/>
    </row>
    <row r="61" spans="1:11" ht="13.5" customHeight="1" x14ac:dyDescent="0.25">
      <c r="A61" s="28"/>
      <c r="B61" s="42"/>
      <c r="C61" s="43"/>
      <c r="D61" s="27"/>
      <c r="E61" s="27"/>
    </row>
    <row r="62" spans="1:11" ht="13.5" customHeight="1" x14ac:dyDescent="0.25">
      <c r="A62" s="28"/>
      <c r="B62" s="42"/>
      <c r="C62" s="43"/>
      <c r="D62" s="27"/>
      <c r="E62" s="27"/>
    </row>
    <row r="63" spans="1:11" ht="13.5" customHeight="1" x14ac:dyDescent="0.25">
      <c r="A63" s="28"/>
      <c r="B63" s="42"/>
      <c r="C63" s="43"/>
      <c r="D63" s="27"/>
      <c r="E63" s="27"/>
    </row>
    <row r="64" spans="1:11" ht="13.5" customHeight="1" x14ac:dyDescent="0.25">
      <c r="A64" s="28"/>
      <c r="B64" s="42"/>
      <c r="C64" s="43"/>
      <c r="D64" s="27"/>
      <c r="E64" s="27"/>
    </row>
    <row r="65" spans="1:22" x14ac:dyDescent="0.25">
      <c r="A65" s="19"/>
      <c r="E65" s="18"/>
    </row>
    <row r="66" spans="1:22" x14ac:dyDescent="0.25">
      <c r="A66" s="19"/>
      <c r="E66" s="18"/>
    </row>
    <row r="67" spans="1:22" x14ac:dyDescent="0.25">
      <c r="A67" s="19"/>
    </row>
    <row r="68" spans="1:22" x14ac:dyDescent="0.25">
      <c r="A68" s="19"/>
    </row>
    <row r="69" spans="1:22" x14ac:dyDescent="0.25">
      <c r="A69" s="19"/>
    </row>
    <row r="70" spans="1:22" x14ac:dyDescent="0.25">
      <c r="A70" s="19"/>
    </row>
    <row r="71" spans="1:22" x14ac:dyDescent="0.25">
      <c r="A71" s="19"/>
    </row>
    <row r="72" spans="1:22" x14ac:dyDescent="0.25">
      <c r="A72" s="19"/>
    </row>
    <row r="73" spans="1:22" x14ac:dyDescent="0.25">
      <c r="A73" s="19"/>
    </row>
    <row r="74" spans="1:22" x14ac:dyDescent="0.25">
      <c r="A74" s="19"/>
    </row>
    <row r="75" spans="1:22" x14ac:dyDescent="0.25">
      <c r="A75" s="19"/>
    </row>
    <row r="76" spans="1:22" x14ac:dyDescent="0.25">
      <c r="A76" s="19"/>
    </row>
    <row r="77" spans="1:22" x14ac:dyDescent="0.25">
      <c r="A77" s="19"/>
    </row>
    <row r="78" spans="1:22" x14ac:dyDescent="0.25">
      <c r="A78" s="19"/>
      <c r="E78"/>
    </row>
    <row r="79" spans="1:22" x14ac:dyDescent="0.25">
      <c r="A79" s="19"/>
      <c r="E79"/>
      <c r="V79" t="s">
        <v>381</v>
      </c>
    </row>
    <row r="80" spans="1:22" x14ac:dyDescent="0.25">
      <c r="A80" s="19"/>
      <c r="E80"/>
    </row>
    <row r="81" spans="1:5" x14ac:dyDescent="0.25">
      <c r="A81" s="19"/>
      <c r="E81"/>
    </row>
    <row r="82" spans="1:5" x14ac:dyDescent="0.25">
      <c r="A82" s="19"/>
      <c r="E82"/>
    </row>
    <row r="83" spans="1:5" x14ac:dyDescent="0.25">
      <c r="A83" s="19"/>
      <c r="E83"/>
    </row>
    <row r="84" spans="1:5" x14ac:dyDescent="0.25">
      <c r="A84" s="19"/>
      <c r="E84"/>
    </row>
    <row r="85" spans="1:5" x14ac:dyDescent="0.25">
      <c r="A85" s="19"/>
      <c r="E85"/>
    </row>
    <row r="86" spans="1:5" x14ac:dyDescent="0.25">
      <c r="A86" s="19"/>
      <c r="E86"/>
    </row>
    <row r="87" spans="1:5" x14ac:dyDescent="0.25">
      <c r="A87" s="19"/>
      <c r="E87"/>
    </row>
    <row r="88" spans="1:5" x14ac:dyDescent="0.25">
      <c r="A88" s="19"/>
      <c r="E88"/>
    </row>
    <row r="89" spans="1:5" x14ac:dyDescent="0.25">
      <c r="A89" s="19"/>
      <c r="E89"/>
    </row>
    <row r="90" spans="1:5" x14ac:dyDescent="0.25">
      <c r="A90" s="19"/>
      <c r="E90"/>
    </row>
    <row r="91" spans="1:5" x14ac:dyDescent="0.25">
      <c r="A91" s="19"/>
      <c r="E91"/>
    </row>
    <row r="92" spans="1:5" x14ac:dyDescent="0.25">
      <c r="A92" s="19"/>
      <c r="E92"/>
    </row>
    <row r="93" spans="1:5" x14ac:dyDescent="0.25">
      <c r="A93" s="19"/>
      <c r="E93"/>
    </row>
    <row r="94" spans="1:5" x14ac:dyDescent="0.25">
      <c r="A94" s="19"/>
      <c r="E94"/>
    </row>
    <row r="95" spans="1:5" x14ac:dyDescent="0.25">
      <c r="A95" s="19"/>
      <c r="E95"/>
    </row>
    <row r="96" spans="1:5" x14ac:dyDescent="0.25">
      <c r="A96" s="19"/>
      <c r="E96"/>
    </row>
    <row r="97" spans="1:5" x14ac:dyDescent="0.25">
      <c r="A97" s="19"/>
      <c r="E97"/>
    </row>
    <row r="98" spans="1:5" x14ac:dyDescent="0.25">
      <c r="A98" s="19"/>
      <c r="E98"/>
    </row>
    <row r="99" spans="1:5" x14ac:dyDescent="0.25">
      <c r="A99" s="19"/>
      <c r="E99"/>
    </row>
    <row r="100" spans="1:5" x14ac:dyDescent="0.25">
      <c r="A100" s="19"/>
      <c r="E100"/>
    </row>
    <row r="101" spans="1:5" x14ac:dyDescent="0.25">
      <c r="A101" s="19"/>
      <c r="E101"/>
    </row>
    <row r="102" spans="1:5" x14ac:dyDescent="0.25">
      <c r="A102" s="19"/>
      <c r="E102"/>
    </row>
    <row r="103" spans="1:5" x14ac:dyDescent="0.25">
      <c r="A103" s="19"/>
      <c r="E103"/>
    </row>
    <row r="104" spans="1:5" x14ac:dyDescent="0.25">
      <c r="A104" s="19"/>
      <c r="E104"/>
    </row>
    <row r="105" spans="1:5" x14ac:dyDescent="0.25">
      <c r="A105" s="19"/>
      <c r="E105"/>
    </row>
    <row r="106" spans="1:5" x14ac:dyDescent="0.25">
      <c r="A106" s="19"/>
      <c r="E106"/>
    </row>
    <row r="107" spans="1:5" x14ac:dyDescent="0.25">
      <c r="A107" s="19"/>
      <c r="E107"/>
    </row>
    <row r="108" spans="1:5" x14ac:dyDescent="0.25">
      <c r="A108" s="19"/>
      <c r="E108"/>
    </row>
    <row r="109" spans="1:5" x14ac:dyDescent="0.25">
      <c r="A109" s="19"/>
      <c r="E109"/>
    </row>
    <row r="110" spans="1:5" x14ac:dyDescent="0.25">
      <c r="A110" s="19"/>
      <c r="E110"/>
    </row>
    <row r="111" spans="1:5" x14ac:dyDescent="0.25">
      <c r="A111" s="19"/>
      <c r="E111"/>
    </row>
    <row r="112" spans="1:5" x14ac:dyDescent="0.25">
      <c r="A112" s="19"/>
      <c r="E112"/>
    </row>
    <row r="113" spans="1:5" x14ac:dyDescent="0.25">
      <c r="A113" s="19"/>
      <c r="E113"/>
    </row>
    <row r="114" spans="1:5" x14ac:dyDescent="0.25">
      <c r="A114" s="19"/>
      <c r="E114"/>
    </row>
    <row r="115" spans="1:5" x14ac:dyDescent="0.25">
      <c r="A115" s="19"/>
      <c r="E115"/>
    </row>
    <row r="116" spans="1:5" x14ac:dyDescent="0.25">
      <c r="A116" s="19"/>
      <c r="E116"/>
    </row>
    <row r="117" spans="1:5" x14ac:dyDescent="0.25">
      <c r="A117" s="19"/>
      <c r="E117"/>
    </row>
    <row r="118" spans="1:5" x14ac:dyDescent="0.25">
      <c r="A118" s="19"/>
      <c r="E118"/>
    </row>
    <row r="119" spans="1:5" x14ac:dyDescent="0.25">
      <c r="A119" s="19"/>
      <c r="E119"/>
    </row>
    <row r="120" spans="1:5" x14ac:dyDescent="0.25">
      <c r="A120" s="19"/>
      <c r="E120"/>
    </row>
    <row r="121" spans="1:5" x14ac:dyDescent="0.25">
      <c r="A121" s="19"/>
      <c r="E121"/>
    </row>
    <row r="122" spans="1:5" x14ac:dyDescent="0.25">
      <c r="A122" s="19"/>
      <c r="E122"/>
    </row>
    <row r="123" spans="1:5" x14ac:dyDescent="0.25">
      <c r="A123" s="19"/>
      <c r="E123"/>
    </row>
    <row r="124" spans="1:5" x14ac:dyDescent="0.25">
      <c r="A124" s="19"/>
      <c r="E124"/>
    </row>
    <row r="125" spans="1:5" x14ac:dyDescent="0.25">
      <c r="A125" s="19"/>
      <c r="E125"/>
    </row>
    <row r="126" spans="1:5" x14ac:dyDescent="0.25">
      <c r="A126" s="19"/>
      <c r="E126"/>
    </row>
    <row r="127" spans="1:5" x14ac:dyDescent="0.25">
      <c r="A127" s="19"/>
      <c r="E127"/>
    </row>
    <row r="128" spans="1:5" x14ac:dyDescent="0.25">
      <c r="A128" s="19"/>
      <c r="E128"/>
    </row>
    <row r="129" spans="1:5" x14ac:dyDescent="0.25">
      <c r="A129" s="19"/>
      <c r="E129"/>
    </row>
    <row r="130" spans="1:5" x14ac:dyDescent="0.25">
      <c r="A130" s="19"/>
      <c r="E130"/>
    </row>
    <row r="131" spans="1:5" x14ac:dyDescent="0.25">
      <c r="A131" s="19"/>
      <c r="E131"/>
    </row>
    <row r="132" spans="1:5" x14ac:dyDescent="0.25">
      <c r="A132" s="19"/>
      <c r="E132"/>
    </row>
    <row r="133" spans="1:5" x14ac:dyDescent="0.25">
      <c r="A133" s="19"/>
      <c r="E133"/>
    </row>
    <row r="134" spans="1:5" x14ac:dyDescent="0.25">
      <c r="A134" s="19"/>
      <c r="E134"/>
    </row>
    <row r="135" spans="1:5" x14ac:dyDescent="0.25">
      <c r="A135" s="19"/>
      <c r="E135"/>
    </row>
    <row r="136" spans="1:5" x14ac:dyDescent="0.25">
      <c r="A136" s="19"/>
      <c r="E136"/>
    </row>
    <row r="137" spans="1:5" x14ac:dyDescent="0.25">
      <c r="A137" s="19"/>
      <c r="E137"/>
    </row>
    <row r="138" spans="1:5" x14ac:dyDescent="0.25">
      <c r="A138" s="19"/>
      <c r="E138"/>
    </row>
    <row r="139" spans="1:5" x14ac:dyDescent="0.25">
      <c r="A139" s="19"/>
      <c r="E139"/>
    </row>
    <row r="140" spans="1:5" x14ac:dyDescent="0.25">
      <c r="A140" s="19"/>
      <c r="E140"/>
    </row>
    <row r="141" spans="1:5" x14ac:dyDescent="0.25">
      <c r="A141" s="19"/>
      <c r="E141"/>
    </row>
    <row r="142" spans="1:5" x14ac:dyDescent="0.25">
      <c r="A142" s="19"/>
      <c r="E142"/>
    </row>
    <row r="143" spans="1:5" x14ac:dyDescent="0.25">
      <c r="A143" s="19"/>
      <c r="E143"/>
    </row>
    <row r="144" spans="1:5" x14ac:dyDescent="0.25">
      <c r="A144" s="19"/>
      <c r="E144"/>
    </row>
    <row r="145" spans="1:5" x14ac:dyDescent="0.25">
      <c r="A145" s="19"/>
      <c r="E145"/>
    </row>
    <row r="146" spans="1:5" x14ac:dyDescent="0.25">
      <c r="A146" s="19"/>
      <c r="E146"/>
    </row>
    <row r="147" spans="1:5" x14ac:dyDescent="0.25">
      <c r="A147" s="19"/>
      <c r="E147"/>
    </row>
    <row r="148" spans="1:5" x14ac:dyDescent="0.25">
      <c r="A148" s="19"/>
      <c r="E148"/>
    </row>
    <row r="149" spans="1:5" x14ac:dyDescent="0.25">
      <c r="A149" s="19"/>
      <c r="E149"/>
    </row>
    <row r="150" spans="1:5" x14ac:dyDescent="0.25">
      <c r="A150" s="19"/>
      <c r="E150"/>
    </row>
    <row r="151" spans="1:5" x14ac:dyDescent="0.25">
      <c r="A151" s="19"/>
      <c r="E151"/>
    </row>
    <row r="152" spans="1:5" x14ac:dyDescent="0.25">
      <c r="A152" s="19"/>
      <c r="E152"/>
    </row>
    <row r="153" spans="1:5" x14ac:dyDescent="0.25">
      <c r="A153" s="19"/>
      <c r="E153"/>
    </row>
    <row r="154" spans="1:5" x14ac:dyDescent="0.25">
      <c r="A154" s="19"/>
      <c r="E154"/>
    </row>
    <row r="155" spans="1:5" x14ac:dyDescent="0.25">
      <c r="A155" s="19"/>
      <c r="E155"/>
    </row>
    <row r="156" spans="1:5" x14ac:dyDescent="0.25">
      <c r="A156" s="19"/>
      <c r="E156"/>
    </row>
    <row r="157" spans="1:5" x14ac:dyDescent="0.25">
      <c r="A157" s="19"/>
      <c r="E157"/>
    </row>
    <row r="158" spans="1:5" x14ac:dyDescent="0.25">
      <c r="A158" s="19"/>
      <c r="E158"/>
    </row>
    <row r="159" spans="1:5" x14ac:dyDescent="0.25">
      <c r="A159" s="19"/>
      <c r="E159"/>
    </row>
    <row r="160" spans="1:5" x14ac:dyDescent="0.25">
      <c r="A160" s="19"/>
      <c r="E160"/>
    </row>
    <row r="161" spans="1:5" x14ac:dyDescent="0.25">
      <c r="A161" s="19"/>
      <c r="E161"/>
    </row>
    <row r="162" spans="1:5" x14ac:dyDescent="0.25">
      <c r="A162" s="19"/>
      <c r="E162"/>
    </row>
    <row r="163" spans="1:5" x14ac:dyDescent="0.25">
      <c r="A163" s="19"/>
      <c r="E163"/>
    </row>
    <row r="164" spans="1:5" x14ac:dyDescent="0.25">
      <c r="A164" s="19"/>
      <c r="E164"/>
    </row>
    <row r="165" spans="1:5" x14ac:dyDescent="0.25">
      <c r="A165" s="19"/>
      <c r="E165"/>
    </row>
    <row r="166" spans="1:5" x14ac:dyDescent="0.25">
      <c r="A166" s="19"/>
      <c r="E166"/>
    </row>
    <row r="167" spans="1:5" x14ac:dyDescent="0.25">
      <c r="A167" s="19"/>
      <c r="E167"/>
    </row>
    <row r="168" spans="1:5" x14ac:dyDescent="0.25">
      <c r="A168" s="19"/>
      <c r="E168"/>
    </row>
    <row r="169" spans="1:5" x14ac:dyDescent="0.25">
      <c r="A169" s="19"/>
      <c r="E169"/>
    </row>
    <row r="170" spans="1:5" x14ac:dyDescent="0.25">
      <c r="A170" s="19"/>
      <c r="E170"/>
    </row>
    <row r="171" spans="1:5" x14ac:dyDescent="0.25">
      <c r="A171" s="19"/>
      <c r="E171"/>
    </row>
    <row r="172" spans="1:5" x14ac:dyDescent="0.25">
      <c r="A172" s="19"/>
      <c r="E172"/>
    </row>
    <row r="173" spans="1:5" x14ac:dyDescent="0.25">
      <c r="A173" s="19"/>
      <c r="E173"/>
    </row>
    <row r="174" spans="1:5" x14ac:dyDescent="0.25">
      <c r="A174" s="19"/>
      <c r="E174"/>
    </row>
    <row r="175" spans="1:5" x14ac:dyDescent="0.25">
      <c r="A175" s="19"/>
      <c r="E175"/>
    </row>
    <row r="176" spans="1:5" x14ac:dyDescent="0.25">
      <c r="A176" s="19"/>
      <c r="E176"/>
    </row>
    <row r="177" spans="1:5" x14ac:dyDescent="0.25">
      <c r="A177" s="19"/>
      <c r="E177"/>
    </row>
    <row r="178" spans="1:5" x14ac:dyDescent="0.25">
      <c r="A178" s="19"/>
      <c r="E178"/>
    </row>
    <row r="179" spans="1:5" x14ac:dyDescent="0.25">
      <c r="A179" s="19"/>
      <c r="E179"/>
    </row>
    <row r="180" spans="1:5" x14ac:dyDescent="0.25">
      <c r="A180" s="19"/>
      <c r="E180"/>
    </row>
    <row r="181" spans="1:5" x14ac:dyDescent="0.25">
      <c r="A181" s="19"/>
      <c r="E181"/>
    </row>
    <row r="182" spans="1:5" x14ac:dyDescent="0.25">
      <c r="A182" s="19"/>
      <c r="E182"/>
    </row>
    <row r="183" spans="1:5" x14ac:dyDescent="0.25">
      <c r="A183" s="19"/>
      <c r="E183"/>
    </row>
    <row r="184" spans="1:5" x14ac:dyDescent="0.25">
      <c r="A184" s="19"/>
      <c r="E184"/>
    </row>
    <row r="185" spans="1:5" x14ac:dyDescent="0.25">
      <c r="A185" s="19"/>
      <c r="E185"/>
    </row>
    <row r="186" spans="1:5" x14ac:dyDescent="0.25">
      <c r="A186" s="19"/>
      <c r="E186"/>
    </row>
    <row r="187" spans="1:5" x14ac:dyDescent="0.25">
      <c r="A187" s="19"/>
      <c r="E187"/>
    </row>
    <row r="188" spans="1:5" x14ac:dyDescent="0.25">
      <c r="A188" s="19"/>
      <c r="E188"/>
    </row>
    <row r="189" spans="1:5" x14ac:dyDescent="0.25">
      <c r="A189" s="19"/>
      <c r="E189"/>
    </row>
    <row r="190" spans="1:5" x14ac:dyDescent="0.25">
      <c r="A190" s="19"/>
      <c r="E190"/>
    </row>
    <row r="191" spans="1:5" x14ac:dyDescent="0.25">
      <c r="A191" s="19"/>
      <c r="E191"/>
    </row>
    <row r="192" spans="1:5" x14ac:dyDescent="0.25">
      <c r="A192" s="19"/>
      <c r="E192"/>
    </row>
    <row r="193" spans="1:5" x14ac:dyDescent="0.25">
      <c r="A193" s="19"/>
      <c r="E193"/>
    </row>
    <row r="194" spans="1:5" x14ac:dyDescent="0.25">
      <c r="A194" s="19"/>
      <c r="E194"/>
    </row>
    <row r="195" spans="1:5" x14ac:dyDescent="0.25">
      <c r="A195" s="19"/>
      <c r="E195"/>
    </row>
    <row r="196" spans="1:5" x14ac:dyDescent="0.25">
      <c r="A196" s="19"/>
      <c r="E196"/>
    </row>
  </sheetData>
  <mergeCells count="10">
    <mergeCell ref="A13:E13"/>
    <mergeCell ref="E18:E20"/>
    <mergeCell ref="A12:E12"/>
    <mergeCell ref="A14:E14"/>
    <mergeCell ref="A15:E15"/>
    <mergeCell ref="A16:E16"/>
    <mergeCell ref="A18:A20"/>
    <mergeCell ref="B18:B20"/>
    <mergeCell ref="C18:C20"/>
    <mergeCell ref="D18:D20"/>
  </mergeCells>
  <conditionalFormatting sqref="A45:D45 B46:D56 A48 A51 A54">
    <cfRule type="containsErrors" dxfId="2" priority="1">
      <formula>ISERROR(A45)</formula>
    </cfRule>
  </conditionalFormatting>
  <printOptions horizontalCentered="1"/>
  <pageMargins left="0.11811023622047245" right="0.11811023622047245" top="0.23622047244094491" bottom="0.27559055118110237" header="0.23622047244094491" footer="0.11811023622047245"/>
  <pageSetup paperSize="9" scale="64" orientation="portrait" horizontalDpi="4294967293" verticalDpi="360" r:id="rId1"/>
  <colBreaks count="1" manualBreakCount="1">
    <brk id="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889" r:id="rId4" name="Spinner 1">
              <controlPr defaultSize="0" autoPict="0">
                <anchor moveWithCells="1" sizeWithCells="1">
                  <from>
                    <xdr:col>5</xdr:col>
                    <xdr:colOff>485775</xdr:colOff>
                    <xdr:row>21</xdr:row>
                    <xdr:rowOff>152400</xdr:rowOff>
                  </from>
                  <to>
                    <xdr:col>6</xdr:col>
                    <xdr:colOff>361950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0" r:id="rId5" name="Spinner 2">
              <controlPr defaultSize="0" autoPict="0">
                <anchor moveWithCells="1" sizeWithCells="1">
                  <from>
                    <xdr:col>6</xdr:col>
                    <xdr:colOff>57150</xdr:colOff>
                    <xdr:row>51</xdr:row>
                    <xdr:rowOff>76200</xdr:rowOff>
                  </from>
                  <to>
                    <xdr:col>6</xdr:col>
                    <xdr:colOff>514350</xdr:colOff>
                    <xdr:row>58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1" r:id="rId6" name="Spinner 3">
              <controlPr defaultSize="0" autoPict="0">
                <anchor moveWithCells="1" sizeWithCells="1">
                  <from>
                    <xdr:col>5</xdr:col>
                    <xdr:colOff>485775</xdr:colOff>
                    <xdr:row>20</xdr:row>
                    <xdr:rowOff>152400</xdr:rowOff>
                  </from>
                  <to>
                    <xdr:col>6</xdr:col>
                    <xdr:colOff>361950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2" r:id="rId7" name="Spinner 4">
              <controlPr defaultSize="0" autoPict="0">
                <anchor moveWithCells="1" sizeWithCells="1">
                  <from>
                    <xdr:col>5</xdr:col>
                    <xdr:colOff>485775</xdr:colOff>
                    <xdr:row>20</xdr:row>
                    <xdr:rowOff>152400</xdr:rowOff>
                  </from>
                  <to>
                    <xdr:col>6</xdr:col>
                    <xdr:colOff>361950</xdr:colOff>
                    <xdr:row>28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7FD6-AA2E-46A9-82BE-B7DC2B9991C4}">
  <sheetPr>
    <tabColor rgb="FFC00000"/>
  </sheetPr>
  <dimension ref="A7:X196"/>
  <sheetViews>
    <sheetView workbookViewId="0"/>
  </sheetViews>
  <sheetFormatPr defaultColWidth="9.140625" defaultRowHeight="15" x14ac:dyDescent="0.25"/>
  <cols>
    <col min="1" max="1" width="4" customWidth="1"/>
    <col min="2" max="2" width="27.140625" style="17" customWidth="1"/>
    <col min="3" max="3" width="52.42578125" style="15" customWidth="1"/>
    <col min="4" max="4" width="4" style="18" customWidth="1"/>
    <col min="5" max="5" width="17" style="18" customWidth="1"/>
    <col min="6" max="7" width="19.7109375" style="19" customWidth="1"/>
    <col min="10" max="10" width="10.5703125" customWidth="1"/>
    <col min="11" max="11" width="43" customWidth="1"/>
    <col min="12" max="12" width="19.85546875" customWidth="1"/>
  </cols>
  <sheetData>
    <row r="7" spans="1:12" x14ac:dyDescent="0.25">
      <c r="D7" s="18" t="s">
        <v>2990</v>
      </c>
    </row>
    <row r="10" spans="1:12" ht="3.75" customHeight="1" x14ac:dyDescent="0.25">
      <c r="A10" s="20"/>
      <c r="B10" s="21"/>
      <c r="C10" s="22"/>
      <c r="D10" s="23"/>
      <c r="E10" s="23"/>
      <c r="F10" s="24"/>
      <c r="G10" s="24"/>
    </row>
    <row r="11" spans="1:12" ht="8.25" customHeight="1" x14ac:dyDescent="0.25"/>
    <row r="12" spans="1:12" ht="9" customHeight="1" x14ac:dyDescent="0.25"/>
    <row r="13" spans="1:12" ht="21" customHeight="1" x14ac:dyDescent="0.25">
      <c r="A13" s="235" t="s">
        <v>5502</v>
      </c>
      <c r="B13" s="235"/>
      <c r="C13" s="235"/>
      <c r="D13" s="235"/>
      <c r="E13" s="235"/>
      <c r="F13" s="235"/>
      <c r="G13" s="235"/>
      <c r="I13">
        <v>40</v>
      </c>
      <c r="J13" t="str">
        <f>VLOOKUP(I13,I14:J52,2)</f>
        <v>XIII AK 6</v>
      </c>
      <c r="K13" s="49" t="str">
        <f>VLOOKUP(I13,I14:L52,3)</f>
        <v>Syafitri K. Arief, S.Pd, M.T</v>
      </c>
    </row>
    <row r="14" spans="1:12" ht="21" customHeight="1" x14ac:dyDescent="0.25">
      <c r="A14" s="235" t="s">
        <v>5503</v>
      </c>
      <c r="B14" s="235"/>
      <c r="C14" s="235"/>
      <c r="D14" s="235"/>
      <c r="E14" s="235"/>
      <c r="F14" s="235"/>
      <c r="G14" s="235"/>
      <c r="I14" s="50">
        <v>1</v>
      </c>
      <c r="J14" s="1" t="s">
        <v>2386</v>
      </c>
      <c r="K14" s="49" t="s">
        <v>4271</v>
      </c>
    </row>
    <row r="15" spans="1:12" ht="21" customHeight="1" x14ac:dyDescent="0.25">
      <c r="A15" s="235" t="str">
        <f>"KELAS   "&amp;J13</f>
        <v>KELAS   XIII AK 6</v>
      </c>
      <c r="B15" s="235"/>
      <c r="C15" s="235"/>
      <c r="D15" s="235"/>
      <c r="E15" s="235"/>
      <c r="F15" s="235"/>
      <c r="G15" s="235"/>
      <c r="I15" s="50">
        <v>2</v>
      </c>
      <c r="J15" s="1" t="s">
        <v>2397</v>
      </c>
      <c r="K15" s="49" t="s">
        <v>4258</v>
      </c>
    </row>
    <row r="16" spans="1:12" ht="13.5" customHeight="1" x14ac:dyDescent="0.25">
      <c r="A16" s="237" t="s">
        <v>2994</v>
      </c>
      <c r="B16" s="237"/>
      <c r="C16" s="237"/>
      <c r="D16" s="237"/>
      <c r="E16" s="237"/>
      <c r="F16" s="237"/>
      <c r="G16" s="237"/>
      <c r="I16" s="50">
        <v>3</v>
      </c>
      <c r="J16" s="1" t="s">
        <v>2389</v>
      </c>
      <c r="K16" s="49" t="s">
        <v>4267</v>
      </c>
      <c r="L16" s="51" t="s">
        <v>3024</v>
      </c>
    </row>
    <row r="17" spans="1:20" ht="19.5" customHeight="1" x14ac:dyDescent="0.25">
      <c r="B17" s="25" t="s">
        <v>2996</v>
      </c>
      <c r="C17" s="26" t="str">
        <f>K13</f>
        <v>Syafitri K. Arief, S.Pd, M.T</v>
      </c>
      <c r="D17" s="27"/>
      <c r="E17" s="27"/>
      <c r="F17" s="28"/>
      <c r="G17" s="28"/>
      <c r="I17" s="50">
        <v>4</v>
      </c>
      <c r="J17" s="1" t="s">
        <v>2371</v>
      </c>
      <c r="K17" s="49" t="s">
        <v>4272</v>
      </c>
      <c r="M17" s="15"/>
    </row>
    <row r="18" spans="1:20" ht="18.75" customHeight="1" x14ac:dyDescent="0.25">
      <c r="A18" s="238" t="s">
        <v>2997</v>
      </c>
      <c r="B18" s="241" t="s">
        <v>2998</v>
      </c>
      <c r="C18" s="238" t="s">
        <v>377</v>
      </c>
      <c r="D18" s="238" t="s">
        <v>434</v>
      </c>
      <c r="E18" s="251" t="s">
        <v>5507</v>
      </c>
      <c r="F18" s="244" t="s">
        <v>5504</v>
      </c>
      <c r="G18" s="244"/>
      <c r="I18" s="50">
        <v>5</v>
      </c>
      <c r="J18" s="1" t="s">
        <v>2399</v>
      </c>
      <c r="K18" s="49" t="s">
        <v>4273</v>
      </c>
    </row>
    <row r="19" spans="1:20" ht="18.75" customHeight="1" x14ac:dyDescent="0.25">
      <c r="A19" s="239"/>
      <c r="B19" s="242"/>
      <c r="C19" s="239"/>
      <c r="D19" s="239"/>
      <c r="E19" s="252"/>
      <c r="F19" s="29" t="s">
        <v>5505</v>
      </c>
      <c r="G19" s="29" t="s">
        <v>5506</v>
      </c>
      <c r="I19" s="50">
        <v>6</v>
      </c>
      <c r="J19" s="1" t="s">
        <v>2373</v>
      </c>
      <c r="K19" s="49" t="s">
        <v>4274</v>
      </c>
      <c r="L19" s="51" t="s">
        <v>3842</v>
      </c>
    </row>
    <row r="20" spans="1:20" ht="18.75" hidden="1" customHeight="1" x14ac:dyDescent="0.25">
      <c r="A20" s="240"/>
      <c r="B20" s="243"/>
      <c r="C20" s="240"/>
      <c r="D20" s="240"/>
      <c r="E20" s="32"/>
      <c r="F20" s="33"/>
      <c r="G20" s="33"/>
      <c r="I20" s="50">
        <v>7</v>
      </c>
      <c r="J20" s="52" t="s">
        <v>2379</v>
      </c>
      <c r="K20" s="49" t="s">
        <v>4260</v>
      </c>
      <c r="N20" s="15"/>
    </row>
    <row r="21" spans="1:20" s="15" customFormat="1" ht="21.75" customHeight="1" x14ac:dyDescent="0.25">
      <c r="A21" s="34">
        <v>1</v>
      </c>
      <c r="B21" s="35" t="e">
        <f>VLOOKUP($J$13&amp;$A21,Baru!$A$2:$H$1373,5,0)</f>
        <v>#N/A</v>
      </c>
      <c r="C21" s="35" t="e">
        <f>VLOOKUP($J$13&amp;$A21,Baru!$A$2:$H$1373,6,0)</f>
        <v>#N/A</v>
      </c>
      <c r="D21" s="36" t="e">
        <f>VLOOKUP($J$13&amp;$A21,Baru!$A$2:$H$1373,7,0)</f>
        <v>#N/A</v>
      </c>
      <c r="E21" s="183"/>
      <c r="F21" s="37"/>
      <c r="G21" s="37"/>
      <c r="I21" s="50">
        <v>8</v>
      </c>
      <c r="J21" s="52" t="s">
        <v>2377</v>
      </c>
      <c r="K21" s="55" t="s">
        <v>4275</v>
      </c>
    </row>
    <row r="22" spans="1:20" s="15" customFormat="1" ht="21.75" customHeight="1" x14ac:dyDescent="0.25">
      <c r="A22" s="34">
        <v>2</v>
      </c>
      <c r="B22" s="35" t="e">
        <f>VLOOKUP($J$13&amp;$A22,Baru!$A$2:$H$1373,5,0)</f>
        <v>#N/A</v>
      </c>
      <c r="C22" s="35" t="e">
        <f>VLOOKUP($J$13&amp;$A22,Baru!$A$2:$H$1373,6,0)</f>
        <v>#N/A</v>
      </c>
      <c r="D22" s="36" t="e">
        <f>VLOOKUP($J$13&amp;$A22,Baru!$A$2:$H$1373,7,0)</f>
        <v>#N/A</v>
      </c>
      <c r="E22" s="183"/>
      <c r="F22" s="37"/>
      <c r="G22" s="37"/>
      <c r="I22" s="50">
        <v>9</v>
      </c>
      <c r="J22" s="52" t="s">
        <v>2375</v>
      </c>
      <c r="K22" s="49" t="s">
        <v>4268</v>
      </c>
    </row>
    <row r="23" spans="1:20" s="15" customFormat="1" ht="21.75" customHeight="1" x14ac:dyDescent="0.25">
      <c r="A23" s="34">
        <v>3</v>
      </c>
      <c r="B23" s="35" t="e">
        <f>VLOOKUP($J$13&amp;$A23,Baru!$A$2:$H$1373,5,0)</f>
        <v>#N/A</v>
      </c>
      <c r="C23" s="35" t="e">
        <f>VLOOKUP($J$13&amp;$A23,Baru!$A$2:$H$1373,6,0)</f>
        <v>#N/A</v>
      </c>
      <c r="D23" s="36" t="e">
        <f>VLOOKUP($J$13&amp;$A23,Baru!$A$2:$H$1373,7,0)</f>
        <v>#N/A</v>
      </c>
      <c r="E23" s="183"/>
      <c r="F23" s="37"/>
      <c r="G23" s="37"/>
      <c r="I23" s="50">
        <v>10</v>
      </c>
      <c r="J23" s="52" t="s">
        <v>2383</v>
      </c>
      <c r="K23" s="49" t="s">
        <v>4259</v>
      </c>
      <c r="L23" s="51" t="s">
        <v>3002</v>
      </c>
    </row>
    <row r="24" spans="1:20" s="15" customFormat="1" ht="21.75" customHeight="1" x14ac:dyDescent="0.25">
      <c r="A24" s="34">
        <v>4</v>
      </c>
      <c r="B24" s="35" t="e">
        <f>VLOOKUP($J$13&amp;$A24,Baru!$A$2:$H$1373,5,0)</f>
        <v>#N/A</v>
      </c>
      <c r="C24" s="35" t="e">
        <f>VLOOKUP($J$13&amp;$A24,Baru!$A$2:$H$1373,6,0)</f>
        <v>#N/A</v>
      </c>
      <c r="D24" s="36" t="e">
        <f>VLOOKUP($J$13&amp;$A24,Baru!$A$2:$H$1373,7,0)</f>
        <v>#N/A</v>
      </c>
      <c r="E24" s="183"/>
      <c r="F24" s="37"/>
      <c r="G24" s="37"/>
      <c r="I24" s="50">
        <v>11</v>
      </c>
      <c r="J24" s="52" t="s">
        <v>2402</v>
      </c>
      <c r="K24" s="51" t="s">
        <v>3023</v>
      </c>
      <c r="L24" s="51" t="s">
        <v>3836</v>
      </c>
    </row>
    <row r="25" spans="1:20" s="15" customFormat="1" ht="21.75" customHeight="1" x14ac:dyDescent="0.25">
      <c r="A25" s="34">
        <v>5</v>
      </c>
      <c r="B25" s="35" t="e">
        <f>VLOOKUP($J$13&amp;$A25,Baru!$A$2:$H$1373,5,0)</f>
        <v>#N/A</v>
      </c>
      <c r="C25" s="35" t="e">
        <f>VLOOKUP($J$13&amp;$A25,Baru!$A$2:$H$1373,6,0)</f>
        <v>#N/A</v>
      </c>
      <c r="D25" s="36" t="e">
        <f>VLOOKUP($J$13&amp;$A25,Baru!$A$2:$H$1373,7,0)</f>
        <v>#N/A</v>
      </c>
      <c r="E25" s="183"/>
      <c r="F25" s="37"/>
      <c r="G25" s="37"/>
      <c r="I25" s="50">
        <v>12</v>
      </c>
      <c r="J25" s="52" t="s">
        <v>1601</v>
      </c>
      <c r="K25" s="164" t="s">
        <v>4269</v>
      </c>
    </row>
    <row r="26" spans="1:20" s="15" customFormat="1" ht="21.75" customHeight="1" x14ac:dyDescent="0.25">
      <c r="A26" s="34">
        <v>6</v>
      </c>
      <c r="B26" s="35" t="e">
        <f>VLOOKUP($J$13&amp;$A26,Baru!$A$2:$H$1373,5,0)</f>
        <v>#N/A</v>
      </c>
      <c r="C26" s="35" t="e">
        <f>VLOOKUP($J$13&amp;$A26,Baru!$A$2:$H$1373,6,0)</f>
        <v>#N/A</v>
      </c>
      <c r="D26" s="36" t="e">
        <f>VLOOKUP($J$13&amp;$A26,Baru!$A$2:$H$1373,7,0)</f>
        <v>#N/A</v>
      </c>
      <c r="E26" s="183"/>
      <c r="F26" s="37"/>
      <c r="G26" s="37"/>
      <c r="I26" s="50">
        <v>13</v>
      </c>
      <c r="J26" s="52" t="s">
        <v>1623</v>
      </c>
      <c r="K26" s="49" t="s">
        <v>3007</v>
      </c>
    </row>
    <row r="27" spans="1:20" s="15" customFormat="1" ht="21.75" customHeight="1" x14ac:dyDescent="0.25">
      <c r="A27" s="34">
        <v>7</v>
      </c>
      <c r="B27" s="35" t="e">
        <f>VLOOKUP($J$13&amp;$A27,Baru!$A$2:$H$1373,5,0)</f>
        <v>#N/A</v>
      </c>
      <c r="C27" s="35" t="e">
        <f>VLOOKUP($J$13&amp;$A27,Baru!$A$2:$H$1373,6,0)</f>
        <v>#N/A</v>
      </c>
      <c r="D27" s="36" t="e">
        <f>VLOOKUP($J$13&amp;$A27,Baru!$A$2:$H$1373,7,0)</f>
        <v>#N/A</v>
      </c>
      <c r="E27" s="183"/>
      <c r="F27" s="37"/>
      <c r="G27" s="37"/>
      <c r="I27" s="50">
        <v>14</v>
      </c>
      <c r="J27" s="52" t="s">
        <v>1637</v>
      </c>
      <c r="K27" s="51" t="s">
        <v>3032</v>
      </c>
    </row>
    <row r="28" spans="1:20" s="15" customFormat="1" ht="21.75" customHeight="1" x14ac:dyDescent="0.25">
      <c r="A28" s="34">
        <v>8</v>
      </c>
      <c r="B28" s="35" t="e">
        <f>VLOOKUP($J$13&amp;$A28,Baru!$A$2:$H$1373,5,0)</f>
        <v>#N/A</v>
      </c>
      <c r="C28" s="35" t="e">
        <f>VLOOKUP($J$13&amp;$A28,Baru!$A$2:$H$1373,6,0)</f>
        <v>#N/A</v>
      </c>
      <c r="D28" s="36" t="e">
        <f>VLOOKUP($J$13&amp;$A28,Baru!$A$2:$H$1373,7,0)</f>
        <v>#N/A</v>
      </c>
      <c r="E28" s="183"/>
      <c r="F28" s="37"/>
      <c r="G28" s="37"/>
      <c r="I28" s="50">
        <v>15</v>
      </c>
      <c r="J28" s="52" t="s">
        <v>1647</v>
      </c>
      <c r="K28" s="49" t="s">
        <v>4266</v>
      </c>
      <c r="L28" s="51" t="s">
        <v>3012</v>
      </c>
    </row>
    <row r="29" spans="1:20" s="15" customFormat="1" ht="21.75" customHeight="1" x14ac:dyDescent="0.25">
      <c r="A29" s="34">
        <v>9</v>
      </c>
      <c r="B29" s="35" t="e">
        <f>VLOOKUP($J$13&amp;$A29,Baru!$A$2:$H$1373,5,0)</f>
        <v>#N/A</v>
      </c>
      <c r="C29" s="35" t="e">
        <f>VLOOKUP($J$13&amp;$A29,Baru!$A$2:$H$1373,6,0)</f>
        <v>#N/A</v>
      </c>
      <c r="D29" s="36" t="e">
        <f>VLOOKUP($J$13&amp;$A29,Baru!$A$2:$H$1373,7,0)</f>
        <v>#N/A</v>
      </c>
      <c r="E29" s="183"/>
      <c r="F29" s="37"/>
      <c r="G29" s="37"/>
      <c r="I29" s="50">
        <v>16</v>
      </c>
      <c r="J29" s="52" t="s">
        <v>1701</v>
      </c>
      <c r="K29" s="151" t="s">
        <v>3034</v>
      </c>
      <c r="L29" s="51" t="s">
        <v>3010</v>
      </c>
      <c r="T29" s="15" t="s">
        <v>3011</v>
      </c>
    </row>
    <row r="30" spans="1:20" s="15" customFormat="1" ht="21.75" customHeight="1" x14ac:dyDescent="0.25">
      <c r="A30" s="34">
        <v>10</v>
      </c>
      <c r="B30" s="35" t="e">
        <f>VLOOKUP($J$13&amp;$A30,Baru!$A$2:$H$1373,5,0)</f>
        <v>#N/A</v>
      </c>
      <c r="C30" s="35" t="e">
        <f>VLOOKUP($J$13&amp;$A30,Baru!$A$2:$H$1373,6,0)</f>
        <v>#N/A</v>
      </c>
      <c r="D30" s="36" t="e">
        <f>VLOOKUP($J$13&amp;$A30,Baru!$A$2:$H$1373,7,0)</f>
        <v>#N/A</v>
      </c>
      <c r="E30" s="183"/>
      <c r="F30" s="37"/>
      <c r="G30" s="37"/>
      <c r="I30" s="50">
        <v>17</v>
      </c>
      <c r="J30" s="52" t="s">
        <v>1607</v>
      </c>
      <c r="K30" s="51" t="s">
        <v>3006</v>
      </c>
    </row>
    <row r="31" spans="1:20" s="15" customFormat="1" ht="21.75" customHeight="1" x14ac:dyDescent="0.25">
      <c r="A31" s="34">
        <v>11</v>
      </c>
      <c r="B31" s="35" t="e">
        <f>VLOOKUP($J$13&amp;$A31,Baru!$A$2:$H$1373,5,0)</f>
        <v>#N/A</v>
      </c>
      <c r="C31" s="35" t="e">
        <f>VLOOKUP($J$13&amp;$A31,Baru!$A$2:$H$1373,6,0)</f>
        <v>#N/A</v>
      </c>
      <c r="D31" s="36" t="e">
        <f>VLOOKUP($J$13&amp;$A31,Baru!$A$2:$H$1373,7,0)</f>
        <v>#N/A</v>
      </c>
      <c r="E31" s="183"/>
      <c r="F31" s="37"/>
      <c r="G31" s="37"/>
      <c r="I31" s="50">
        <v>18</v>
      </c>
      <c r="J31" s="52" t="s">
        <v>1644</v>
      </c>
      <c r="K31" s="49" t="s">
        <v>4276</v>
      </c>
      <c r="L31" s="51" t="s">
        <v>3027</v>
      </c>
    </row>
    <row r="32" spans="1:20" s="15" customFormat="1" ht="21.75" customHeight="1" x14ac:dyDescent="0.25">
      <c r="A32" s="34">
        <v>12</v>
      </c>
      <c r="B32" s="35" t="e">
        <f>VLOOKUP($J$13&amp;$A32,Baru!$A$2:$H$1373,5,0)</f>
        <v>#N/A</v>
      </c>
      <c r="C32" s="35" t="e">
        <f>VLOOKUP($J$13&amp;$A32,Baru!$A$2:$H$1373,6,0)</f>
        <v>#N/A</v>
      </c>
      <c r="D32" s="36" t="e">
        <f>VLOOKUP($J$13&amp;$A32,Baru!$A$2:$H$1373,7,0)</f>
        <v>#N/A</v>
      </c>
      <c r="E32" s="183"/>
      <c r="F32" s="37"/>
      <c r="G32" s="37"/>
      <c r="I32" s="50">
        <v>19</v>
      </c>
      <c r="J32" s="52" t="s">
        <v>1618</v>
      </c>
      <c r="K32" s="51" t="s">
        <v>3019</v>
      </c>
    </row>
    <row r="33" spans="1:16" s="15" customFormat="1" ht="21.75" customHeight="1" x14ac:dyDescent="0.25">
      <c r="A33" s="34">
        <v>13</v>
      </c>
      <c r="B33" s="35" t="e">
        <f>VLOOKUP($J$13&amp;$A33,Baru!$A$2:$H$1373,5,0)</f>
        <v>#N/A</v>
      </c>
      <c r="C33" s="35" t="e">
        <f>VLOOKUP($J$13&amp;$A33,Baru!$A$2:$H$1373,6,0)</f>
        <v>#N/A</v>
      </c>
      <c r="D33" s="36" t="e">
        <f>VLOOKUP($J$13&amp;$A33,Baru!$A$2:$H$1373,7,0)</f>
        <v>#N/A</v>
      </c>
      <c r="E33" s="183"/>
      <c r="F33" s="37"/>
      <c r="G33" s="37"/>
      <c r="I33" s="50">
        <v>20</v>
      </c>
      <c r="J33" s="52" t="s">
        <v>1612</v>
      </c>
      <c r="K33" s="51" t="s">
        <v>3001</v>
      </c>
    </row>
    <row r="34" spans="1:16" s="15" customFormat="1" ht="21.75" customHeight="1" x14ac:dyDescent="0.25">
      <c r="A34" s="34">
        <v>14</v>
      </c>
      <c r="B34" s="35" t="e">
        <f>VLOOKUP($J$13&amp;$A34,Baru!$A$2:$H$1373,5,0)</f>
        <v>#N/A</v>
      </c>
      <c r="C34" s="35" t="e">
        <f>VLOOKUP($J$13&amp;$A34,Baru!$A$2:$H$1373,6,0)</f>
        <v>#N/A</v>
      </c>
      <c r="D34" s="36" t="e">
        <f>VLOOKUP($J$13&amp;$A34,Baru!$A$2:$H$1373,7,0)</f>
        <v>#N/A</v>
      </c>
      <c r="E34" s="183"/>
      <c r="F34" s="37"/>
      <c r="G34" s="37"/>
      <c r="I34" s="50">
        <v>21</v>
      </c>
      <c r="J34" s="52" t="s">
        <v>1630</v>
      </c>
      <c r="K34" s="152" t="s">
        <v>3004</v>
      </c>
      <c r="L34" s="151" t="s">
        <v>3839</v>
      </c>
      <c r="O34" s="15" t="s">
        <v>3011</v>
      </c>
    </row>
    <row r="35" spans="1:16" s="15" customFormat="1" ht="21.75" customHeight="1" x14ac:dyDescent="0.25">
      <c r="A35" s="34">
        <v>15</v>
      </c>
      <c r="B35" s="35" t="e">
        <f>VLOOKUP($J$13&amp;$A35,Baru!$A$2:$H$1373,5,0)</f>
        <v>#N/A</v>
      </c>
      <c r="C35" s="35" t="e">
        <f>VLOOKUP($J$13&amp;$A35,Baru!$A$2:$H$1373,6,0)</f>
        <v>#N/A</v>
      </c>
      <c r="D35" s="36" t="e">
        <f>VLOOKUP($J$13&amp;$A35,Baru!$A$2:$H$1373,7,0)</f>
        <v>#N/A</v>
      </c>
      <c r="E35" s="183"/>
      <c r="F35" s="37"/>
      <c r="G35" s="37"/>
      <c r="I35" s="50">
        <v>22</v>
      </c>
      <c r="J35" s="52" t="s">
        <v>1615</v>
      </c>
      <c r="K35" s="51" t="s">
        <v>3013</v>
      </c>
      <c r="L35" s="51" t="s">
        <v>174</v>
      </c>
    </row>
    <row r="36" spans="1:16" s="15" customFormat="1" ht="21.75" customHeight="1" x14ac:dyDescent="0.25">
      <c r="A36" s="34">
        <v>16</v>
      </c>
      <c r="B36" s="35" t="e">
        <f>VLOOKUP($J$13&amp;$A36,Baru!$A$2:$H$1373,5,0)</f>
        <v>#N/A</v>
      </c>
      <c r="C36" s="35" t="e">
        <f>VLOOKUP($J$13&amp;$A36,Baru!$A$2:$H$1373,6,0)</f>
        <v>#N/A</v>
      </c>
      <c r="D36" s="36" t="e">
        <f>VLOOKUP($J$13&amp;$A36,Baru!$A$2:$H$1373,7,0)</f>
        <v>#N/A</v>
      </c>
      <c r="E36" s="183"/>
      <c r="F36" s="37"/>
      <c r="G36" s="37"/>
      <c r="I36" s="50">
        <v>23</v>
      </c>
      <c r="J36" s="52" t="s">
        <v>837</v>
      </c>
      <c r="K36" s="51" t="s">
        <v>2992</v>
      </c>
    </row>
    <row r="37" spans="1:16" s="15" customFormat="1" ht="21.75" customHeight="1" x14ac:dyDescent="0.25">
      <c r="A37" s="34">
        <v>17</v>
      </c>
      <c r="B37" s="35" t="e">
        <f>VLOOKUP($J$13&amp;$A37,Baru!$A$2:$H$1373,5,0)</f>
        <v>#N/A</v>
      </c>
      <c r="C37" s="35" t="e">
        <f>VLOOKUP($J$13&amp;$A37,Baru!$A$2:$H$1373,6,0)</f>
        <v>#N/A</v>
      </c>
      <c r="D37" s="36" t="e">
        <f>VLOOKUP($J$13&amp;$A37,Baru!$A$2:$H$1373,7,0)</f>
        <v>#N/A</v>
      </c>
      <c r="E37" s="183"/>
      <c r="F37" s="37"/>
      <c r="G37" s="37"/>
      <c r="I37" s="50">
        <v>24</v>
      </c>
      <c r="J37" s="52" t="s">
        <v>840</v>
      </c>
      <c r="K37" s="151" t="s">
        <v>3840</v>
      </c>
      <c r="P37" s="15" t="s">
        <v>3011</v>
      </c>
    </row>
    <row r="38" spans="1:16" s="15" customFormat="1" ht="21.75" customHeight="1" x14ac:dyDescent="0.25">
      <c r="A38" s="34">
        <v>18</v>
      </c>
      <c r="B38" s="35" t="e">
        <f>VLOOKUP($J$13&amp;$A38,Baru!$A$2:$H$1373,5,0)</f>
        <v>#N/A</v>
      </c>
      <c r="C38" s="35" t="e">
        <f>VLOOKUP($J$13&amp;$A38,Baru!$A$2:$H$1373,6,0)</f>
        <v>#N/A</v>
      </c>
      <c r="D38" s="36" t="e">
        <f>VLOOKUP($J$13&amp;$A38,Baru!$A$2:$H$1373,7,0)</f>
        <v>#N/A</v>
      </c>
      <c r="E38" s="183"/>
      <c r="F38" s="37"/>
      <c r="G38" s="37"/>
      <c r="I38" s="50">
        <v>25</v>
      </c>
      <c r="J38" s="52" t="s">
        <v>875</v>
      </c>
      <c r="K38" s="151" t="s">
        <v>2993</v>
      </c>
    </row>
    <row r="39" spans="1:16" s="15" customFormat="1" ht="21.75" customHeight="1" x14ac:dyDescent="0.25">
      <c r="A39" s="34">
        <v>19</v>
      </c>
      <c r="B39" s="35" t="e">
        <f>VLOOKUP($J$13&amp;$A39,Baru!$A$2:$H$1373,5,0)</f>
        <v>#N/A</v>
      </c>
      <c r="C39" s="35" t="e">
        <f>VLOOKUP($J$13&amp;$A39,Baru!$A$2:$H$1373,6,0)</f>
        <v>#N/A</v>
      </c>
      <c r="D39" s="36" t="e">
        <f>VLOOKUP($J$13&amp;$A39,Baru!$A$2:$H$1373,7,0)</f>
        <v>#N/A</v>
      </c>
      <c r="E39" s="183"/>
      <c r="F39" s="37"/>
      <c r="G39" s="37"/>
      <c r="I39" s="50">
        <v>26</v>
      </c>
      <c r="J39" s="52" t="s">
        <v>851</v>
      </c>
      <c r="K39" s="49" t="s">
        <v>4277</v>
      </c>
    </row>
    <row r="40" spans="1:16" s="15" customFormat="1" ht="21.75" customHeight="1" x14ac:dyDescent="0.25">
      <c r="A40" s="34">
        <v>20</v>
      </c>
      <c r="B40" s="35" t="e">
        <f>VLOOKUP($J$13&amp;$A40,Baru!$A$2:$H$1373,5,0)</f>
        <v>#N/A</v>
      </c>
      <c r="C40" s="35" t="e">
        <f>VLOOKUP($J$13&amp;$A40,Baru!$A$2:$H$1373,6,0)</f>
        <v>#N/A</v>
      </c>
      <c r="D40" s="36" t="e">
        <f>VLOOKUP($J$13&amp;$A40,Baru!$A$2:$H$1373,7,0)</f>
        <v>#N/A</v>
      </c>
      <c r="E40" s="183"/>
      <c r="F40" s="37"/>
      <c r="G40" s="37"/>
      <c r="I40" s="50">
        <v>27</v>
      </c>
      <c r="J40" s="52" t="s">
        <v>887</v>
      </c>
      <c r="K40" s="51" t="s">
        <v>3017</v>
      </c>
    </row>
    <row r="41" spans="1:16" s="15" customFormat="1" ht="21.75" customHeight="1" x14ac:dyDescent="0.25">
      <c r="A41" s="34">
        <v>21</v>
      </c>
      <c r="B41" s="35" t="e">
        <f>VLOOKUP($J$13&amp;$A41,Baru!$A$2:$H$1373,5,0)</f>
        <v>#N/A</v>
      </c>
      <c r="C41" s="35" t="e">
        <f>VLOOKUP($J$13&amp;$A41,Baru!$A$2:$H$1373,6,0)</f>
        <v>#N/A</v>
      </c>
      <c r="D41" s="36" t="e">
        <f>VLOOKUP($J$13&amp;$A41,Baru!$A$2:$H$1373,7,0)</f>
        <v>#N/A</v>
      </c>
      <c r="E41" s="183"/>
      <c r="F41" s="37"/>
      <c r="G41" s="37"/>
      <c r="I41" s="50">
        <v>28</v>
      </c>
      <c r="J41" s="52" t="s">
        <v>870</v>
      </c>
      <c r="K41" s="51" t="s">
        <v>3030</v>
      </c>
    </row>
    <row r="42" spans="1:16" s="15" customFormat="1" ht="21.75" customHeight="1" x14ac:dyDescent="0.25">
      <c r="A42" s="34">
        <v>22</v>
      </c>
      <c r="B42" s="35" t="e">
        <f>VLOOKUP($J$13&amp;$A42,Baru!$A$2:$H$1373,5,0)</f>
        <v>#N/A</v>
      </c>
      <c r="C42" s="35" t="e">
        <f>VLOOKUP($J$13&amp;$A42,Baru!$A$2:$H$1373,6,0)</f>
        <v>#N/A</v>
      </c>
      <c r="D42" s="36" t="e">
        <f>VLOOKUP($J$13&amp;$A42,Baru!$A$2:$H$1373,7,0)</f>
        <v>#N/A</v>
      </c>
      <c r="E42" s="183"/>
      <c r="F42" s="37"/>
      <c r="G42" s="37"/>
      <c r="I42" s="50">
        <v>29</v>
      </c>
      <c r="J42" s="52" t="s">
        <v>878</v>
      </c>
      <c r="K42" s="51" t="s">
        <v>3021</v>
      </c>
      <c r="L42" s="51"/>
    </row>
    <row r="43" spans="1:16" s="15" customFormat="1" ht="21.75" customHeight="1" x14ac:dyDescent="0.25">
      <c r="A43" s="34">
        <v>23</v>
      </c>
      <c r="B43" s="35" t="e">
        <f>VLOOKUP($J$13&amp;$A43,Baru!$A$2:$H$1373,5,0)</f>
        <v>#N/A</v>
      </c>
      <c r="C43" s="35" t="e">
        <f>VLOOKUP($J$13&amp;$A43,Baru!$A$2:$H$1373,6,0)</f>
        <v>#N/A</v>
      </c>
      <c r="D43" s="36" t="e">
        <f>VLOOKUP($J$13&amp;$A43,Baru!$A$2:$H$1373,7,0)</f>
        <v>#N/A</v>
      </c>
      <c r="E43" s="183"/>
      <c r="F43" s="37"/>
      <c r="G43" s="37"/>
      <c r="I43" s="50">
        <v>30</v>
      </c>
      <c r="J43" s="52" t="s">
        <v>854</v>
      </c>
      <c r="K43" s="49" t="s">
        <v>3835</v>
      </c>
      <c r="L43" s="51"/>
    </row>
    <row r="44" spans="1:16" s="15" customFormat="1" ht="21.75" customHeight="1" x14ac:dyDescent="0.25">
      <c r="A44" s="34">
        <v>24</v>
      </c>
      <c r="B44" s="35" t="e">
        <f>VLOOKUP($J$13&amp;$A44,Baru!$A$2:$H$1373,5,0)</f>
        <v>#N/A</v>
      </c>
      <c r="C44" s="35" t="e">
        <f>VLOOKUP($J$13&amp;$A44,Baru!$A$2:$H$1373,6,0)</f>
        <v>#N/A</v>
      </c>
      <c r="D44" s="36" t="e">
        <f>VLOOKUP($J$13&amp;$A44,Baru!$A$2:$H$1373,7,0)</f>
        <v>#N/A</v>
      </c>
      <c r="E44" s="183"/>
      <c r="F44" s="37"/>
      <c r="G44" s="37"/>
      <c r="I44" s="50">
        <v>31</v>
      </c>
      <c r="J44" s="52" t="s">
        <v>843</v>
      </c>
      <c r="K44" s="51" t="s">
        <v>3022</v>
      </c>
      <c r="L44" s="151"/>
    </row>
    <row r="45" spans="1:16" s="15" customFormat="1" ht="21.75" customHeight="1" x14ac:dyDescent="0.25">
      <c r="A45" s="34">
        <v>25</v>
      </c>
      <c r="B45" s="35" t="e">
        <f>VLOOKUP($J$13&amp;$A45,Baru!$A$2:$H$1373,5,0)</f>
        <v>#N/A</v>
      </c>
      <c r="C45" s="35" t="e">
        <f>VLOOKUP($J$13&amp;$A45,Baru!$A$2:$H$1373,6,0)</f>
        <v>#N/A</v>
      </c>
      <c r="D45" s="36" t="e">
        <f>VLOOKUP($J$13&amp;$A45,Baru!$A$2:$H$1373,7,0)</f>
        <v>#N/A</v>
      </c>
      <c r="E45" s="183"/>
      <c r="F45" s="37"/>
      <c r="G45" s="37"/>
      <c r="I45" s="50">
        <v>32</v>
      </c>
      <c r="J45" s="52" t="s">
        <v>846</v>
      </c>
      <c r="K45" s="51" t="s">
        <v>3025</v>
      </c>
      <c r="L45" s="51"/>
    </row>
    <row r="46" spans="1:16" s="15" customFormat="1" ht="21.75" customHeight="1" x14ac:dyDescent="0.25">
      <c r="A46" s="34">
        <v>26</v>
      </c>
      <c r="B46" s="35" t="e">
        <f>VLOOKUP($J$13&amp;$A46,Baru!$A$2:$H$1373,5,0)</f>
        <v>#N/A</v>
      </c>
      <c r="C46" s="35" t="e">
        <f>VLOOKUP($J$13&amp;$A46,Baru!$A$2:$H$1373,6,0)</f>
        <v>#N/A</v>
      </c>
      <c r="D46" s="36" t="e">
        <f>VLOOKUP($J$13&amp;$A46,Baru!$A$2:$H$1373,7,0)</f>
        <v>#N/A</v>
      </c>
      <c r="E46" s="183"/>
      <c r="F46" s="37"/>
      <c r="G46" s="37"/>
      <c r="I46" s="50">
        <v>33</v>
      </c>
      <c r="J46" s="52" t="s">
        <v>863</v>
      </c>
      <c r="K46" s="51" t="s">
        <v>3026</v>
      </c>
    </row>
    <row r="47" spans="1:16" s="15" customFormat="1" ht="21.75" customHeight="1" x14ac:dyDescent="0.25">
      <c r="A47" s="34">
        <v>27</v>
      </c>
      <c r="B47" s="35" t="e">
        <f>VLOOKUP($J$13&amp;$A47,Baru!$A$2:$H$1373,5,0)</f>
        <v>#N/A</v>
      </c>
      <c r="C47" s="35" t="e">
        <f>VLOOKUP($J$13&amp;$A47,Baru!$A$2:$H$1373,6,0)</f>
        <v>#N/A</v>
      </c>
      <c r="D47" s="36" t="e">
        <f>VLOOKUP($J$13&amp;$A47,Baru!$A$2:$H$1373,7,0)</f>
        <v>#N/A</v>
      </c>
      <c r="E47" s="183"/>
      <c r="F47" s="38"/>
      <c r="G47" s="37"/>
      <c r="I47" s="50">
        <v>34</v>
      </c>
      <c r="J47" s="52" t="s">
        <v>483</v>
      </c>
      <c r="K47" s="51" t="s">
        <v>3033</v>
      </c>
    </row>
    <row r="48" spans="1:16" s="15" customFormat="1" ht="21.75" customHeight="1" x14ac:dyDescent="0.25">
      <c r="A48" s="34">
        <v>28</v>
      </c>
      <c r="B48" s="35" t="e">
        <f>VLOOKUP($J$13&amp;$A48,Baru!$A$2:$H$1373,5,0)</f>
        <v>#N/A</v>
      </c>
      <c r="C48" s="35" t="e">
        <f>VLOOKUP($J$13&amp;$A48,Baru!$A$2:$H$1373,6,0)</f>
        <v>#N/A</v>
      </c>
      <c r="D48" s="36" t="e">
        <f>VLOOKUP($J$13&amp;$A48,Baru!$A$2:$H$1373,7,0)</f>
        <v>#N/A</v>
      </c>
      <c r="E48" s="183"/>
      <c r="F48" s="37"/>
      <c r="G48" s="37"/>
      <c r="I48" s="50">
        <v>35</v>
      </c>
      <c r="J48" s="52" t="s">
        <v>449</v>
      </c>
      <c r="K48" s="49" t="s">
        <v>4278</v>
      </c>
      <c r="L48" s="51"/>
    </row>
    <row r="49" spans="1:13" s="15" customFormat="1" ht="21.75" customHeight="1" x14ac:dyDescent="0.25">
      <c r="A49" s="34">
        <v>29</v>
      </c>
      <c r="B49" s="35" t="e">
        <f>VLOOKUP($J$13&amp;$A49,Baru!$A$2:$H$1373,5,0)</f>
        <v>#N/A</v>
      </c>
      <c r="C49" s="35" t="e">
        <f>VLOOKUP($J$13&amp;$A49,Baru!$A$2:$H$1373,6,0)</f>
        <v>#N/A</v>
      </c>
      <c r="D49" s="36" t="e">
        <f>VLOOKUP($J$13&amp;$A49,Baru!$A$2:$H$1373,7,0)</f>
        <v>#N/A</v>
      </c>
      <c r="E49" s="183"/>
      <c r="F49" s="37"/>
      <c r="G49" s="37"/>
      <c r="I49" s="50">
        <v>36</v>
      </c>
      <c r="J49" s="52" t="s">
        <v>455</v>
      </c>
      <c r="K49" s="51" t="s">
        <v>3000</v>
      </c>
      <c r="M49" s="15" t="s">
        <v>3031</v>
      </c>
    </row>
    <row r="50" spans="1:13" s="15" customFormat="1" ht="21.75" customHeight="1" x14ac:dyDescent="0.25">
      <c r="A50" s="34">
        <v>30</v>
      </c>
      <c r="B50" s="35" t="e">
        <f>VLOOKUP($J$13&amp;$A50,Baru!$A$2:$H$1373,5,0)</f>
        <v>#N/A</v>
      </c>
      <c r="C50" s="35" t="e">
        <f>VLOOKUP($J$13&amp;$A50,Baru!$A$2:$H$1373,6,0)</f>
        <v>#N/A</v>
      </c>
      <c r="D50" s="36" t="e">
        <f>VLOOKUP($J$13&amp;$A50,Baru!$A$2:$H$1373,7,0)</f>
        <v>#N/A</v>
      </c>
      <c r="E50" s="183"/>
      <c r="F50" s="37"/>
      <c r="G50" s="37"/>
      <c r="I50" s="50">
        <v>37</v>
      </c>
      <c r="J50" s="52" t="s">
        <v>443</v>
      </c>
      <c r="K50" s="49" t="s">
        <v>4265</v>
      </c>
    </row>
    <row r="51" spans="1:13" s="15" customFormat="1" ht="21.75" customHeight="1" x14ac:dyDescent="0.25">
      <c r="A51" s="34">
        <v>31</v>
      </c>
      <c r="B51" s="35" t="e">
        <f>VLOOKUP($J$13&amp;$A51,Baru!$A$2:$H$1373,5,0)</f>
        <v>#N/A</v>
      </c>
      <c r="C51" s="35" t="e">
        <f>VLOOKUP($J$13&amp;$A51,Baru!$A$2:$H$1373,6,0)</f>
        <v>#N/A</v>
      </c>
      <c r="D51" s="36" t="e">
        <f>VLOOKUP($J$13&amp;$A51,Baru!$A$2:$H$1373,7,0)</f>
        <v>#N/A</v>
      </c>
      <c r="E51" s="183"/>
      <c r="F51" s="37"/>
      <c r="G51" s="37"/>
      <c r="I51" s="50">
        <v>38</v>
      </c>
      <c r="J51" s="52" t="s">
        <v>462</v>
      </c>
      <c r="K51" s="51" t="s">
        <v>3020</v>
      </c>
    </row>
    <row r="52" spans="1:13" s="15" customFormat="1" ht="21.75" customHeight="1" x14ac:dyDescent="0.25">
      <c r="A52" s="34">
        <v>32</v>
      </c>
      <c r="B52" s="35" t="e">
        <f>VLOOKUP($J$13&amp;$A52,Baru!$A$2:$H$1373,5,0)</f>
        <v>#N/A</v>
      </c>
      <c r="C52" s="35" t="e">
        <f>VLOOKUP($J$13&amp;$A52,Baru!$A$2:$H$1373,6,0)</f>
        <v>#N/A</v>
      </c>
      <c r="D52" s="36" t="e">
        <f>VLOOKUP($J$13&amp;$A52,Baru!$A$2:$H$1373,7,0)</f>
        <v>#N/A</v>
      </c>
      <c r="E52" s="183"/>
      <c r="F52" s="39"/>
      <c r="G52" s="37"/>
      <c r="I52" s="50">
        <v>39</v>
      </c>
      <c r="J52" s="52" t="s">
        <v>452</v>
      </c>
      <c r="K52" s="51" t="s">
        <v>4279</v>
      </c>
    </row>
    <row r="53" spans="1:13" s="15" customFormat="1" ht="21.75" customHeight="1" x14ac:dyDescent="0.25">
      <c r="A53" s="34">
        <v>33</v>
      </c>
      <c r="B53" s="35" t="e">
        <f>VLOOKUP($J$13&amp;$A53,Baru!$A$2:$H$1373,5,0)</f>
        <v>#N/A</v>
      </c>
      <c r="C53" s="35" t="e">
        <f>VLOOKUP($J$13&amp;$A53,Baru!$A$2:$H$1373,6,0)</f>
        <v>#N/A</v>
      </c>
      <c r="D53" s="36" t="e">
        <f>VLOOKUP($J$13&amp;$A53,Baru!$A$2:$H$1373,7,0)</f>
        <v>#N/A</v>
      </c>
      <c r="E53" s="183"/>
      <c r="F53" s="39"/>
      <c r="G53" s="37"/>
    </row>
    <row r="54" spans="1:13" s="15" customFormat="1" ht="21.75" customHeight="1" x14ac:dyDescent="0.25">
      <c r="A54" s="34">
        <v>34</v>
      </c>
      <c r="B54" s="35" t="e">
        <f>VLOOKUP($J$13&amp;$A54,Baru!$A$2:$H$1373,5,0)</f>
        <v>#N/A</v>
      </c>
      <c r="C54" s="35" t="e">
        <f>VLOOKUP($J$13&amp;$A54,Baru!$A$2:$H$1373,6,0)</f>
        <v>#N/A</v>
      </c>
      <c r="D54" s="36" t="e">
        <f>VLOOKUP($J$13&amp;$A54,Baru!$A$2:$H$1373,7,0)</f>
        <v>#N/A</v>
      </c>
      <c r="E54" s="183"/>
      <c r="F54" s="40"/>
      <c r="G54" s="37"/>
      <c r="K54" s="15" t="s">
        <v>3044</v>
      </c>
    </row>
    <row r="55" spans="1:13" s="16" customFormat="1" ht="21.75" customHeight="1" x14ac:dyDescent="0.25">
      <c r="A55" s="34">
        <v>35</v>
      </c>
      <c r="B55" s="35" t="e">
        <f>VLOOKUP($J$13&amp;$A55,Baru!$A$2:$H$1373,5,0)</f>
        <v>#N/A</v>
      </c>
      <c r="C55" s="35" t="e">
        <f>VLOOKUP($J$13&amp;$A55,Baru!$A$2:$H$1373,6,0)</f>
        <v>#N/A</v>
      </c>
      <c r="D55" s="36" t="e">
        <f>VLOOKUP($J$13&amp;$A55,Baru!$A$2:$H$1373,7,0)</f>
        <v>#N/A</v>
      </c>
      <c r="E55" s="183"/>
      <c r="F55" s="41"/>
      <c r="G55" s="41"/>
    </row>
    <row r="56" spans="1:13" s="16" customFormat="1" ht="21.75" customHeight="1" x14ac:dyDescent="0.25">
      <c r="A56" s="34">
        <v>36</v>
      </c>
      <c r="B56" s="35" t="e">
        <f>VLOOKUP($J$13&amp;$A56,Baru!$A$2:$H$1373,5,0)</f>
        <v>#N/A</v>
      </c>
      <c r="C56" s="35" t="e">
        <f>VLOOKUP($J$13&amp;$A56,Baru!$A$2:$H$1373,6,0)</f>
        <v>#N/A</v>
      </c>
      <c r="D56" s="36" t="e">
        <f>VLOOKUP($J$13&amp;$A56,Baru!$A$2:$H$1373,7,0)</f>
        <v>#N/A</v>
      </c>
      <c r="E56" s="183"/>
      <c r="F56" s="41"/>
      <c r="G56" s="41"/>
    </row>
    <row r="57" spans="1:13" s="15" customFormat="1" ht="10.5" customHeight="1" x14ac:dyDescent="0.25">
      <c r="A57" s="27"/>
      <c r="B57" s="42"/>
      <c r="C57" s="43"/>
      <c r="D57" s="44"/>
      <c r="E57" s="44"/>
      <c r="F57" s="27"/>
      <c r="G57" s="27"/>
    </row>
    <row r="58" spans="1:13" ht="13.5" customHeight="1" x14ac:dyDescent="0.25">
      <c r="A58" s="28"/>
      <c r="B58" s="42" t="s">
        <v>3035</v>
      </c>
      <c r="C58" s="43"/>
      <c r="D58" s="27"/>
      <c r="E58" s="27"/>
      <c r="F58" s="27"/>
      <c r="G58" s="27"/>
      <c r="J58" t="s">
        <v>3036</v>
      </c>
    </row>
    <row r="59" spans="1:13" ht="13.5" customHeight="1" x14ac:dyDescent="0.25">
      <c r="A59" s="28"/>
      <c r="B59" s="42" t="s">
        <v>3037</v>
      </c>
      <c r="C59" s="45" t="str">
        <f>"= "&amp;COUNTIF(D21:D56,"L")</f>
        <v>= 0</v>
      </c>
      <c r="F59" s="27"/>
      <c r="G59" s="27"/>
    </row>
    <row r="60" spans="1:13" ht="13.5" customHeight="1" x14ac:dyDescent="0.25">
      <c r="A60" s="28"/>
      <c r="B60" s="42" t="s">
        <v>3039</v>
      </c>
      <c r="C60" s="45" t="str">
        <f>"= "&amp;COUNTIF(D21:D56,"P")</f>
        <v>= 0</v>
      </c>
      <c r="F60" s="27"/>
      <c r="G60" s="27"/>
    </row>
    <row r="61" spans="1:13" ht="13.5" customHeight="1" x14ac:dyDescent="0.25">
      <c r="A61" s="28"/>
      <c r="B61" s="42" t="s">
        <v>3040</v>
      </c>
      <c r="C61" s="43"/>
      <c r="D61" s="27"/>
      <c r="E61" s="27"/>
      <c r="F61" s="27"/>
      <c r="G61" s="27"/>
    </row>
    <row r="62" spans="1:13" ht="13.5" customHeight="1" x14ac:dyDescent="0.25">
      <c r="A62" s="28"/>
      <c r="B62" s="42" t="s">
        <v>3041</v>
      </c>
      <c r="C62" s="43"/>
      <c r="D62" s="27"/>
      <c r="E62" s="27"/>
      <c r="F62" s="27"/>
      <c r="G62" s="27"/>
    </row>
    <row r="63" spans="1:13" ht="13.5" customHeight="1" x14ac:dyDescent="0.25">
      <c r="A63" s="28"/>
      <c r="B63" s="42" t="s">
        <v>3042</v>
      </c>
      <c r="C63" s="43"/>
      <c r="D63" s="27"/>
      <c r="E63" s="27"/>
      <c r="F63" s="27"/>
      <c r="G63" s="27"/>
    </row>
    <row r="64" spans="1:13" ht="13.5" customHeight="1" x14ac:dyDescent="0.25">
      <c r="A64" s="28"/>
      <c r="B64" s="42" t="s">
        <v>3043</v>
      </c>
      <c r="C64" s="43"/>
      <c r="D64" s="27"/>
      <c r="E64" s="27"/>
      <c r="F64" s="27"/>
      <c r="G64" s="27"/>
    </row>
    <row r="65" spans="1:24" x14ac:dyDescent="0.25">
      <c r="A65" s="19"/>
      <c r="F65" s="18"/>
      <c r="G65" s="18"/>
    </row>
    <row r="66" spans="1:24" x14ac:dyDescent="0.25">
      <c r="A66" s="19"/>
      <c r="F66" s="18"/>
      <c r="G66" s="18"/>
    </row>
    <row r="67" spans="1:24" x14ac:dyDescent="0.25">
      <c r="A67" s="19"/>
    </row>
    <row r="68" spans="1:24" x14ac:dyDescent="0.25">
      <c r="A68" s="19"/>
    </row>
    <row r="69" spans="1:24" x14ac:dyDescent="0.25">
      <c r="A69" s="19"/>
    </row>
    <row r="70" spans="1:24" x14ac:dyDescent="0.25">
      <c r="A70" s="19"/>
    </row>
    <row r="71" spans="1:24" x14ac:dyDescent="0.25">
      <c r="A71" s="19"/>
    </row>
    <row r="72" spans="1:24" x14ac:dyDescent="0.25">
      <c r="A72" s="19"/>
    </row>
    <row r="73" spans="1:24" x14ac:dyDescent="0.25">
      <c r="A73" s="19"/>
    </row>
    <row r="74" spans="1:24" x14ac:dyDescent="0.25">
      <c r="A74" s="19"/>
    </row>
    <row r="75" spans="1:24" x14ac:dyDescent="0.25">
      <c r="A75" s="19"/>
    </row>
    <row r="76" spans="1:24" x14ac:dyDescent="0.25">
      <c r="A76" s="19"/>
    </row>
    <row r="77" spans="1:24" x14ac:dyDescent="0.25">
      <c r="A77" s="19"/>
    </row>
    <row r="78" spans="1:24" x14ac:dyDescent="0.25">
      <c r="A78" s="19"/>
      <c r="F78"/>
      <c r="G78"/>
    </row>
    <row r="79" spans="1:24" x14ac:dyDescent="0.25">
      <c r="A79" s="19"/>
      <c r="F79"/>
      <c r="G79"/>
      <c r="X79" t="s">
        <v>381</v>
      </c>
    </row>
    <row r="80" spans="1:24" x14ac:dyDescent="0.25">
      <c r="A80" s="19"/>
      <c r="F80"/>
      <c r="G80"/>
    </row>
    <row r="81" spans="1:7" x14ac:dyDescent="0.25">
      <c r="A81" s="19"/>
      <c r="F81"/>
      <c r="G81"/>
    </row>
    <row r="82" spans="1:7" x14ac:dyDescent="0.25">
      <c r="A82" s="19"/>
      <c r="F82"/>
      <c r="G82"/>
    </row>
    <row r="83" spans="1:7" x14ac:dyDescent="0.25">
      <c r="A83" s="19"/>
      <c r="F83"/>
      <c r="G83"/>
    </row>
    <row r="84" spans="1:7" x14ac:dyDescent="0.25">
      <c r="A84" s="19"/>
      <c r="F84"/>
      <c r="G84"/>
    </row>
    <row r="85" spans="1:7" x14ac:dyDescent="0.25">
      <c r="A85" s="19"/>
      <c r="F85"/>
      <c r="G85"/>
    </row>
    <row r="86" spans="1:7" x14ac:dyDescent="0.25">
      <c r="A86" s="19"/>
      <c r="F86"/>
      <c r="G86"/>
    </row>
    <row r="87" spans="1:7" x14ac:dyDescent="0.25">
      <c r="A87" s="19"/>
      <c r="F87"/>
      <c r="G87"/>
    </row>
    <row r="88" spans="1:7" x14ac:dyDescent="0.25">
      <c r="A88" s="19"/>
      <c r="F88"/>
      <c r="G88"/>
    </row>
    <row r="89" spans="1:7" x14ac:dyDescent="0.25">
      <c r="A89" s="19"/>
      <c r="F89"/>
      <c r="G89"/>
    </row>
    <row r="90" spans="1:7" x14ac:dyDescent="0.25">
      <c r="A90" s="19"/>
      <c r="F90"/>
      <c r="G90"/>
    </row>
    <row r="91" spans="1:7" x14ac:dyDescent="0.25">
      <c r="A91" s="19"/>
      <c r="F91"/>
      <c r="G91"/>
    </row>
    <row r="92" spans="1:7" x14ac:dyDescent="0.25">
      <c r="A92" s="19"/>
      <c r="F92"/>
      <c r="G92"/>
    </row>
    <row r="93" spans="1:7" x14ac:dyDescent="0.25">
      <c r="A93" s="19"/>
      <c r="F93"/>
      <c r="G93"/>
    </row>
    <row r="94" spans="1:7" x14ac:dyDescent="0.25">
      <c r="A94" s="19"/>
      <c r="F94"/>
      <c r="G94"/>
    </row>
    <row r="95" spans="1:7" x14ac:dyDescent="0.25">
      <c r="A95" s="19"/>
      <c r="F95"/>
      <c r="G95"/>
    </row>
    <row r="96" spans="1:7" x14ac:dyDescent="0.25">
      <c r="A96" s="19"/>
      <c r="F96"/>
      <c r="G96"/>
    </row>
    <row r="97" spans="1:7" x14ac:dyDescent="0.25">
      <c r="A97" s="19"/>
      <c r="F97"/>
      <c r="G97"/>
    </row>
    <row r="98" spans="1:7" x14ac:dyDescent="0.25">
      <c r="A98" s="19"/>
      <c r="F98"/>
      <c r="G98"/>
    </row>
    <row r="99" spans="1:7" x14ac:dyDescent="0.25">
      <c r="A99" s="19"/>
      <c r="F99"/>
      <c r="G99"/>
    </row>
    <row r="100" spans="1:7" x14ac:dyDescent="0.25">
      <c r="A100" s="19"/>
      <c r="F100"/>
      <c r="G100"/>
    </row>
    <row r="101" spans="1:7" x14ac:dyDescent="0.25">
      <c r="A101" s="19"/>
      <c r="F101"/>
      <c r="G101"/>
    </row>
    <row r="102" spans="1:7" x14ac:dyDescent="0.25">
      <c r="A102" s="19"/>
      <c r="F102"/>
      <c r="G102"/>
    </row>
    <row r="103" spans="1:7" x14ac:dyDescent="0.25">
      <c r="A103" s="19"/>
      <c r="F103"/>
      <c r="G103"/>
    </row>
    <row r="104" spans="1:7" x14ac:dyDescent="0.25">
      <c r="A104" s="19"/>
      <c r="F104"/>
      <c r="G104"/>
    </row>
    <row r="105" spans="1:7" x14ac:dyDescent="0.25">
      <c r="A105" s="19"/>
      <c r="F105"/>
      <c r="G105"/>
    </row>
    <row r="106" spans="1:7" x14ac:dyDescent="0.25">
      <c r="A106" s="19"/>
      <c r="F106"/>
      <c r="G106"/>
    </row>
    <row r="107" spans="1:7" x14ac:dyDescent="0.25">
      <c r="A107" s="19"/>
      <c r="F107"/>
      <c r="G107"/>
    </row>
    <row r="108" spans="1:7" x14ac:dyDescent="0.25">
      <c r="A108" s="19"/>
      <c r="F108"/>
      <c r="G108"/>
    </row>
    <row r="109" spans="1:7" x14ac:dyDescent="0.25">
      <c r="A109" s="19"/>
      <c r="F109"/>
      <c r="G109"/>
    </row>
    <row r="110" spans="1:7" x14ac:dyDescent="0.25">
      <c r="A110" s="19"/>
      <c r="F110"/>
      <c r="G110"/>
    </row>
    <row r="111" spans="1:7" x14ac:dyDescent="0.25">
      <c r="A111" s="19"/>
      <c r="F111"/>
      <c r="G111"/>
    </row>
    <row r="112" spans="1:7" x14ac:dyDescent="0.25">
      <c r="A112" s="19"/>
      <c r="F112"/>
      <c r="G112"/>
    </row>
    <row r="113" spans="1:7" x14ac:dyDescent="0.25">
      <c r="A113" s="19"/>
      <c r="F113"/>
      <c r="G113"/>
    </row>
    <row r="114" spans="1:7" x14ac:dyDescent="0.25">
      <c r="A114" s="19"/>
      <c r="F114"/>
      <c r="G114"/>
    </row>
    <row r="115" spans="1:7" x14ac:dyDescent="0.25">
      <c r="A115" s="19"/>
      <c r="F115"/>
      <c r="G115"/>
    </row>
    <row r="116" spans="1:7" x14ac:dyDescent="0.25">
      <c r="A116" s="19"/>
      <c r="F116"/>
      <c r="G116"/>
    </row>
    <row r="117" spans="1:7" x14ac:dyDescent="0.25">
      <c r="A117" s="19"/>
      <c r="F117"/>
      <c r="G117"/>
    </row>
    <row r="118" spans="1:7" x14ac:dyDescent="0.25">
      <c r="A118" s="19"/>
      <c r="F118"/>
      <c r="G118"/>
    </row>
    <row r="119" spans="1:7" x14ac:dyDescent="0.25">
      <c r="A119" s="19"/>
      <c r="F119"/>
      <c r="G119"/>
    </row>
    <row r="120" spans="1:7" x14ac:dyDescent="0.25">
      <c r="A120" s="19"/>
      <c r="F120"/>
      <c r="G120"/>
    </row>
    <row r="121" spans="1:7" x14ac:dyDescent="0.25">
      <c r="A121" s="19"/>
      <c r="F121"/>
      <c r="G121"/>
    </row>
    <row r="122" spans="1:7" x14ac:dyDescent="0.25">
      <c r="A122" s="19"/>
      <c r="F122"/>
      <c r="G122"/>
    </row>
    <row r="123" spans="1:7" x14ac:dyDescent="0.25">
      <c r="A123" s="19"/>
      <c r="F123"/>
      <c r="G123"/>
    </row>
    <row r="124" spans="1:7" x14ac:dyDescent="0.25">
      <c r="A124" s="19"/>
      <c r="F124"/>
      <c r="G124"/>
    </row>
    <row r="125" spans="1:7" x14ac:dyDescent="0.25">
      <c r="A125" s="19"/>
      <c r="F125"/>
      <c r="G125"/>
    </row>
    <row r="126" spans="1:7" x14ac:dyDescent="0.25">
      <c r="A126" s="19"/>
      <c r="F126"/>
      <c r="G126"/>
    </row>
    <row r="127" spans="1:7" x14ac:dyDescent="0.25">
      <c r="A127" s="19"/>
      <c r="F127"/>
      <c r="G127"/>
    </row>
    <row r="128" spans="1:7" x14ac:dyDescent="0.25">
      <c r="A128" s="19"/>
      <c r="F128"/>
      <c r="G128"/>
    </row>
    <row r="129" spans="1:7" x14ac:dyDescent="0.25">
      <c r="A129" s="19"/>
      <c r="F129"/>
      <c r="G129"/>
    </row>
    <row r="130" spans="1:7" x14ac:dyDescent="0.25">
      <c r="A130" s="19"/>
      <c r="F130"/>
      <c r="G130"/>
    </row>
    <row r="131" spans="1:7" x14ac:dyDescent="0.25">
      <c r="A131" s="19"/>
      <c r="F131"/>
      <c r="G131"/>
    </row>
    <row r="132" spans="1:7" x14ac:dyDescent="0.25">
      <c r="A132" s="19"/>
      <c r="F132"/>
      <c r="G132"/>
    </row>
    <row r="133" spans="1:7" x14ac:dyDescent="0.25">
      <c r="A133" s="19"/>
      <c r="F133"/>
      <c r="G133"/>
    </row>
    <row r="134" spans="1:7" x14ac:dyDescent="0.25">
      <c r="A134" s="19"/>
      <c r="F134"/>
      <c r="G134"/>
    </row>
    <row r="135" spans="1:7" x14ac:dyDescent="0.25">
      <c r="A135" s="19"/>
      <c r="F135"/>
      <c r="G135"/>
    </row>
    <row r="136" spans="1:7" x14ac:dyDescent="0.25">
      <c r="A136" s="19"/>
      <c r="F136"/>
      <c r="G136"/>
    </row>
    <row r="137" spans="1:7" x14ac:dyDescent="0.25">
      <c r="A137" s="19"/>
      <c r="F137"/>
      <c r="G137"/>
    </row>
    <row r="138" spans="1:7" x14ac:dyDescent="0.25">
      <c r="A138" s="19"/>
      <c r="F138"/>
      <c r="G138"/>
    </row>
    <row r="139" spans="1:7" x14ac:dyDescent="0.25">
      <c r="A139" s="19"/>
      <c r="F139"/>
      <c r="G139"/>
    </row>
    <row r="140" spans="1:7" x14ac:dyDescent="0.25">
      <c r="A140" s="19"/>
      <c r="F140"/>
      <c r="G140"/>
    </row>
    <row r="141" spans="1:7" x14ac:dyDescent="0.25">
      <c r="A141" s="19"/>
      <c r="F141"/>
      <c r="G141"/>
    </row>
    <row r="142" spans="1:7" x14ac:dyDescent="0.25">
      <c r="A142" s="19"/>
      <c r="F142"/>
      <c r="G142"/>
    </row>
    <row r="143" spans="1:7" x14ac:dyDescent="0.25">
      <c r="A143" s="19"/>
      <c r="F143"/>
      <c r="G143"/>
    </row>
    <row r="144" spans="1:7" x14ac:dyDescent="0.25">
      <c r="A144" s="19"/>
      <c r="F144"/>
      <c r="G144"/>
    </row>
    <row r="145" spans="1:7" x14ac:dyDescent="0.25">
      <c r="A145" s="19"/>
      <c r="F145"/>
      <c r="G145"/>
    </row>
    <row r="146" spans="1:7" x14ac:dyDescent="0.25">
      <c r="A146" s="19"/>
      <c r="F146"/>
      <c r="G146"/>
    </row>
    <row r="147" spans="1:7" x14ac:dyDescent="0.25">
      <c r="A147" s="19"/>
      <c r="F147"/>
      <c r="G147"/>
    </row>
    <row r="148" spans="1:7" x14ac:dyDescent="0.25">
      <c r="A148" s="19"/>
      <c r="F148"/>
      <c r="G148"/>
    </row>
    <row r="149" spans="1:7" x14ac:dyDescent="0.25">
      <c r="A149" s="19"/>
      <c r="F149"/>
      <c r="G149"/>
    </row>
    <row r="150" spans="1:7" x14ac:dyDescent="0.25">
      <c r="A150" s="19"/>
      <c r="F150"/>
      <c r="G150"/>
    </row>
    <row r="151" spans="1:7" x14ac:dyDescent="0.25">
      <c r="A151" s="19"/>
      <c r="F151"/>
      <c r="G151"/>
    </row>
    <row r="152" spans="1:7" x14ac:dyDescent="0.25">
      <c r="A152" s="19"/>
      <c r="F152"/>
      <c r="G152"/>
    </row>
    <row r="153" spans="1:7" x14ac:dyDescent="0.25">
      <c r="A153" s="19"/>
      <c r="F153"/>
      <c r="G153"/>
    </row>
    <row r="154" spans="1:7" x14ac:dyDescent="0.25">
      <c r="A154" s="19"/>
      <c r="F154"/>
      <c r="G154"/>
    </row>
    <row r="155" spans="1:7" x14ac:dyDescent="0.25">
      <c r="A155" s="19"/>
      <c r="F155"/>
      <c r="G155"/>
    </row>
    <row r="156" spans="1:7" x14ac:dyDescent="0.25">
      <c r="A156" s="19"/>
      <c r="F156"/>
      <c r="G156"/>
    </row>
    <row r="157" spans="1:7" x14ac:dyDescent="0.25">
      <c r="A157" s="19"/>
      <c r="F157"/>
      <c r="G157"/>
    </row>
    <row r="158" spans="1:7" x14ac:dyDescent="0.25">
      <c r="A158" s="19"/>
      <c r="F158"/>
      <c r="G158"/>
    </row>
    <row r="159" spans="1:7" x14ac:dyDescent="0.25">
      <c r="A159" s="19"/>
      <c r="F159"/>
      <c r="G159"/>
    </row>
    <row r="160" spans="1:7" x14ac:dyDescent="0.25">
      <c r="A160" s="19"/>
      <c r="F160"/>
      <c r="G160"/>
    </row>
    <row r="161" spans="1:7" x14ac:dyDescent="0.25">
      <c r="A161" s="19"/>
      <c r="F161"/>
      <c r="G161"/>
    </row>
    <row r="162" spans="1:7" x14ac:dyDescent="0.25">
      <c r="A162" s="19"/>
      <c r="F162"/>
      <c r="G162"/>
    </row>
    <row r="163" spans="1:7" x14ac:dyDescent="0.25">
      <c r="A163" s="19"/>
      <c r="F163"/>
      <c r="G163"/>
    </row>
    <row r="164" spans="1:7" x14ac:dyDescent="0.25">
      <c r="A164" s="19"/>
      <c r="F164"/>
      <c r="G164"/>
    </row>
    <row r="165" spans="1:7" x14ac:dyDescent="0.25">
      <c r="A165" s="19"/>
      <c r="F165"/>
      <c r="G165"/>
    </row>
    <row r="166" spans="1:7" x14ac:dyDescent="0.25">
      <c r="A166" s="19"/>
      <c r="F166"/>
      <c r="G166"/>
    </row>
    <row r="167" spans="1:7" x14ac:dyDescent="0.25">
      <c r="A167" s="19"/>
      <c r="F167"/>
      <c r="G167"/>
    </row>
    <row r="168" spans="1:7" x14ac:dyDescent="0.25">
      <c r="A168" s="19"/>
      <c r="F168"/>
      <c r="G168"/>
    </row>
    <row r="169" spans="1:7" x14ac:dyDescent="0.25">
      <c r="A169" s="19"/>
      <c r="F169"/>
      <c r="G169"/>
    </row>
    <row r="170" spans="1:7" x14ac:dyDescent="0.25">
      <c r="A170" s="19"/>
      <c r="F170"/>
      <c r="G170"/>
    </row>
    <row r="171" spans="1:7" x14ac:dyDescent="0.25">
      <c r="A171" s="19"/>
      <c r="F171"/>
      <c r="G171"/>
    </row>
    <row r="172" spans="1:7" x14ac:dyDescent="0.25">
      <c r="A172" s="19"/>
      <c r="F172"/>
      <c r="G172"/>
    </row>
    <row r="173" spans="1:7" x14ac:dyDescent="0.25">
      <c r="A173" s="19"/>
      <c r="F173"/>
      <c r="G173"/>
    </row>
    <row r="174" spans="1:7" x14ac:dyDescent="0.25">
      <c r="A174" s="19"/>
      <c r="F174"/>
      <c r="G174"/>
    </row>
    <row r="175" spans="1:7" x14ac:dyDescent="0.25">
      <c r="A175" s="19"/>
      <c r="F175"/>
      <c r="G175"/>
    </row>
    <row r="176" spans="1:7" x14ac:dyDescent="0.25">
      <c r="A176" s="19"/>
      <c r="F176"/>
      <c r="G176"/>
    </row>
    <row r="177" spans="1:7" x14ac:dyDescent="0.25">
      <c r="A177" s="19"/>
      <c r="F177"/>
      <c r="G177"/>
    </row>
    <row r="178" spans="1:7" x14ac:dyDescent="0.25">
      <c r="A178" s="19"/>
      <c r="F178"/>
      <c r="G178"/>
    </row>
    <row r="179" spans="1:7" x14ac:dyDescent="0.25">
      <c r="A179" s="19"/>
      <c r="F179"/>
      <c r="G179"/>
    </row>
    <row r="180" spans="1:7" x14ac:dyDescent="0.25">
      <c r="A180" s="19"/>
      <c r="F180"/>
      <c r="G180"/>
    </row>
    <row r="181" spans="1:7" x14ac:dyDescent="0.25">
      <c r="A181" s="19"/>
      <c r="F181"/>
      <c r="G181"/>
    </row>
    <row r="182" spans="1:7" x14ac:dyDescent="0.25">
      <c r="A182" s="19"/>
      <c r="F182"/>
      <c r="G182"/>
    </row>
    <row r="183" spans="1:7" x14ac:dyDescent="0.25">
      <c r="A183" s="19"/>
      <c r="F183"/>
      <c r="G183"/>
    </row>
    <row r="184" spans="1:7" x14ac:dyDescent="0.25">
      <c r="A184" s="19"/>
      <c r="F184"/>
      <c r="G184"/>
    </row>
    <row r="185" spans="1:7" x14ac:dyDescent="0.25">
      <c r="A185" s="19"/>
      <c r="F185"/>
      <c r="G185"/>
    </row>
    <row r="186" spans="1:7" x14ac:dyDescent="0.25">
      <c r="A186" s="19"/>
      <c r="F186"/>
      <c r="G186"/>
    </row>
    <row r="187" spans="1:7" x14ac:dyDescent="0.25">
      <c r="A187" s="19"/>
      <c r="F187"/>
      <c r="G187"/>
    </row>
    <row r="188" spans="1:7" x14ac:dyDescent="0.25">
      <c r="A188" s="19"/>
      <c r="F188"/>
      <c r="G188"/>
    </row>
    <row r="189" spans="1:7" x14ac:dyDescent="0.25">
      <c r="A189" s="19"/>
      <c r="F189"/>
      <c r="G189"/>
    </row>
    <row r="190" spans="1:7" x14ac:dyDescent="0.25">
      <c r="A190" s="19"/>
      <c r="F190"/>
      <c r="G190"/>
    </row>
    <row r="191" spans="1:7" x14ac:dyDescent="0.25">
      <c r="A191" s="19"/>
      <c r="F191"/>
      <c r="G191"/>
    </row>
    <row r="192" spans="1:7" x14ac:dyDescent="0.25">
      <c r="A192" s="19"/>
      <c r="F192"/>
      <c r="G192"/>
    </row>
    <row r="193" spans="1:7" x14ac:dyDescent="0.25">
      <c r="A193" s="19"/>
      <c r="F193"/>
      <c r="G193"/>
    </row>
    <row r="194" spans="1:7" x14ac:dyDescent="0.25">
      <c r="A194" s="19"/>
      <c r="F194"/>
      <c r="G194"/>
    </row>
    <row r="195" spans="1:7" x14ac:dyDescent="0.25">
      <c r="A195" s="19"/>
      <c r="F195"/>
      <c r="G195"/>
    </row>
    <row r="196" spans="1:7" x14ac:dyDescent="0.25">
      <c r="A196" s="19"/>
      <c r="F196"/>
      <c r="G196"/>
    </row>
  </sheetData>
  <mergeCells count="10">
    <mergeCell ref="E18:E19"/>
    <mergeCell ref="A13:G13"/>
    <mergeCell ref="A14:G14"/>
    <mergeCell ref="A15:G15"/>
    <mergeCell ref="A16:G16"/>
    <mergeCell ref="A18:A20"/>
    <mergeCell ref="B18:B20"/>
    <mergeCell ref="C18:C20"/>
    <mergeCell ref="D18:D20"/>
    <mergeCell ref="F18:G18"/>
  </mergeCells>
  <conditionalFormatting sqref="A45 A48:A56 F49:G56">
    <cfRule type="containsErrors" dxfId="1" priority="3">
      <formula>ISERROR(A45)</formula>
    </cfRule>
  </conditionalFormatting>
  <conditionalFormatting sqref="A50:G56">
    <cfRule type="containsErrors" dxfId="0" priority="1">
      <formula>ISERROR(A50)</formula>
    </cfRule>
  </conditionalFormatting>
  <printOptions horizontalCentered="1"/>
  <pageMargins left="0.11811023622047245" right="0.11811023622047245" top="0.23622047244094491" bottom="0.27559055118110237" header="0.23622047244094491" footer="0.11811023622047245"/>
  <pageSetup paperSize="9" scale="65" orientation="portrait" horizontalDpi="4294967293" verticalDpi="360" r:id="rId1"/>
  <colBreaks count="1" manualBreakCount="1">
    <brk id="7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913" r:id="rId4" name="Spinner 1">
              <controlPr defaultSize="0" autoPict="0">
                <anchor moveWithCells="1" sizeWithCells="1">
                  <from>
                    <xdr:col>7</xdr:col>
                    <xdr:colOff>485775</xdr:colOff>
                    <xdr:row>21</xdr:row>
                    <xdr:rowOff>152400</xdr:rowOff>
                  </from>
                  <to>
                    <xdr:col>8</xdr:col>
                    <xdr:colOff>361950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14" r:id="rId5" name="Spinner 2">
              <controlPr defaultSize="0" autoPict="0">
                <anchor moveWithCells="1" sizeWithCells="1">
                  <from>
                    <xdr:col>8</xdr:col>
                    <xdr:colOff>57150</xdr:colOff>
                    <xdr:row>51</xdr:row>
                    <xdr:rowOff>0</xdr:rowOff>
                  </from>
                  <to>
                    <xdr:col>8</xdr:col>
                    <xdr:colOff>514350</xdr:colOff>
                    <xdr:row>58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15" r:id="rId6" name="Spinner 3">
              <controlPr defaultSize="0" autoPict="0">
                <anchor moveWithCells="1" sizeWithCells="1">
                  <from>
                    <xdr:col>7</xdr:col>
                    <xdr:colOff>485775</xdr:colOff>
                    <xdr:row>20</xdr:row>
                    <xdr:rowOff>152400</xdr:rowOff>
                  </from>
                  <to>
                    <xdr:col>8</xdr:col>
                    <xdr:colOff>361950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16" r:id="rId7" name="Spinner 4">
              <controlPr defaultSize="0" autoPict="0">
                <anchor moveWithCells="1" sizeWithCells="1">
                  <from>
                    <xdr:col>7</xdr:col>
                    <xdr:colOff>485775</xdr:colOff>
                    <xdr:row>20</xdr:row>
                    <xdr:rowOff>152400</xdr:rowOff>
                  </from>
                  <to>
                    <xdr:col>8</xdr:col>
                    <xdr:colOff>361950</xdr:colOff>
                    <xdr:row>28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E460-C212-4F82-8DC3-F29CF1085317}">
  <dimension ref="A1:E17"/>
  <sheetViews>
    <sheetView workbookViewId="0">
      <selection sqref="A1:D1"/>
    </sheetView>
  </sheetViews>
  <sheetFormatPr defaultRowHeight="15" x14ac:dyDescent="0.25"/>
  <cols>
    <col min="1" max="1" width="5.7109375" customWidth="1"/>
    <col min="2" max="2" width="15" customWidth="1"/>
    <col min="3" max="4" width="11.85546875" customWidth="1"/>
    <col min="5" max="5" width="12.85546875" customWidth="1"/>
  </cols>
  <sheetData>
    <row r="1" spans="1:5" x14ac:dyDescent="0.25">
      <c r="A1" s="254" t="s">
        <v>5508</v>
      </c>
      <c r="B1" s="254"/>
      <c r="C1" s="254"/>
      <c r="D1" s="254"/>
    </row>
    <row r="2" spans="1:5" x14ac:dyDescent="0.25">
      <c r="A2" s="254" t="s">
        <v>5509</v>
      </c>
      <c r="B2" s="254"/>
      <c r="C2" s="254"/>
      <c r="D2" s="254"/>
    </row>
    <row r="4" spans="1:5" s="18" customFormat="1" x14ac:dyDescent="0.25">
      <c r="A4" s="253" t="s">
        <v>5510</v>
      </c>
      <c r="B4" s="253" t="s">
        <v>5511</v>
      </c>
      <c r="C4" s="253" t="s">
        <v>5512</v>
      </c>
      <c r="D4" s="253"/>
      <c r="E4" s="253" t="s">
        <v>5513</v>
      </c>
    </row>
    <row r="5" spans="1:5" x14ac:dyDescent="0.25">
      <c r="A5" s="253"/>
      <c r="B5" s="253"/>
      <c r="C5" s="184" t="s">
        <v>379</v>
      </c>
      <c r="D5" s="184" t="s">
        <v>381</v>
      </c>
      <c r="E5" s="253"/>
    </row>
    <row r="6" spans="1:5" x14ac:dyDescent="0.25">
      <c r="A6" s="184">
        <v>1</v>
      </c>
      <c r="B6" s="184" t="s">
        <v>483</v>
      </c>
      <c r="C6" s="184">
        <v>9</v>
      </c>
      <c r="D6" s="184">
        <v>22</v>
      </c>
      <c r="E6" s="184">
        <f>SUM(C6:D6)</f>
        <v>31</v>
      </c>
    </row>
    <row r="7" spans="1:5" x14ac:dyDescent="0.25">
      <c r="A7" s="184">
        <v>2</v>
      </c>
      <c r="B7" s="184" t="s">
        <v>449</v>
      </c>
      <c r="C7" s="184">
        <v>10</v>
      </c>
      <c r="D7" s="184">
        <v>24</v>
      </c>
      <c r="E7" s="184">
        <f t="shared" ref="E7:E16" si="0">SUM(C7:D7)</f>
        <v>34</v>
      </c>
    </row>
    <row r="8" spans="1:5" x14ac:dyDescent="0.25">
      <c r="A8" s="184">
        <v>3</v>
      </c>
      <c r="B8" s="184" t="s">
        <v>455</v>
      </c>
      <c r="C8" s="184">
        <v>12</v>
      </c>
      <c r="D8" s="184">
        <v>22</v>
      </c>
      <c r="E8" s="184">
        <f t="shared" si="0"/>
        <v>34</v>
      </c>
    </row>
    <row r="9" spans="1:5" x14ac:dyDescent="0.25">
      <c r="A9" s="184">
        <v>4</v>
      </c>
      <c r="B9" s="184" t="s">
        <v>443</v>
      </c>
      <c r="C9" s="184">
        <v>9</v>
      </c>
      <c r="D9" s="184">
        <v>23</v>
      </c>
      <c r="E9" s="184">
        <f t="shared" si="0"/>
        <v>32</v>
      </c>
    </row>
    <row r="10" spans="1:5" x14ac:dyDescent="0.25">
      <c r="A10" s="184">
        <v>5</v>
      </c>
      <c r="B10" s="184" t="s">
        <v>462</v>
      </c>
      <c r="C10" s="184">
        <v>12</v>
      </c>
      <c r="D10" s="184">
        <v>23</v>
      </c>
      <c r="E10" s="184">
        <f t="shared" si="0"/>
        <v>35</v>
      </c>
    </row>
    <row r="11" spans="1:5" x14ac:dyDescent="0.25">
      <c r="A11" s="184">
        <v>6</v>
      </c>
      <c r="B11" s="184" t="s">
        <v>452</v>
      </c>
      <c r="C11" s="184">
        <v>11</v>
      </c>
      <c r="D11" s="184">
        <v>22</v>
      </c>
      <c r="E11" s="184">
        <f t="shared" si="0"/>
        <v>33</v>
      </c>
    </row>
    <row r="12" spans="1:5" x14ac:dyDescent="0.25">
      <c r="A12" s="184">
        <v>7</v>
      </c>
      <c r="B12" s="184" t="s">
        <v>843</v>
      </c>
      <c r="C12" s="184">
        <v>28</v>
      </c>
      <c r="D12" s="184">
        <v>6</v>
      </c>
      <c r="E12" s="184">
        <f t="shared" si="0"/>
        <v>34</v>
      </c>
    </row>
    <row r="13" spans="1:5" x14ac:dyDescent="0.25">
      <c r="A13" s="184">
        <v>8</v>
      </c>
      <c r="B13" s="184" t="s">
        <v>846</v>
      </c>
      <c r="C13" s="184">
        <v>29</v>
      </c>
      <c r="D13" s="184">
        <v>7</v>
      </c>
      <c r="E13" s="184">
        <f t="shared" si="0"/>
        <v>36</v>
      </c>
    </row>
    <row r="14" spans="1:5" x14ac:dyDescent="0.25">
      <c r="A14" s="184">
        <v>9</v>
      </c>
      <c r="B14" s="184" t="s">
        <v>863</v>
      </c>
      <c r="C14" s="184">
        <v>31</v>
      </c>
      <c r="D14" s="184">
        <v>5</v>
      </c>
      <c r="E14" s="184">
        <f t="shared" si="0"/>
        <v>36</v>
      </c>
    </row>
    <row r="15" spans="1:5" x14ac:dyDescent="0.25">
      <c r="A15" s="184">
        <v>10</v>
      </c>
      <c r="B15" s="184" t="s">
        <v>878</v>
      </c>
      <c r="C15" s="184">
        <v>27</v>
      </c>
      <c r="D15" s="184">
        <v>8</v>
      </c>
      <c r="E15" s="184">
        <f t="shared" si="0"/>
        <v>35</v>
      </c>
    </row>
    <row r="16" spans="1:5" x14ac:dyDescent="0.25">
      <c r="A16" s="184">
        <v>11</v>
      </c>
      <c r="B16" s="184" t="s">
        <v>854</v>
      </c>
      <c r="C16" s="184">
        <v>27</v>
      </c>
      <c r="D16" s="184">
        <v>8</v>
      </c>
      <c r="E16" s="184">
        <f t="shared" si="0"/>
        <v>35</v>
      </c>
    </row>
    <row r="17" spans="3:5" x14ac:dyDescent="0.25">
      <c r="C17" s="185">
        <f t="shared" ref="C17:D17" si="1">SUM(C6:C16)</f>
        <v>205</v>
      </c>
      <c r="D17" s="185">
        <f t="shared" si="1"/>
        <v>170</v>
      </c>
      <c r="E17" s="185">
        <f>SUM(E6:E16)</f>
        <v>375</v>
      </c>
    </row>
  </sheetData>
  <mergeCells count="6">
    <mergeCell ref="E4:E5"/>
    <mergeCell ref="C4:D4"/>
    <mergeCell ref="A4:A5"/>
    <mergeCell ref="B4:B5"/>
    <mergeCell ref="A1:D1"/>
    <mergeCell ref="A2:D2"/>
  </mergeCells>
  <phoneticPr fontId="4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5"/>
  <sheetViews>
    <sheetView topLeftCell="A7" workbookViewId="0">
      <selection activeCell="H15" sqref="H15"/>
    </sheetView>
  </sheetViews>
  <sheetFormatPr defaultColWidth="9.140625" defaultRowHeight="15" x14ac:dyDescent="0.25"/>
  <cols>
    <col min="1" max="1" width="12.42578125" style="1" customWidth="1"/>
    <col min="2" max="2" width="8.42578125" style="1" customWidth="1"/>
    <col min="3" max="3" width="8.140625" style="1" customWidth="1"/>
    <col min="4" max="4" width="7.85546875" style="1" customWidth="1"/>
    <col min="5" max="5" width="8.42578125" style="1" customWidth="1"/>
    <col min="6" max="6" width="9.7109375" style="1" customWidth="1"/>
    <col min="7" max="7" width="8.140625" style="1" customWidth="1"/>
    <col min="8" max="9" width="7.85546875" style="1" customWidth="1"/>
    <col min="10" max="11" width="8.140625" style="1" customWidth="1"/>
    <col min="12" max="16384" width="9.140625" style="1"/>
  </cols>
  <sheetData>
    <row r="1" spans="1:12" ht="18.75" x14ac:dyDescent="0.25">
      <c r="A1" s="255" t="s">
        <v>3046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</row>
    <row r="2" spans="1:12" ht="18.75" x14ac:dyDescent="0.25">
      <c r="A2" s="255" t="s">
        <v>3047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</row>
    <row r="3" spans="1:12" ht="18.75" x14ac:dyDescent="0.25">
      <c r="A3" s="255" t="s">
        <v>3048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</row>
    <row r="5" spans="1:12" ht="18.75" customHeight="1" x14ac:dyDescent="0.25">
      <c r="A5" s="261" t="s">
        <v>3049</v>
      </c>
      <c r="B5" s="256" t="s">
        <v>3050</v>
      </c>
      <c r="C5" s="257"/>
      <c r="D5" s="256" t="s">
        <v>3051</v>
      </c>
      <c r="E5" s="257"/>
      <c r="F5" s="256" t="s">
        <v>3052</v>
      </c>
      <c r="G5" s="257"/>
      <c r="H5" s="256" t="s">
        <v>3053</v>
      </c>
      <c r="I5" s="257"/>
      <c r="J5" s="258" t="s">
        <v>3035</v>
      </c>
      <c r="K5" s="259"/>
      <c r="L5" s="260"/>
    </row>
    <row r="6" spans="1:12" x14ac:dyDescent="0.25">
      <c r="A6" s="261"/>
      <c r="B6" s="2" t="s">
        <v>379</v>
      </c>
      <c r="C6" s="2" t="s">
        <v>381</v>
      </c>
      <c r="D6" s="2" t="s">
        <v>379</v>
      </c>
      <c r="E6" s="2" t="s">
        <v>381</v>
      </c>
      <c r="F6" s="2" t="s">
        <v>379</v>
      </c>
      <c r="G6" s="2" t="s">
        <v>381</v>
      </c>
      <c r="H6" s="2" t="s">
        <v>379</v>
      </c>
      <c r="I6" s="2" t="s">
        <v>381</v>
      </c>
      <c r="J6" s="2" t="s">
        <v>379</v>
      </c>
      <c r="K6" s="2" t="s">
        <v>381</v>
      </c>
      <c r="L6" s="2" t="s">
        <v>3054</v>
      </c>
    </row>
    <row r="7" spans="1:12" s="12" customFormat="1" ht="12.75" customHeight="1" x14ac:dyDescent="0.25">
      <c r="A7" s="13">
        <v>1</v>
      </c>
      <c r="B7" s="13">
        <v>2</v>
      </c>
      <c r="C7" s="13">
        <v>3</v>
      </c>
      <c r="D7" s="13">
        <v>4</v>
      </c>
      <c r="E7" s="13">
        <v>5</v>
      </c>
      <c r="F7" s="13">
        <v>6</v>
      </c>
      <c r="G7" s="13">
        <v>7</v>
      </c>
      <c r="H7" s="13">
        <v>8</v>
      </c>
      <c r="I7" s="13">
        <v>9</v>
      </c>
      <c r="J7" s="13">
        <v>10</v>
      </c>
      <c r="K7" s="13">
        <v>11</v>
      </c>
      <c r="L7" s="13">
        <v>12</v>
      </c>
    </row>
    <row r="8" spans="1:12" ht="18.75" customHeight="1" x14ac:dyDescent="0.25">
      <c r="A8" s="2" t="s">
        <v>3055</v>
      </c>
      <c r="B8" s="3" t="e">
        <f>Baru!#REF!</f>
        <v>#REF!</v>
      </c>
      <c r="C8" s="3" t="e">
        <f>Baru!#REF!</f>
        <v>#REF!</v>
      </c>
      <c r="D8" s="3" t="e">
        <f>Baru!#REF!</f>
        <v>#REF!</v>
      </c>
      <c r="E8" s="3" t="e">
        <f>Baru!#REF!</f>
        <v>#REF!</v>
      </c>
      <c r="F8" s="3">
        <v>0</v>
      </c>
      <c r="G8" s="3">
        <v>0</v>
      </c>
      <c r="H8" s="3">
        <v>0</v>
      </c>
      <c r="I8" s="3">
        <v>0</v>
      </c>
      <c r="J8" s="3" t="e">
        <f t="shared" ref="J8:K13" si="0">SUM(B8,D8,F8,H8)</f>
        <v>#REF!</v>
      </c>
      <c r="K8" s="3" t="e">
        <f t="shared" si="0"/>
        <v>#REF!</v>
      </c>
      <c r="L8" s="3" t="e">
        <f>SUM(J8:K8)</f>
        <v>#REF!</v>
      </c>
    </row>
    <row r="9" spans="1:12" ht="18.75" customHeight="1" x14ac:dyDescent="0.25">
      <c r="A9" s="2" t="s">
        <v>3056</v>
      </c>
      <c r="B9" s="3" t="e">
        <f>Baru!#REF!</f>
        <v>#REF!</v>
      </c>
      <c r="C9" s="3" t="e">
        <f>Baru!#REF!</f>
        <v>#REF!</v>
      </c>
      <c r="D9" s="3" t="e">
        <f>Baru!#REF!</f>
        <v>#REF!</v>
      </c>
      <c r="E9" s="3" t="e">
        <f>Baru!#REF!</f>
        <v>#REF!</v>
      </c>
      <c r="F9" s="3">
        <v>0</v>
      </c>
      <c r="G9" s="3" t="e">
        <f>Baru!#REF!</f>
        <v>#REF!</v>
      </c>
      <c r="H9" s="3">
        <v>0</v>
      </c>
      <c r="I9" s="3">
        <v>0</v>
      </c>
      <c r="J9" s="3" t="e">
        <f t="shared" si="0"/>
        <v>#REF!</v>
      </c>
      <c r="K9" s="3" t="e">
        <f t="shared" si="0"/>
        <v>#REF!</v>
      </c>
      <c r="L9" s="3" t="e">
        <f t="shared" ref="L9:L15" si="1">SUM(J9:K9)</f>
        <v>#REF!</v>
      </c>
    </row>
    <row r="10" spans="1:12" ht="18.75" customHeight="1" x14ac:dyDescent="0.25">
      <c r="A10" s="2" t="s">
        <v>3057</v>
      </c>
      <c r="B10" s="3" t="e">
        <f>Baru!#REF!</f>
        <v>#REF!</v>
      </c>
      <c r="C10" s="3" t="e">
        <f>Baru!#REF!</f>
        <v>#REF!</v>
      </c>
      <c r="D10" s="3" t="e">
        <f>Baru!#REF!</f>
        <v>#REF!</v>
      </c>
      <c r="E10" s="3" t="e">
        <f>Baru!#REF!</f>
        <v>#REF!</v>
      </c>
      <c r="F10" s="3">
        <v>0</v>
      </c>
      <c r="G10" s="3" t="e">
        <f>Baru!#REF!</f>
        <v>#REF!</v>
      </c>
      <c r="H10" s="3">
        <v>0</v>
      </c>
      <c r="I10" s="3">
        <v>0</v>
      </c>
      <c r="J10" s="3" t="e">
        <f t="shared" si="0"/>
        <v>#REF!</v>
      </c>
      <c r="K10" s="3" t="e">
        <f t="shared" si="0"/>
        <v>#REF!</v>
      </c>
      <c r="L10" s="3" t="e">
        <f t="shared" si="1"/>
        <v>#REF!</v>
      </c>
    </row>
    <row r="11" spans="1:12" ht="18.75" customHeight="1" x14ac:dyDescent="0.25">
      <c r="A11" s="2" t="s">
        <v>3058</v>
      </c>
      <c r="B11" s="3" t="e">
        <f>Baru!#REF!</f>
        <v>#REF!</v>
      </c>
      <c r="C11" s="14" t="e">
        <f>Baru!#REF!</f>
        <v>#REF!</v>
      </c>
      <c r="D11" s="3" t="e">
        <f>Baru!#REF!</f>
        <v>#REF!</v>
      </c>
      <c r="E11" s="3" t="e">
        <f>Baru!#REF!</f>
        <v>#REF!</v>
      </c>
      <c r="F11" s="3">
        <v>0</v>
      </c>
      <c r="G11" s="3" t="e">
        <f>Baru!#REF!</f>
        <v>#REF!</v>
      </c>
      <c r="H11" s="3">
        <v>0</v>
      </c>
      <c r="I11" s="3" t="e">
        <f>Baru!#REF!</f>
        <v>#REF!</v>
      </c>
      <c r="J11" s="3" t="e">
        <f t="shared" si="0"/>
        <v>#REF!</v>
      </c>
      <c r="K11" s="3" t="e">
        <f t="shared" si="0"/>
        <v>#REF!</v>
      </c>
      <c r="L11" s="3" t="e">
        <f t="shared" si="1"/>
        <v>#REF!</v>
      </c>
    </row>
    <row r="12" spans="1:12" ht="18.75" customHeight="1" x14ac:dyDescent="0.25">
      <c r="A12" s="2" t="s">
        <v>3059</v>
      </c>
      <c r="B12" s="3" t="e">
        <f>Baru!#REF!</f>
        <v>#REF!</v>
      </c>
      <c r="C12" s="3" t="e">
        <f>Baru!#REF!</f>
        <v>#REF!</v>
      </c>
      <c r="D12" s="3" t="e">
        <f>Baru!#REF!</f>
        <v>#REF!</v>
      </c>
      <c r="E12" s="3" t="e">
        <f>Baru!#REF!</f>
        <v>#REF!</v>
      </c>
      <c r="F12" s="3">
        <v>0</v>
      </c>
      <c r="G12" s="3" t="e">
        <f>Baru!#REF!</f>
        <v>#REF!</v>
      </c>
      <c r="H12" s="3">
        <v>0</v>
      </c>
      <c r="I12" s="3" t="e">
        <f>Baru!#REF!</f>
        <v>#REF!</v>
      </c>
      <c r="J12" s="3" t="e">
        <f t="shared" si="0"/>
        <v>#REF!</v>
      </c>
      <c r="K12" s="3" t="e">
        <f t="shared" si="0"/>
        <v>#REF!</v>
      </c>
      <c r="L12" s="3" t="e">
        <f t="shared" si="1"/>
        <v>#REF!</v>
      </c>
    </row>
    <row r="13" spans="1:12" ht="18.75" customHeight="1" x14ac:dyDescent="0.25">
      <c r="A13" s="2" t="s">
        <v>3060</v>
      </c>
      <c r="B13" s="3" t="e">
        <f>Baru!#REF!</f>
        <v>#REF!</v>
      </c>
      <c r="C13" s="3" t="e">
        <f>Baru!#REF!</f>
        <v>#REF!</v>
      </c>
      <c r="D13" s="3" t="e">
        <f>Baru!#REF!</f>
        <v>#REF!</v>
      </c>
      <c r="E13" s="3" t="e">
        <f>Baru!#REF!</f>
        <v>#REF!</v>
      </c>
      <c r="F13" s="3">
        <v>0</v>
      </c>
      <c r="G13" s="3" t="e">
        <f>Baru!#REF!</f>
        <v>#REF!</v>
      </c>
      <c r="H13" s="3">
        <v>0</v>
      </c>
      <c r="I13" s="3" t="e">
        <f>Baru!#REF!</f>
        <v>#REF!</v>
      </c>
      <c r="J13" s="3" t="e">
        <f t="shared" si="0"/>
        <v>#REF!</v>
      </c>
      <c r="K13" s="3" t="e">
        <f t="shared" si="0"/>
        <v>#REF!</v>
      </c>
      <c r="L13" s="3" t="e">
        <f t="shared" si="1"/>
        <v>#REF!</v>
      </c>
    </row>
    <row r="14" spans="1:12" ht="18.75" customHeight="1" x14ac:dyDescent="0.25">
      <c r="A14" s="2" t="s">
        <v>3061</v>
      </c>
      <c r="B14" s="3">
        <v>0</v>
      </c>
      <c r="C14" s="3" t="e">
        <f>Baru!#REF!</f>
        <v>#REF!</v>
      </c>
      <c r="D14" s="3" t="e">
        <f>Baru!#REF!</f>
        <v>#REF!</v>
      </c>
      <c r="E14" s="3" t="e">
        <f>Baru!#REF!</f>
        <v>#REF!</v>
      </c>
      <c r="F14" s="3">
        <v>0</v>
      </c>
      <c r="G14" s="3" t="e">
        <f>Baru!#REF!</f>
        <v>#REF!</v>
      </c>
      <c r="H14" s="3">
        <v>0</v>
      </c>
      <c r="I14" s="3" t="e">
        <f>Baru!#REF!</f>
        <v>#REF!</v>
      </c>
      <c r="J14" s="3" t="e">
        <f>SUM(C14,E14,G14,I14)</f>
        <v>#REF!</v>
      </c>
      <c r="K14" s="3" t="e">
        <f>SUM(C14,E14,G14,I14)</f>
        <v>#REF!</v>
      </c>
      <c r="L14" s="3" t="e">
        <f t="shared" si="1"/>
        <v>#REF!</v>
      </c>
    </row>
    <row r="15" spans="1:12" ht="18.75" customHeight="1" x14ac:dyDescent="0.25">
      <c r="A15" s="2" t="s">
        <v>3062</v>
      </c>
      <c r="B15" s="3" t="e">
        <f>Baru!#REF!</f>
        <v>#REF!</v>
      </c>
      <c r="C15" s="3" t="e">
        <f>Baru!#REF!</f>
        <v>#REF!</v>
      </c>
      <c r="D15" s="3" t="e">
        <f>Baru!#REF!</f>
        <v>#REF!</v>
      </c>
      <c r="E15" s="3" t="e">
        <f>Baru!#REF!</f>
        <v>#REF!</v>
      </c>
      <c r="F15" s="3">
        <v>0</v>
      </c>
      <c r="G15" s="3" t="e">
        <f>Baru!#REF!</f>
        <v>#REF!</v>
      </c>
      <c r="H15" s="3">
        <v>0</v>
      </c>
      <c r="I15" s="3" t="e">
        <f>Baru!#REF!</f>
        <v>#REF!</v>
      </c>
      <c r="J15" s="3" t="e">
        <f>SUM(B15,D15,F15,H15)</f>
        <v>#REF!</v>
      </c>
      <c r="K15" s="3" t="e">
        <f>SUM(C15,E15,G15,I15)</f>
        <v>#REF!</v>
      </c>
      <c r="L15" s="3" t="e">
        <f t="shared" si="1"/>
        <v>#REF!</v>
      </c>
    </row>
    <row r="16" spans="1:12" ht="30.75" customHeight="1" x14ac:dyDescent="0.25">
      <c r="A16" s="2" t="s">
        <v>3035</v>
      </c>
      <c r="B16" s="2" t="e">
        <f t="shared" ref="B16:K16" si="2">SUM(B8:B15)</f>
        <v>#REF!</v>
      </c>
      <c r="C16" s="3" t="e">
        <f>Baru!#REF!</f>
        <v>#REF!</v>
      </c>
      <c r="D16" s="2" t="e">
        <f t="shared" si="2"/>
        <v>#REF!</v>
      </c>
      <c r="E16" s="2" t="e">
        <f t="shared" si="2"/>
        <v>#REF!</v>
      </c>
      <c r="F16" s="3">
        <v>0</v>
      </c>
      <c r="G16" s="2" t="e">
        <f t="shared" si="2"/>
        <v>#REF!</v>
      </c>
      <c r="H16" s="3">
        <v>0</v>
      </c>
      <c r="I16" s="2" t="e">
        <f t="shared" si="2"/>
        <v>#REF!</v>
      </c>
      <c r="J16" s="2" t="e">
        <f t="shared" si="2"/>
        <v>#REF!</v>
      </c>
      <c r="K16" s="2" t="e">
        <f t="shared" si="2"/>
        <v>#REF!</v>
      </c>
      <c r="L16" s="2" t="e">
        <f>SUM(B16,C16,D16,E16,F16,G16,H16,I16)</f>
        <v>#REF!</v>
      </c>
    </row>
    <row r="17" spans="9:12" ht="24" customHeight="1" x14ac:dyDescent="0.25"/>
    <row r="18" spans="9:12" ht="15" customHeight="1" x14ac:dyDescent="0.25">
      <c r="I18" s="1" t="s">
        <v>3063</v>
      </c>
      <c r="J18" s="10"/>
      <c r="K18" s="10"/>
    </row>
    <row r="19" spans="9:12" ht="15" customHeight="1" x14ac:dyDescent="0.25">
      <c r="I19" s="1" t="s">
        <v>3064</v>
      </c>
      <c r="J19" s="10"/>
      <c r="K19" s="10"/>
      <c r="L19" s="11"/>
    </row>
    <row r="20" spans="9:12" ht="15" customHeight="1" x14ac:dyDescent="0.25">
      <c r="I20" s="1" t="s">
        <v>3065</v>
      </c>
      <c r="J20" s="10"/>
      <c r="K20" s="10"/>
      <c r="L20" s="11"/>
    </row>
    <row r="22" spans="9:12" ht="24" customHeight="1" x14ac:dyDescent="0.25"/>
    <row r="24" spans="9:12" x14ac:dyDescent="0.25">
      <c r="I24" s="1" t="s">
        <v>3066</v>
      </c>
    </row>
    <row r="25" spans="9:12" x14ac:dyDescent="0.25">
      <c r="I25" s="1" t="s">
        <v>3067</v>
      </c>
    </row>
  </sheetData>
  <mergeCells count="9">
    <mergeCell ref="A1:L1"/>
    <mergeCell ref="A2:L2"/>
    <mergeCell ref="A3:L3"/>
    <mergeCell ref="B5:C5"/>
    <mergeCell ref="D5:E5"/>
    <mergeCell ref="F5:G5"/>
    <mergeCell ref="H5:I5"/>
    <mergeCell ref="J5:L5"/>
    <mergeCell ref="A5:A6"/>
  </mergeCells>
  <pageMargins left="0.70866141732283505" right="0.70866141732283505" top="2.7559055118110201" bottom="0.74803149606299202" header="0.31496062992126" footer="0.31496062992126"/>
  <pageSetup paperSize="9" scale="85" orientation="portrait" verticalDpi="36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1"/>
  <sheetViews>
    <sheetView workbookViewId="0">
      <selection sqref="A1:Q1"/>
    </sheetView>
  </sheetViews>
  <sheetFormatPr defaultColWidth="9.140625" defaultRowHeight="15" x14ac:dyDescent="0.25"/>
  <cols>
    <col min="1" max="1" width="13.28515625" style="1" customWidth="1"/>
    <col min="2" max="3" width="8.7109375" style="1" customWidth="1"/>
    <col min="4" max="4" width="10.85546875" style="1" customWidth="1"/>
    <col min="5" max="5" width="5.85546875" style="1" customWidth="1"/>
    <col min="6" max="6" width="8" style="1" customWidth="1"/>
    <col min="7" max="7" width="10.5703125" style="1" customWidth="1"/>
    <col min="8" max="8" width="9" style="1" customWidth="1"/>
    <col min="9" max="9" width="5" style="1" customWidth="1"/>
    <col min="10" max="10" width="9.85546875" style="1" customWidth="1"/>
    <col min="11" max="11" width="5" style="1" customWidth="1"/>
    <col min="12" max="12" width="5.28515625" style="1" customWidth="1"/>
    <col min="13" max="13" width="9.85546875" style="1" customWidth="1"/>
    <col min="14" max="14" width="5.5703125" style="1" customWidth="1"/>
    <col min="15" max="15" width="5.42578125" style="1" customWidth="1"/>
    <col min="16" max="16" width="9.7109375" style="1" customWidth="1"/>
    <col min="17" max="17" width="12.5703125" style="1" customWidth="1"/>
    <col min="18" max="16384" width="9.140625" style="1"/>
  </cols>
  <sheetData>
    <row r="1" spans="1:17" ht="18.75" x14ac:dyDescent="0.25">
      <c r="A1" s="255" t="s">
        <v>3046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</row>
    <row r="2" spans="1:17" ht="18.75" x14ac:dyDescent="0.25">
      <c r="A2" s="255" t="s">
        <v>3068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</row>
    <row r="3" spans="1:17" ht="18.75" x14ac:dyDescent="0.25">
      <c r="A3" s="255" t="s">
        <v>3069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</row>
    <row r="5" spans="1:17" x14ac:dyDescent="0.25">
      <c r="A5" s="261" t="s">
        <v>3070</v>
      </c>
      <c r="B5" s="256" t="s">
        <v>2788</v>
      </c>
      <c r="C5" s="262"/>
      <c r="D5" s="257"/>
      <c r="E5" s="256" t="s">
        <v>2907</v>
      </c>
      <c r="F5" s="262"/>
      <c r="G5" s="257"/>
      <c r="H5" s="256" t="s">
        <v>3071</v>
      </c>
      <c r="I5" s="262"/>
      <c r="J5" s="257"/>
      <c r="K5" s="256" t="s">
        <v>3072</v>
      </c>
      <c r="L5" s="262"/>
      <c r="M5" s="257"/>
      <c r="N5" s="256" t="s">
        <v>2872</v>
      </c>
      <c r="O5" s="262"/>
      <c r="P5" s="257"/>
      <c r="Q5" s="263" t="s">
        <v>3073</v>
      </c>
    </row>
    <row r="6" spans="1:17" x14ac:dyDescent="0.25">
      <c r="A6" s="261"/>
      <c r="B6" s="2" t="s">
        <v>379</v>
      </c>
      <c r="C6" s="2" t="s">
        <v>381</v>
      </c>
      <c r="D6" s="2" t="s">
        <v>3035</v>
      </c>
      <c r="E6" s="2" t="s">
        <v>379</v>
      </c>
      <c r="F6" s="2" t="s">
        <v>381</v>
      </c>
      <c r="G6" s="2" t="s">
        <v>3035</v>
      </c>
      <c r="H6" s="2" t="s">
        <v>379</v>
      </c>
      <c r="I6" s="2" t="s">
        <v>381</v>
      </c>
      <c r="J6" s="2" t="s">
        <v>3035</v>
      </c>
      <c r="K6" s="2" t="s">
        <v>379</v>
      </c>
      <c r="L6" s="2" t="s">
        <v>381</v>
      </c>
      <c r="M6" s="2" t="s">
        <v>3035</v>
      </c>
      <c r="N6" s="2" t="s">
        <v>379</v>
      </c>
      <c r="O6" s="2" t="s">
        <v>381</v>
      </c>
      <c r="P6" s="2" t="s">
        <v>3035</v>
      </c>
      <c r="Q6" s="264"/>
    </row>
    <row r="7" spans="1:17" ht="28.5" customHeight="1" x14ac:dyDescent="0.25">
      <c r="A7" s="2" t="s">
        <v>3074</v>
      </c>
      <c r="B7" s="3">
        <f>Baru!AC1691</f>
        <v>0</v>
      </c>
      <c r="C7" s="3">
        <f>Baru!AC1692</f>
        <v>0</v>
      </c>
      <c r="D7" s="4">
        <f>SUM(B7:C7)</f>
        <v>0</v>
      </c>
      <c r="E7" s="3">
        <f>Baru!AC1699</f>
        <v>0</v>
      </c>
      <c r="F7" s="3" t="e">
        <f>Baru!#REF!</f>
        <v>#REF!</v>
      </c>
      <c r="G7" s="4" t="e">
        <f>SUM(E7:F7)</f>
        <v>#REF!</v>
      </c>
      <c r="H7" s="3">
        <f>Baru!AC1706</f>
        <v>0</v>
      </c>
      <c r="I7" s="3">
        <f>Baru!AC1707</f>
        <v>0</v>
      </c>
      <c r="J7" s="4">
        <f>SUM(H7:I7)</f>
        <v>0</v>
      </c>
      <c r="K7" s="3">
        <f>Baru!AC1714</f>
        <v>0</v>
      </c>
      <c r="L7" s="3">
        <f>Baru!AC1715</f>
        <v>0</v>
      </c>
      <c r="M7" s="4">
        <f>SUM(K7:L7)</f>
        <v>0</v>
      </c>
      <c r="N7" s="3">
        <v>0</v>
      </c>
      <c r="O7" s="3">
        <v>0</v>
      </c>
      <c r="P7" s="4">
        <f>SUM(N7:O7)</f>
        <v>0</v>
      </c>
      <c r="Q7" s="2" t="e">
        <f>SUM(D7,G7,J7,M7)</f>
        <v>#REF!</v>
      </c>
    </row>
    <row r="8" spans="1:17" ht="28.5" customHeight="1" x14ac:dyDescent="0.25">
      <c r="A8" s="2" t="s">
        <v>2789</v>
      </c>
      <c r="B8" s="5">
        <f>Baru!AC1693</f>
        <v>0</v>
      </c>
      <c r="C8" s="6">
        <f>Baru!AC1694</f>
        <v>0</v>
      </c>
      <c r="D8" s="4">
        <f>SUM(B8:C8)</f>
        <v>0</v>
      </c>
      <c r="E8" s="3">
        <f>Baru!AC1700</f>
        <v>0</v>
      </c>
      <c r="F8" s="3">
        <f>Baru!AC1701</f>
        <v>0</v>
      </c>
      <c r="G8" s="4">
        <f>SUM(E8:F8)</f>
        <v>0</v>
      </c>
      <c r="H8" s="3" t="e">
        <f>Baru!#REF!</f>
        <v>#REF!</v>
      </c>
      <c r="I8" s="3">
        <f>Baru!AC1709</f>
        <v>0</v>
      </c>
      <c r="J8" s="4" t="e">
        <f>SUM(H8:I8)</f>
        <v>#REF!</v>
      </c>
      <c r="K8" s="3">
        <f>Baru!AC1716</f>
        <v>0</v>
      </c>
      <c r="L8" s="3">
        <f>Baru!AC1717</f>
        <v>0</v>
      </c>
      <c r="M8" s="4">
        <f>SUM(K8:L8)</f>
        <v>0</v>
      </c>
      <c r="N8" s="3">
        <v>0</v>
      </c>
      <c r="O8" s="3">
        <v>0</v>
      </c>
      <c r="P8" s="4">
        <f>SUM(N8:O8)</f>
        <v>0</v>
      </c>
      <c r="Q8" s="2" t="e">
        <f>SUM(D8,G8,J8,M8,P8)</f>
        <v>#REF!</v>
      </c>
    </row>
    <row r="9" spans="1:17" ht="28.5" customHeight="1" x14ac:dyDescent="0.25">
      <c r="A9" s="2" t="s">
        <v>3075</v>
      </c>
      <c r="B9" s="3">
        <f>Baru!AC1695</f>
        <v>0</v>
      </c>
      <c r="C9" s="3">
        <f>Baru!AC1696</f>
        <v>0</v>
      </c>
      <c r="D9" s="4">
        <f>SUM(B9:C9)</f>
        <v>0</v>
      </c>
      <c r="E9" s="3">
        <f>Baru!AC1702</f>
        <v>0</v>
      </c>
      <c r="F9" s="3">
        <f>Baru!AC1703</f>
        <v>0</v>
      </c>
      <c r="G9" s="4">
        <f>SUM(E9:F9)</f>
        <v>0</v>
      </c>
      <c r="H9" s="3">
        <f>Baru!AC1710</f>
        <v>0</v>
      </c>
      <c r="I9" s="3">
        <f>Baru!AC1711</f>
        <v>0</v>
      </c>
      <c r="J9" s="4">
        <f>SUM(H9:I9)</f>
        <v>0</v>
      </c>
      <c r="K9" s="3">
        <f>Baru!AC1718</f>
        <v>0</v>
      </c>
      <c r="L9" s="3">
        <f>Baru!AC1719</f>
        <v>0</v>
      </c>
      <c r="M9" s="4">
        <f>SUM(K9:L9)</f>
        <v>0</v>
      </c>
      <c r="N9" s="3">
        <v>0</v>
      </c>
      <c r="O9" s="3">
        <v>0</v>
      </c>
      <c r="P9" s="4">
        <f>SUM(N9:O9)</f>
        <v>0</v>
      </c>
      <c r="Q9" s="2">
        <f>SUM(D9,G9,J9,M9,P9)</f>
        <v>0</v>
      </c>
    </row>
    <row r="10" spans="1:17" ht="28.5" customHeight="1" x14ac:dyDescent="0.25">
      <c r="A10" s="2" t="s">
        <v>3076</v>
      </c>
      <c r="B10" s="3">
        <f>Baru!AC1697</f>
        <v>0</v>
      </c>
      <c r="C10" s="3">
        <f>Baru!AC1698</f>
        <v>0</v>
      </c>
      <c r="D10" s="4">
        <f>SUM(B10:C10)</f>
        <v>0</v>
      </c>
      <c r="E10" s="3">
        <f>Baru!AC1704</f>
        <v>0</v>
      </c>
      <c r="F10" s="3">
        <f>Baru!AC1705</f>
        <v>0</v>
      </c>
      <c r="G10" s="4">
        <f>SUM(E10:F10)</f>
        <v>0</v>
      </c>
      <c r="H10" s="3">
        <f>Baru!AC1712</f>
        <v>0</v>
      </c>
      <c r="I10" s="3">
        <f>Baru!AC1713</f>
        <v>0</v>
      </c>
      <c r="J10" s="4">
        <f>SUM(H10:I10)</f>
        <v>0</v>
      </c>
      <c r="K10" s="3" t="e">
        <f>Baru!#REF!</f>
        <v>#REF!</v>
      </c>
      <c r="L10" s="3">
        <f>Baru!AC1720</f>
        <v>0</v>
      </c>
      <c r="M10" s="4" t="e">
        <f>SUM(K10:L10)</f>
        <v>#REF!</v>
      </c>
      <c r="N10" s="3">
        <v>0</v>
      </c>
      <c r="O10" s="3">
        <v>0</v>
      </c>
      <c r="P10" s="4">
        <f>SUM(N10:O10)</f>
        <v>0</v>
      </c>
      <c r="Q10" s="2" t="e">
        <f>SUM(D10,G10,J10,M10,P10)</f>
        <v>#REF!</v>
      </c>
    </row>
    <row r="11" spans="1:17" ht="28.5" customHeight="1" x14ac:dyDescent="0.25">
      <c r="A11" s="7" t="s">
        <v>3035</v>
      </c>
      <c r="B11" s="8">
        <f>SUM(B7:B10)</f>
        <v>0</v>
      </c>
      <c r="C11" s="8">
        <f>SUM(C7:C10)</f>
        <v>0</v>
      </c>
      <c r="D11" s="9">
        <f>SUM(D7:D10)</f>
        <v>0</v>
      </c>
      <c r="E11" s="8">
        <f>SUM(E7:E10)</f>
        <v>0</v>
      </c>
      <c r="F11" s="8" t="e">
        <f>SUM(F7:F10)</f>
        <v>#REF!</v>
      </c>
      <c r="G11" s="9" t="e">
        <f t="shared" ref="G11:L11" si="0">SUM(G7:G10)</f>
        <v>#REF!</v>
      </c>
      <c r="H11" s="8" t="e">
        <f t="shared" si="0"/>
        <v>#REF!</v>
      </c>
      <c r="I11" s="8">
        <f t="shared" si="0"/>
        <v>0</v>
      </c>
      <c r="J11" s="9" t="e">
        <f t="shared" si="0"/>
        <v>#REF!</v>
      </c>
      <c r="K11" s="8" t="e">
        <f t="shared" si="0"/>
        <v>#REF!</v>
      </c>
      <c r="L11" s="8">
        <f t="shared" si="0"/>
        <v>0</v>
      </c>
      <c r="M11" s="4" t="e">
        <f>SUM(K11:L11)</f>
        <v>#REF!</v>
      </c>
      <c r="N11" s="8">
        <f>SUM(N7:N10)</f>
        <v>0</v>
      </c>
      <c r="O11" s="8">
        <f>SUM(O7:O10)</f>
        <v>0</v>
      </c>
      <c r="P11" s="4">
        <f>SUM(N11:O11)</f>
        <v>0</v>
      </c>
      <c r="Q11" s="9" t="e">
        <f>SUM(D11,G11,J11,P11,M11)</f>
        <v>#REF!</v>
      </c>
    </row>
    <row r="12" spans="1:17" ht="24.75" customHeight="1" x14ac:dyDescent="0.25"/>
    <row r="13" spans="1:17" ht="15" customHeight="1" x14ac:dyDescent="0.25">
      <c r="M13" s="1" t="s">
        <v>3063</v>
      </c>
      <c r="O13" s="10"/>
      <c r="P13" s="10"/>
    </row>
    <row r="14" spans="1:17" ht="15" customHeight="1" x14ac:dyDescent="0.25">
      <c r="M14" s="1" t="s">
        <v>3064</v>
      </c>
      <c r="O14" s="10"/>
      <c r="P14" s="10"/>
      <c r="Q14" s="11"/>
    </row>
    <row r="15" spans="1:17" ht="15" customHeight="1" x14ac:dyDescent="0.25">
      <c r="M15" s="1" t="s">
        <v>3065</v>
      </c>
      <c r="O15" s="10"/>
      <c r="P15" s="10"/>
      <c r="Q15" s="11"/>
    </row>
    <row r="18" spans="13:13" ht="24.75" customHeight="1" x14ac:dyDescent="0.25"/>
    <row r="20" spans="13:13" x14ac:dyDescent="0.25">
      <c r="M20" s="1" t="s">
        <v>3066</v>
      </c>
    </row>
    <row r="21" spans="13:13" x14ac:dyDescent="0.25">
      <c r="M21" s="1" t="s">
        <v>3067</v>
      </c>
    </row>
  </sheetData>
  <mergeCells count="10">
    <mergeCell ref="A1:Q1"/>
    <mergeCell ref="A2:Q2"/>
    <mergeCell ref="A3:Q3"/>
    <mergeCell ref="B5:D5"/>
    <mergeCell ref="E5:G5"/>
    <mergeCell ref="H5:J5"/>
    <mergeCell ref="K5:M5"/>
    <mergeCell ref="N5:P5"/>
    <mergeCell ref="A5:A6"/>
    <mergeCell ref="Q5:Q6"/>
  </mergeCells>
  <pageMargins left="0.64" right="0.35" top="0.74803149606299202" bottom="0.74803149606299202" header="0.31496062992126" footer="0.31496062992126"/>
  <pageSetup paperSize="9" orientation="landscape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Short NIS</vt:lpstr>
      <vt:lpstr>Baru NIS</vt:lpstr>
      <vt:lpstr>Klaper</vt:lpstr>
      <vt:lpstr>Baru</vt:lpstr>
      <vt:lpstr>Harian</vt:lpstr>
      <vt:lpstr>Print</vt:lpstr>
      <vt:lpstr>Absen Kehadiran</vt:lpstr>
      <vt:lpstr>Penerimaan Ijazah</vt:lpstr>
      <vt:lpstr>Data Lulusan</vt:lpstr>
      <vt:lpstr>Rekap Usia</vt:lpstr>
      <vt:lpstr>Rekap Agama</vt:lpstr>
      <vt:lpstr>'Absen Kehadiran'!Print_Area</vt:lpstr>
      <vt:lpstr>Baru!Print_Area</vt:lpstr>
      <vt:lpstr>Harian!Print_Area</vt:lpstr>
      <vt:lpstr>Klaper!Print_Area</vt:lpstr>
      <vt:lpstr>'Penerimaan Ijazah'!Print_Area</vt:lpstr>
      <vt:lpstr>Print!Print_Area</vt:lpstr>
      <vt:lpstr>'Rekap Agama'!Print_Area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B40</dc:creator>
  <cp:lastModifiedBy>USER</cp:lastModifiedBy>
  <cp:lastPrinted>2025-07-22T07:01:53Z</cp:lastPrinted>
  <dcterms:created xsi:type="dcterms:W3CDTF">2017-07-12T12:48:00Z</dcterms:created>
  <dcterms:modified xsi:type="dcterms:W3CDTF">2025-07-24T04:28:41Z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9ED0C30BC44E4FF7ACB3CB7DA8F5395B</vt:lpwstr>
  </property>
  <property fmtid="{D5CDD505-2E9C-101B-9397-08002B2CF9AE}" pid="3" name="KSOProductBuildVer">
    <vt:lpwstr>1033-11.2.0.11537</vt:lpwstr>
  </property>
</Properties>
</file>