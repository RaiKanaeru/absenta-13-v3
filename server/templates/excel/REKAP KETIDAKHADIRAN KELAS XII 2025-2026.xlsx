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II KA 1" sheetId="1" r:id="rId4"/>
    <sheet state="visible" name="XII KA 2" sheetId="2" r:id="rId5"/>
    <sheet state="visible" name="XII KA 3" sheetId="3" r:id="rId6"/>
    <sheet state="visible" name="XII KA 4" sheetId="4" r:id="rId7"/>
    <sheet state="visible" name="XII KA 5" sheetId="5" r:id="rId8"/>
    <sheet state="visible" name="XII KA 6" sheetId="6" r:id="rId9"/>
    <sheet state="visible" name="XII TKJ 1" sheetId="7" r:id="rId10"/>
    <sheet state="visible" name="XII TKJ 2" sheetId="8" r:id="rId11"/>
    <sheet state="visible" name="XII TKJ 3" sheetId="9" r:id="rId12"/>
    <sheet state="visible" name="XII RPL 1" sheetId="10" r:id="rId13"/>
    <sheet state="visible" name="XII RPL 2" sheetId="11" r:id="rId14"/>
  </sheets>
  <definedNames/>
  <calcPr/>
  <extLst>
    <ext uri="GoogleSheetsCustomDataVersion2">
      <go:sheetsCustomData xmlns:go="http://customooxmlschemas.google.com/" r:id="rId15" roundtripDataChecksum="l4ooGGZRhapxnbNJLpprb0NuYYuh6WBCw4Ci0qOa2Cw="/>
    </ext>
  </extLst>
</workbook>
</file>

<file path=xl/sharedStrings.xml><?xml version="1.0" encoding="utf-8"?>
<sst xmlns="http://schemas.openxmlformats.org/spreadsheetml/2006/main" count="649" uniqueCount="106">
  <si>
    <t xml:space="preserve"> KA 1</t>
  </si>
  <si>
    <t>SMK NEGERI 13 BANDUNG</t>
  </si>
  <si>
    <t>TAHUN PELAJARAN 2025-2026</t>
  </si>
  <si>
    <t>KELAS</t>
  </si>
  <si>
    <t>: XII KA 1</t>
  </si>
  <si>
    <t>NAMA WALI KELAS</t>
  </si>
  <si>
    <t>:</t>
  </si>
  <si>
    <t>NO.</t>
  </si>
  <si>
    <t>NIS/NISN</t>
  </si>
  <si>
    <t>NAMA PESERTA DIDIK</t>
  </si>
  <si>
    <t>L/P</t>
  </si>
  <si>
    <t>JUMLAH KETIDAKHADIRAN PESERTA DIDIK</t>
  </si>
  <si>
    <t>JUMLAH TOTAL</t>
  </si>
  <si>
    <t>JUMLAH TIDAK HADIR (%)</t>
  </si>
  <si>
    <t>JUMLAH PROSENTASE HADIR (%)</t>
  </si>
  <si>
    <t>JULI</t>
  </si>
  <si>
    <t>AGUSTUS</t>
  </si>
  <si>
    <t>SEPTEMBER</t>
  </si>
  <si>
    <t>OKTOBER</t>
  </si>
  <si>
    <t>NOVEMBER</t>
  </si>
  <si>
    <t>DESEMBER</t>
  </si>
  <si>
    <t>S</t>
  </si>
  <si>
    <t>I</t>
  </si>
  <si>
    <t>A</t>
  </si>
  <si>
    <t>JML</t>
  </si>
  <si>
    <t>RATA-RATA</t>
  </si>
  <si>
    <t>PERSENTASE KETIDAKHADIRAN PESERTA DIDIK</t>
  </si>
  <si>
    <t>: XII KA 2</t>
  </si>
  <si>
    <t>: XII KA 3</t>
  </si>
  <si>
    <t>: XII KA 4</t>
  </si>
  <si>
    <t>: XII KA 5</t>
  </si>
  <si>
    <t>: XII KA 6</t>
  </si>
  <si>
    <t>: XII TKJ 1</t>
  </si>
  <si>
    <t>: XII TKJ 2</t>
  </si>
  <si>
    <t>: XII TKJ 3</t>
  </si>
  <si>
    <t>: XII RPL 1</t>
  </si>
  <si>
    <t>: XII RPL 2</t>
  </si>
  <si>
    <t>: Indira Sari Paputungan</t>
  </si>
  <si>
    <t>102318990/0085340711</t>
  </si>
  <si>
    <t>Adit Rahmat Hidayat</t>
  </si>
  <si>
    <t>L</t>
  </si>
  <si>
    <t>102318991/0088510176</t>
  </si>
  <si>
    <t>Adly Febrian</t>
  </si>
  <si>
    <t>102318992/0086406839</t>
  </si>
  <si>
    <t>Alya Mutia Zahra</t>
  </si>
  <si>
    <t>P</t>
  </si>
  <si>
    <t>102318993/0076496453</t>
  </si>
  <si>
    <t>Bagus Setiawan</t>
  </si>
  <si>
    <t>102318994/0076749939</t>
  </si>
  <si>
    <t>Daffa Ghalib Nur Fauzan</t>
  </si>
  <si>
    <t>102318995/0078492820</t>
  </si>
  <si>
    <t>Destia Dwi Anggraeni</t>
  </si>
  <si>
    <t>102318996/0074325501</t>
  </si>
  <si>
    <t>Diaz Muhamad Arkaan S</t>
  </si>
  <si>
    <t>102318997/0071977413</t>
  </si>
  <si>
    <t>Dzakwan Naharezka Pasha</t>
  </si>
  <si>
    <t>102318998/0083206263</t>
  </si>
  <si>
    <t>Fa'iq Halul Danendra</t>
  </si>
  <si>
    <t>102318999/0089020959</t>
  </si>
  <si>
    <t>Faiza Rahman Ghani</t>
  </si>
  <si>
    <t>102319000/0075828721</t>
  </si>
  <si>
    <t>Fitria Ramadani</t>
  </si>
  <si>
    <t>102319001/0086107477</t>
  </si>
  <si>
    <t>Khansa Khairunnisa</t>
  </si>
  <si>
    <t>102319002/0079066763</t>
  </si>
  <si>
    <t>Maritza Rievani Wibowo</t>
  </si>
  <si>
    <t>102319003/3084332395</t>
  </si>
  <si>
    <t>Messi Anastasya</t>
  </si>
  <si>
    <t>102319004/0088938197</t>
  </si>
  <si>
    <t>Mizwar Adiarsa</t>
  </si>
  <si>
    <t>102319005/0072069739</t>
  </si>
  <si>
    <t>Mochamad Dendra Dwi P</t>
  </si>
  <si>
    <t>102319006/0082713327</t>
  </si>
  <si>
    <t>Muhamad Farhan Fadilah</t>
  </si>
  <si>
    <t>102319007/0077256308</t>
  </si>
  <si>
    <t>Muhamad Firdaus Al Ghajali</t>
  </si>
  <si>
    <t>102319008/0086816679</t>
  </si>
  <si>
    <t>Muhammad Billal Nurfildan</t>
  </si>
  <si>
    <t>102319009/0096116251</t>
  </si>
  <si>
    <t>Muhammad Ilham Hizam</t>
  </si>
  <si>
    <t>102319010/0088708948</t>
  </si>
  <si>
    <t>Muhammad Nasywan M</t>
  </si>
  <si>
    <t>102319012/0079232180</t>
  </si>
  <si>
    <t>Nanda Ahmad Nurshidiq</t>
  </si>
  <si>
    <t>102319013/0075058906</t>
  </si>
  <si>
    <t>Nayla Azka Fatima Soehaya</t>
  </si>
  <si>
    <t>102319014/0086108172</t>
  </si>
  <si>
    <t>Nazwa Azzahra</t>
  </si>
  <si>
    <t>102319015/0072358122</t>
  </si>
  <si>
    <t>Raihan Fadhlurrasyad</t>
  </si>
  <si>
    <t>102319016/0075976833</t>
  </si>
  <si>
    <t>Rakha Putra Ridwan</t>
  </si>
  <si>
    <t>102319018/0076723923</t>
  </si>
  <si>
    <t>Reykisha Rytzkayla Rizalia</t>
  </si>
  <si>
    <t>102319019/0084628722</t>
  </si>
  <si>
    <t>Reysa Anggraeni</t>
  </si>
  <si>
    <t>102319020/0085067732</t>
  </si>
  <si>
    <t>Rival Kholqi Fajduani</t>
  </si>
  <si>
    <t>102319021/0072275251</t>
  </si>
  <si>
    <t>Salsabila Apriliani Subarni</t>
  </si>
  <si>
    <t>102319023/0087528383</t>
  </si>
  <si>
    <t>Selbinurif Alfaka</t>
  </si>
  <si>
    <t>102319024/0061965192</t>
  </si>
  <si>
    <t>Setiawan Dwi Febrianto</t>
  </si>
  <si>
    <t>102319025/0087700522</t>
  </si>
  <si>
    <t>Verel Keefi Alie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</si>
</sst>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3" numFmtId="0" xfId="0" applyAlignment="1" applyBorder="1" applyFont="1">
      <alignment horizontal="center" vertical="center"/>
    </xf>
    <xf borderId="13" fillId="2" fontId="3" numFmtId="0" xfId="0" applyAlignment="1" applyBorder="1" applyFill="1" applyFont="1">
      <alignment horizontal="center" vertical="center"/>
    </xf>
    <xf borderId="13" fillId="2" fontId="3" numFmtId="0" xfId="0" applyAlignment="1" applyBorder="1" applyFont="1">
      <alignment horizontal="center"/>
    </xf>
    <xf borderId="13" fillId="0" fontId="3" numFmtId="0" xfId="0" applyAlignment="1" applyBorder="1" applyFont="1">
      <alignment horizontal="center"/>
    </xf>
    <xf borderId="13" fillId="0" fontId="3" numFmtId="0" xfId="0" applyBorder="1" applyFont="1"/>
    <xf borderId="13" fillId="2" fontId="3" numFmtId="0" xfId="0" applyAlignment="1" applyBorder="1" applyFont="1">
      <alignment horizontal="center" vertical="bottom"/>
    </xf>
    <xf borderId="13" fillId="0" fontId="3" numFmtId="2" xfId="0" applyAlignment="1" applyBorder="1" applyFont="1" applyNumberFormat="1">
      <alignment horizontal="center"/>
    </xf>
    <xf borderId="2" fillId="0" fontId="2" numFmtId="0" xfId="0" applyAlignment="1" applyBorder="1" applyFont="1">
      <alignment horizontal="right"/>
    </xf>
    <xf borderId="13" fillId="0" fontId="5" numFmtId="0" xfId="0" applyBorder="1" applyFont="1"/>
    <xf borderId="13" fillId="0" fontId="2" numFmtId="2" xfId="0" applyAlignment="1" applyBorder="1" applyFont="1" applyNumberFormat="1">
      <alignment horizontal="center"/>
    </xf>
    <xf borderId="13" fillId="0" fontId="3" numFmtId="0" xfId="0" applyAlignment="1" applyBorder="1" applyFont="1">
      <alignment readingOrder="0"/>
    </xf>
    <xf borderId="13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4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22</v>
      </c>
      <c r="G10" s="18" t="s">
        <v>23</v>
      </c>
      <c r="H10" s="19" t="s">
        <v>24</v>
      </c>
      <c r="I10" s="18" t="s">
        <v>21</v>
      </c>
      <c r="J10" s="18" t="s">
        <v>22</v>
      </c>
      <c r="K10" s="18" t="s">
        <v>23</v>
      </c>
      <c r="L10" s="19" t="s">
        <v>24</v>
      </c>
      <c r="M10" s="18" t="s">
        <v>21</v>
      </c>
      <c r="N10" s="18" t="s">
        <v>22</v>
      </c>
      <c r="O10" s="18" t="s">
        <v>23</v>
      </c>
      <c r="P10" s="20" t="s">
        <v>24</v>
      </c>
      <c r="Q10" s="18" t="s">
        <v>21</v>
      </c>
      <c r="R10" s="18" t="s">
        <v>22</v>
      </c>
      <c r="S10" s="18" t="s">
        <v>23</v>
      </c>
      <c r="T10" s="20" t="s">
        <v>24</v>
      </c>
      <c r="U10" s="18" t="s">
        <v>21</v>
      </c>
      <c r="V10" s="18" t="s">
        <v>22</v>
      </c>
      <c r="W10" s="18" t="s">
        <v>23</v>
      </c>
      <c r="X10" s="20" t="s">
        <v>24</v>
      </c>
      <c r="Y10" s="18" t="s">
        <v>21</v>
      </c>
      <c r="Z10" s="18" t="s">
        <v>22</v>
      </c>
      <c r="AA10" s="18" t="s">
        <v>23</v>
      </c>
      <c r="AB10" s="20" t="s">
        <v>24</v>
      </c>
      <c r="AC10" s="18" t="s">
        <v>21</v>
      </c>
      <c r="AD10" s="18" t="s">
        <v>22</v>
      </c>
      <c r="AE10" s="18" t="s">
        <v>23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26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27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22</v>
      </c>
      <c r="G10" s="18" t="s">
        <v>23</v>
      </c>
      <c r="H10" s="19" t="s">
        <v>24</v>
      </c>
      <c r="I10" s="18" t="s">
        <v>21</v>
      </c>
      <c r="J10" s="18" t="s">
        <v>22</v>
      </c>
      <c r="K10" s="18" t="s">
        <v>23</v>
      </c>
      <c r="L10" s="19" t="s">
        <v>24</v>
      </c>
      <c r="M10" s="18" t="s">
        <v>21</v>
      </c>
      <c r="N10" s="18" t="s">
        <v>22</v>
      </c>
      <c r="O10" s="18" t="s">
        <v>23</v>
      </c>
      <c r="P10" s="20" t="s">
        <v>24</v>
      </c>
      <c r="Q10" s="18" t="s">
        <v>21</v>
      </c>
      <c r="R10" s="18" t="s">
        <v>22</v>
      </c>
      <c r="S10" s="18" t="s">
        <v>23</v>
      </c>
      <c r="T10" s="20" t="s">
        <v>24</v>
      </c>
      <c r="U10" s="18" t="s">
        <v>21</v>
      </c>
      <c r="V10" s="18" t="s">
        <v>22</v>
      </c>
      <c r="W10" s="18" t="s">
        <v>23</v>
      </c>
      <c r="X10" s="20" t="s">
        <v>24</v>
      </c>
      <c r="Y10" s="18" t="s">
        <v>21</v>
      </c>
      <c r="Z10" s="18" t="s">
        <v>22</v>
      </c>
      <c r="AA10" s="18" t="s">
        <v>23</v>
      </c>
      <c r="AB10" s="20" t="s">
        <v>24</v>
      </c>
      <c r="AC10" s="18" t="s">
        <v>21</v>
      </c>
      <c r="AD10" s="18" t="s">
        <v>22</v>
      </c>
      <c r="AE10" s="18" t="s">
        <v>23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26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28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22</v>
      </c>
      <c r="G10" s="18" t="s">
        <v>23</v>
      </c>
      <c r="H10" s="19" t="s">
        <v>24</v>
      </c>
      <c r="I10" s="18" t="s">
        <v>21</v>
      </c>
      <c r="J10" s="18" t="s">
        <v>22</v>
      </c>
      <c r="K10" s="18" t="s">
        <v>23</v>
      </c>
      <c r="L10" s="19" t="s">
        <v>24</v>
      </c>
      <c r="M10" s="18" t="s">
        <v>21</v>
      </c>
      <c r="N10" s="18" t="s">
        <v>22</v>
      </c>
      <c r="O10" s="18" t="s">
        <v>23</v>
      </c>
      <c r="P10" s="20" t="s">
        <v>24</v>
      </c>
      <c r="Q10" s="18" t="s">
        <v>21</v>
      </c>
      <c r="R10" s="18" t="s">
        <v>22</v>
      </c>
      <c r="S10" s="18" t="s">
        <v>23</v>
      </c>
      <c r="T10" s="20" t="s">
        <v>24</v>
      </c>
      <c r="U10" s="18" t="s">
        <v>21</v>
      </c>
      <c r="V10" s="18" t="s">
        <v>22</v>
      </c>
      <c r="W10" s="18" t="s">
        <v>23</v>
      </c>
      <c r="X10" s="20" t="s">
        <v>24</v>
      </c>
      <c r="Y10" s="18" t="s">
        <v>21</v>
      </c>
      <c r="Z10" s="18" t="s">
        <v>22</v>
      </c>
      <c r="AA10" s="18" t="s">
        <v>23</v>
      </c>
      <c r="AB10" s="20" t="s">
        <v>24</v>
      </c>
      <c r="AC10" s="18" t="s">
        <v>21</v>
      </c>
      <c r="AD10" s="18" t="s">
        <v>22</v>
      </c>
      <c r="AE10" s="18" t="s">
        <v>23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26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29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22</v>
      </c>
      <c r="G10" s="18" t="s">
        <v>23</v>
      </c>
      <c r="H10" s="19" t="s">
        <v>24</v>
      </c>
      <c r="I10" s="18" t="s">
        <v>21</v>
      </c>
      <c r="J10" s="18" t="s">
        <v>22</v>
      </c>
      <c r="K10" s="18" t="s">
        <v>23</v>
      </c>
      <c r="L10" s="19" t="s">
        <v>24</v>
      </c>
      <c r="M10" s="18" t="s">
        <v>21</v>
      </c>
      <c r="N10" s="18" t="s">
        <v>22</v>
      </c>
      <c r="O10" s="18" t="s">
        <v>23</v>
      </c>
      <c r="P10" s="20" t="s">
        <v>24</v>
      </c>
      <c r="Q10" s="18" t="s">
        <v>21</v>
      </c>
      <c r="R10" s="18" t="s">
        <v>22</v>
      </c>
      <c r="S10" s="18" t="s">
        <v>23</v>
      </c>
      <c r="T10" s="20" t="s">
        <v>24</v>
      </c>
      <c r="U10" s="18" t="s">
        <v>21</v>
      </c>
      <c r="V10" s="18" t="s">
        <v>22</v>
      </c>
      <c r="W10" s="18" t="s">
        <v>23</v>
      </c>
      <c r="X10" s="20" t="s">
        <v>24</v>
      </c>
      <c r="Y10" s="18" t="s">
        <v>21</v>
      </c>
      <c r="Z10" s="18" t="s">
        <v>22</v>
      </c>
      <c r="AA10" s="18" t="s">
        <v>23</v>
      </c>
      <c r="AB10" s="20" t="s">
        <v>24</v>
      </c>
      <c r="AC10" s="18" t="s">
        <v>21</v>
      </c>
      <c r="AD10" s="18" t="s">
        <v>22</v>
      </c>
      <c r="AE10" s="18" t="s">
        <v>23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26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30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22</v>
      </c>
      <c r="G10" s="18" t="s">
        <v>23</v>
      </c>
      <c r="H10" s="19" t="s">
        <v>24</v>
      </c>
      <c r="I10" s="18" t="s">
        <v>21</v>
      </c>
      <c r="J10" s="18" t="s">
        <v>22</v>
      </c>
      <c r="K10" s="18" t="s">
        <v>23</v>
      </c>
      <c r="L10" s="19" t="s">
        <v>24</v>
      </c>
      <c r="M10" s="18" t="s">
        <v>21</v>
      </c>
      <c r="N10" s="18" t="s">
        <v>22</v>
      </c>
      <c r="O10" s="18" t="s">
        <v>23</v>
      </c>
      <c r="P10" s="20" t="s">
        <v>24</v>
      </c>
      <c r="Q10" s="18" t="s">
        <v>21</v>
      </c>
      <c r="R10" s="18" t="s">
        <v>22</v>
      </c>
      <c r="S10" s="18" t="s">
        <v>23</v>
      </c>
      <c r="T10" s="20" t="s">
        <v>24</v>
      </c>
      <c r="U10" s="18" t="s">
        <v>21</v>
      </c>
      <c r="V10" s="18" t="s">
        <v>22</v>
      </c>
      <c r="W10" s="18" t="s">
        <v>23</v>
      </c>
      <c r="X10" s="20" t="s">
        <v>24</v>
      </c>
      <c r="Y10" s="18" t="s">
        <v>21</v>
      </c>
      <c r="Z10" s="18" t="s">
        <v>22</v>
      </c>
      <c r="AA10" s="18" t="s">
        <v>23</v>
      </c>
      <c r="AB10" s="20" t="s">
        <v>24</v>
      </c>
      <c r="AC10" s="18" t="s">
        <v>21</v>
      </c>
      <c r="AD10" s="18" t="s">
        <v>22</v>
      </c>
      <c r="AE10" s="18" t="s">
        <v>23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26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31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22</v>
      </c>
      <c r="G10" s="18" t="s">
        <v>23</v>
      </c>
      <c r="H10" s="19" t="s">
        <v>24</v>
      </c>
      <c r="I10" s="18" t="s">
        <v>21</v>
      </c>
      <c r="J10" s="18" t="s">
        <v>22</v>
      </c>
      <c r="K10" s="18" t="s">
        <v>23</v>
      </c>
      <c r="L10" s="19" t="s">
        <v>24</v>
      </c>
      <c r="M10" s="18" t="s">
        <v>21</v>
      </c>
      <c r="N10" s="18" t="s">
        <v>22</v>
      </c>
      <c r="O10" s="18" t="s">
        <v>23</v>
      </c>
      <c r="P10" s="20" t="s">
        <v>24</v>
      </c>
      <c r="Q10" s="18" t="s">
        <v>21</v>
      </c>
      <c r="R10" s="18" t="s">
        <v>22</v>
      </c>
      <c r="S10" s="18" t="s">
        <v>23</v>
      </c>
      <c r="T10" s="20" t="s">
        <v>24</v>
      </c>
      <c r="U10" s="18" t="s">
        <v>21</v>
      </c>
      <c r="V10" s="18" t="s">
        <v>22</v>
      </c>
      <c r="W10" s="18" t="s">
        <v>23</v>
      </c>
      <c r="X10" s="20" t="s">
        <v>24</v>
      </c>
      <c r="Y10" s="18" t="s">
        <v>21</v>
      </c>
      <c r="Z10" s="18" t="s">
        <v>22</v>
      </c>
      <c r="AA10" s="18" t="s">
        <v>23</v>
      </c>
      <c r="AB10" s="20" t="s">
        <v>24</v>
      </c>
      <c r="AC10" s="18" t="s">
        <v>21</v>
      </c>
      <c r="AD10" s="18" t="s">
        <v>22</v>
      </c>
      <c r="AE10" s="18" t="s">
        <v>23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26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32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22</v>
      </c>
      <c r="G10" s="18" t="s">
        <v>23</v>
      </c>
      <c r="H10" s="19" t="s">
        <v>24</v>
      </c>
      <c r="I10" s="18" t="s">
        <v>21</v>
      </c>
      <c r="J10" s="18" t="s">
        <v>22</v>
      </c>
      <c r="K10" s="18" t="s">
        <v>23</v>
      </c>
      <c r="L10" s="19" t="s">
        <v>24</v>
      </c>
      <c r="M10" s="18" t="s">
        <v>21</v>
      </c>
      <c r="N10" s="18" t="s">
        <v>22</v>
      </c>
      <c r="O10" s="18" t="s">
        <v>23</v>
      </c>
      <c r="P10" s="20" t="s">
        <v>24</v>
      </c>
      <c r="Q10" s="18" t="s">
        <v>21</v>
      </c>
      <c r="R10" s="18" t="s">
        <v>22</v>
      </c>
      <c r="S10" s="18" t="s">
        <v>23</v>
      </c>
      <c r="T10" s="20" t="s">
        <v>24</v>
      </c>
      <c r="U10" s="18" t="s">
        <v>21</v>
      </c>
      <c r="V10" s="18" t="s">
        <v>22</v>
      </c>
      <c r="W10" s="18" t="s">
        <v>23</v>
      </c>
      <c r="X10" s="20" t="s">
        <v>24</v>
      </c>
      <c r="Y10" s="18" t="s">
        <v>21</v>
      </c>
      <c r="Z10" s="18" t="s">
        <v>22</v>
      </c>
      <c r="AA10" s="18" t="s">
        <v>23</v>
      </c>
      <c r="AB10" s="20" t="s">
        <v>24</v>
      </c>
      <c r="AC10" s="18" t="s">
        <v>21</v>
      </c>
      <c r="AD10" s="18" t="s">
        <v>22</v>
      </c>
      <c r="AE10" s="18" t="s">
        <v>23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26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33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22</v>
      </c>
      <c r="G10" s="18" t="s">
        <v>23</v>
      </c>
      <c r="H10" s="19" t="s">
        <v>24</v>
      </c>
      <c r="I10" s="18" t="s">
        <v>21</v>
      </c>
      <c r="J10" s="18" t="s">
        <v>22</v>
      </c>
      <c r="K10" s="18" t="s">
        <v>23</v>
      </c>
      <c r="L10" s="19" t="s">
        <v>24</v>
      </c>
      <c r="M10" s="18" t="s">
        <v>21</v>
      </c>
      <c r="N10" s="18" t="s">
        <v>22</v>
      </c>
      <c r="O10" s="18" t="s">
        <v>23</v>
      </c>
      <c r="P10" s="20" t="s">
        <v>24</v>
      </c>
      <c r="Q10" s="18" t="s">
        <v>21</v>
      </c>
      <c r="R10" s="18" t="s">
        <v>22</v>
      </c>
      <c r="S10" s="18" t="s">
        <v>23</v>
      </c>
      <c r="T10" s="20" t="s">
        <v>24</v>
      </c>
      <c r="U10" s="18" t="s">
        <v>21</v>
      </c>
      <c r="V10" s="18" t="s">
        <v>22</v>
      </c>
      <c r="W10" s="18" t="s">
        <v>23</v>
      </c>
      <c r="X10" s="20" t="s">
        <v>24</v>
      </c>
      <c r="Y10" s="18" t="s">
        <v>21</v>
      </c>
      <c r="Z10" s="18" t="s">
        <v>22</v>
      </c>
      <c r="AA10" s="18" t="s">
        <v>23</v>
      </c>
      <c r="AB10" s="20" t="s">
        <v>24</v>
      </c>
      <c r="AC10" s="18" t="s">
        <v>21</v>
      </c>
      <c r="AD10" s="18" t="s">
        <v>22</v>
      </c>
      <c r="AE10" s="18" t="s">
        <v>23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26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34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22</v>
      </c>
      <c r="G10" s="18" t="s">
        <v>23</v>
      </c>
      <c r="H10" s="19" t="s">
        <v>24</v>
      </c>
      <c r="I10" s="18" t="s">
        <v>21</v>
      </c>
      <c r="J10" s="18" t="s">
        <v>22</v>
      </c>
      <c r="K10" s="18" t="s">
        <v>23</v>
      </c>
      <c r="L10" s="19" t="s">
        <v>24</v>
      </c>
      <c r="M10" s="18" t="s">
        <v>21</v>
      </c>
      <c r="N10" s="18" t="s">
        <v>22</v>
      </c>
      <c r="O10" s="18" t="s">
        <v>23</v>
      </c>
      <c r="P10" s="20" t="s">
        <v>24</v>
      </c>
      <c r="Q10" s="18" t="s">
        <v>21</v>
      </c>
      <c r="R10" s="18" t="s">
        <v>22</v>
      </c>
      <c r="S10" s="18" t="s">
        <v>23</v>
      </c>
      <c r="T10" s="20" t="s">
        <v>24</v>
      </c>
      <c r="U10" s="18" t="s">
        <v>21</v>
      </c>
      <c r="V10" s="18" t="s">
        <v>22</v>
      </c>
      <c r="W10" s="18" t="s">
        <v>23</v>
      </c>
      <c r="X10" s="20" t="s">
        <v>24</v>
      </c>
      <c r="Y10" s="18" t="s">
        <v>21</v>
      </c>
      <c r="Z10" s="18" t="s">
        <v>22</v>
      </c>
      <c r="AA10" s="18" t="s">
        <v>23</v>
      </c>
      <c r="AB10" s="20" t="s">
        <v>24</v>
      </c>
      <c r="AC10" s="18" t="s">
        <v>21</v>
      </c>
      <c r="AD10" s="18" t="s">
        <v>22</v>
      </c>
      <c r="AE10" s="18" t="s">
        <v>23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0.71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26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35</v>
      </c>
    </row>
    <row r="6">
      <c r="A6" s="3" t="s">
        <v>5</v>
      </c>
      <c r="B6" s="3"/>
      <c r="C6" s="3" t="s">
        <v>6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22</v>
      </c>
      <c r="G10" s="18" t="s">
        <v>23</v>
      </c>
      <c r="H10" s="19" t="s">
        <v>24</v>
      </c>
      <c r="I10" s="18" t="s">
        <v>21</v>
      </c>
      <c r="J10" s="18" t="s">
        <v>22</v>
      </c>
      <c r="K10" s="18" t="s">
        <v>23</v>
      </c>
      <c r="L10" s="19" t="s">
        <v>24</v>
      </c>
      <c r="M10" s="18" t="s">
        <v>21</v>
      </c>
      <c r="N10" s="18" t="s">
        <v>22</v>
      </c>
      <c r="O10" s="18" t="s">
        <v>23</v>
      </c>
      <c r="P10" s="20" t="s">
        <v>24</v>
      </c>
      <c r="Q10" s="18" t="s">
        <v>21</v>
      </c>
      <c r="R10" s="18" t="s">
        <v>22</v>
      </c>
      <c r="S10" s="18" t="s">
        <v>23</v>
      </c>
      <c r="T10" s="20" t="s">
        <v>24</v>
      </c>
      <c r="U10" s="18" t="s">
        <v>21</v>
      </c>
      <c r="V10" s="18" t="s">
        <v>22</v>
      </c>
      <c r="W10" s="18" t="s">
        <v>23</v>
      </c>
      <c r="X10" s="20" t="s">
        <v>24</v>
      </c>
      <c r="Y10" s="18" t="s">
        <v>21</v>
      </c>
      <c r="Z10" s="18" t="s">
        <v>22</v>
      </c>
      <c r="AA10" s="18" t="s">
        <v>23</v>
      </c>
      <c r="AB10" s="20" t="s">
        <v>24</v>
      </c>
      <c r="AC10" s="18" t="s">
        <v>21</v>
      </c>
      <c r="AD10" s="18" t="s">
        <v>22</v>
      </c>
      <c r="AE10" s="18" t="s">
        <v>23</v>
      </c>
      <c r="AF10" s="17"/>
      <c r="AG10" s="17"/>
      <c r="AH10" s="17"/>
    </row>
    <row r="11">
      <c r="A11" s="21">
        <v>1.0</v>
      </c>
      <c r="B11" s="22"/>
      <c r="C11" s="22"/>
      <c r="D11" s="22"/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2"/>
      <c r="C12" s="22"/>
      <c r="D12" s="22"/>
      <c r="E12" s="21"/>
      <c r="F12" s="21"/>
      <c r="G12" s="21"/>
      <c r="H12" s="20">
        <f t="shared" si="2"/>
        <v>0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0</v>
      </c>
      <c r="AE12" s="21">
        <f t="shared" si="8"/>
        <v>0</v>
      </c>
      <c r="AF12" s="21">
        <f t="shared" si="9"/>
        <v>0</v>
      </c>
      <c r="AG12" s="24">
        <f t="shared" ref="AG12:AG46" si="12">(AF12/95)*100%</f>
        <v>0</v>
      </c>
      <c r="AH12" s="24">
        <f t="shared" si="10"/>
        <v>100</v>
      </c>
    </row>
    <row r="13">
      <c r="A13" s="21">
        <v>3.0</v>
      </c>
      <c r="B13" s="22"/>
      <c r="C13" s="22"/>
      <c r="D13" s="22"/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2"/>
      <c r="C14" s="22"/>
      <c r="D14" s="22"/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2"/>
      <c r="C15" s="22"/>
      <c r="D15" s="22"/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2"/>
      <c r="C16" s="22"/>
      <c r="D16" s="22"/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2"/>
      <c r="C17" s="22"/>
      <c r="D17" s="22"/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2"/>
      <c r="C18" s="22"/>
      <c r="D18" s="22"/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2"/>
      <c r="C19" s="22"/>
      <c r="D19" s="22"/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2"/>
      <c r="C20" s="22"/>
      <c r="D20" s="22"/>
      <c r="E20" s="21"/>
      <c r="F20" s="21"/>
      <c r="G20" s="21"/>
      <c r="H20" s="20">
        <f t="shared" si="2"/>
        <v>0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0</v>
      </c>
      <c r="AF20" s="21">
        <f t="shared" si="9"/>
        <v>0</v>
      </c>
      <c r="AG20" s="24">
        <f t="shared" si="12"/>
        <v>0</v>
      </c>
      <c r="AH20" s="24">
        <f t="shared" si="10"/>
        <v>100</v>
      </c>
    </row>
    <row r="21" ht="15.75" customHeight="1">
      <c r="A21" s="21">
        <v>11.0</v>
      </c>
      <c r="B21" s="22"/>
      <c r="C21" s="22"/>
      <c r="D21" s="22"/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2"/>
      <c r="C22" s="22"/>
      <c r="D22" s="22"/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2"/>
      <c r="C23" s="22"/>
      <c r="D23" s="22"/>
      <c r="E23" s="21"/>
      <c r="F23" s="21"/>
      <c r="G23" s="21"/>
      <c r="H23" s="20">
        <f t="shared" si="2"/>
        <v>0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0</v>
      </c>
      <c r="AE23" s="21">
        <f t="shared" si="22"/>
        <v>0</v>
      </c>
      <c r="AF23" s="21">
        <f t="shared" si="9"/>
        <v>0</v>
      </c>
      <c r="AG23" s="24">
        <f t="shared" si="12"/>
        <v>0</v>
      </c>
      <c r="AH23" s="24">
        <f t="shared" si="10"/>
        <v>100</v>
      </c>
    </row>
    <row r="24" ht="15.75" customHeight="1">
      <c r="A24" s="21">
        <v>14.0</v>
      </c>
      <c r="B24" s="22"/>
      <c r="C24" s="22"/>
      <c r="D24" s="22"/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2"/>
      <c r="C25" s="22"/>
      <c r="D25" s="22"/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2"/>
      <c r="C26" s="22"/>
      <c r="D26" s="22"/>
      <c r="E26" s="21"/>
      <c r="F26" s="21"/>
      <c r="G26" s="21"/>
      <c r="H26" s="20">
        <f t="shared" si="2"/>
        <v>0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0</v>
      </c>
      <c r="AF26" s="21">
        <f t="shared" si="9"/>
        <v>0</v>
      </c>
      <c r="AG26" s="24">
        <f t="shared" si="12"/>
        <v>0</v>
      </c>
      <c r="AH26" s="24">
        <f t="shared" si="10"/>
        <v>100</v>
      </c>
    </row>
    <row r="27" ht="15.75" customHeight="1">
      <c r="A27" s="21">
        <v>17.0</v>
      </c>
      <c r="B27" s="22"/>
      <c r="C27" s="22"/>
      <c r="D27" s="22"/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2"/>
      <c r="C28" s="22"/>
      <c r="D28" s="22"/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2"/>
      <c r="C29" s="22"/>
      <c r="D29" s="22"/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2"/>
      <c r="C30" s="22"/>
      <c r="D30" s="22"/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2"/>
      <c r="C31" s="22"/>
      <c r="D31" s="22"/>
      <c r="E31" s="21"/>
      <c r="F31" s="21"/>
      <c r="G31" s="21"/>
      <c r="H31" s="20">
        <f t="shared" si="2"/>
        <v>0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0</v>
      </c>
      <c r="AF31" s="21">
        <f t="shared" si="9"/>
        <v>0</v>
      </c>
      <c r="AG31" s="24">
        <f t="shared" si="12"/>
        <v>0</v>
      </c>
      <c r="AH31" s="24">
        <f t="shared" si="10"/>
        <v>100</v>
      </c>
    </row>
    <row r="32" ht="15.75" customHeight="1">
      <c r="A32" s="21">
        <v>22.0</v>
      </c>
      <c r="B32" s="22"/>
      <c r="C32" s="22"/>
      <c r="D32" s="22"/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2"/>
      <c r="C33" s="22"/>
      <c r="D33" s="22"/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2"/>
      <c r="C34" s="22"/>
      <c r="D34" s="22"/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2"/>
      <c r="C35" s="22"/>
      <c r="D35" s="22"/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2"/>
      <c r="C36" s="22"/>
      <c r="D36" s="22"/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2"/>
      <c r="C37" s="22"/>
      <c r="D37" s="22"/>
      <c r="E37" s="21"/>
      <c r="F37" s="21"/>
      <c r="G37" s="21"/>
      <c r="H37" s="20">
        <f t="shared" si="2"/>
        <v>0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0</v>
      </c>
      <c r="AD37" s="21">
        <f t="shared" si="36"/>
        <v>0</v>
      </c>
      <c r="AE37" s="21">
        <f t="shared" si="36"/>
        <v>0</v>
      </c>
      <c r="AF37" s="21">
        <f t="shared" si="9"/>
        <v>0</v>
      </c>
      <c r="AG37" s="24">
        <f t="shared" si="12"/>
        <v>0</v>
      </c>
      <c r="AH37" s="24">
        <f t="shared" si="10"/>
        <v>100</v>
      </c>
    </row>
    <row r="38" ht="15.75" customHeight="1">
      <c r="A38" s="21">
        <v>28.0</v>
      </c>
      <c r="B38" s="22"/>
      <c r="C38" s="22"/>
      <c r="D38" s="22"/>
      <c r="E38" s="21"/>
      <c r="F38" s="21"/>
      <c r="G38" s="21"/>
      <c r="H38" s="20">
        <f t="shared" si="2"/>
        <v>0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0</v>
      </c>
      <c r="AD38" s="21">
        <f t="shared" si="37"/>
        <v>0</v>
      </c>
      <c r="AE38" s="21">
        <f t="shared" si="37"/>
        <v>0</v>
      </c>
      <c r="AF38" s="21">
        <f t="shared" si="9"/>
        <v>0</v>
      </c>
      <c r="AG38" s="24">
        <f t="shared" si="12"/>
        <v>0</v>
      </c>
      <c r="AH38" s="24">
        <f t="shared" si="10"/>
        <v>100</v>
      </c>
    </row>
    <row r="39" ht="15.75" customHeight="1">
      <c r="A39" s="21">
        <v>29.0</v>
      </c>
      <c r="B39" s="22"/>
      <c r="C39" s="22"/>
      <c r="D39" s="22"/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2"/>
      <c r="C40" s="22"/>
      <c r="D40" s="22"/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2"/>
      <c r="C41" s="22"/>
      <c r="D41" s="22"/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2"/>
      <c r="C42" s="22"/>
      <c r="D42" s="22"/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2"/>
      <c r="C43" s="22"/>
      <c r="D43" s="22"/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2.0"/>
    <col customWidth="1" min="3" max="3" width="35.71"/>
    <col customWidth="1" min="4" max="4" width="3.86"/>
    <col customWidth="1" min="5" max="31" width="4.71"/>
    <col customWidth="1" min="32" max="34" width="8.71"/>
  </cols>
  <sheetData>
    <row r="1">
      <c r="A1" s="2" t="s">
        <v>26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/>
      <c r="C5" s="4" t="s">
        <v>36</v>
      </c>
    </row>
    <row r="6">
      <c r="A6" s="3" t="s">
        <v>5</v>
      </c>
      <c r="B6" s="3"/>
      <c r="C6" s="4" t="s">
        <v>37</v>
      </c>
    </row>
    <row r="8" ht="24.75" customHeight="1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  <c r="AC8" s="9" t="s">
        <v>12</v>
      </c>
      <c r="AD8" s="10"/>
      <c r="AE8" s="11"/>
      <c r="AF8" s="12" t="s">
        <v>12</v>
      </c>
      <c r="AG8" s="12" t="s">
        <v>13</v>
      </c>
      <c r="AH8" s="12" t="s">
        <v>14</v>
      </c>
    </row>
    <row r="9" ht="24.75" customHeight="1">
      <c r="A9" s="13"/>
      <c r="B9" s="13"/>
      <c r="C9" s="13"/>
      <c r="D9" s="13"/>
      <c r="E9" s="6" t="s">
        <v>15</v>
      </c>
      <c r="F9" s="7"/>
      <c r="G9" s="7"/>
      <c r="H9" s="8"/>
      <c r="I9" s="6" t="s">
        <v>16</v>
      </c>
      <c r="J9" s="7"/>
      <c r="K9" s="7"/>
      <c r="L9" s="8"/>
      <c r="M9" s="6" t="s">
        <v>17</v>
      </c>
      <c r="N9" s="7"/>
      <c r="O9" s="7"/>
      <c r="P9" s="8"/>
      <c r="Q9" s="6" t="s">
        <v>18</v>
      </c>
      <c r="R9" s="7"/>
      <c r="S9" s="7"/>
      <c r="T9" s="8"/>
      <c r="U9" s="6" t="s">
        <v>19</v>
      </c>
      <c r="V9" s="7"/>
      <c r="W9" s="7"/>
      <c r="X9" s="8"/>
      <c r="Y9" s="6" t="s">
        <v>20</v>
      </c>
      <c r="Z9" s="7"/>
      <c r="AA9" s="7"/>
      <c r="AB9" s="8"/>
      <c r="AC9" s="14"/>
      <c r="AD9" s="15"/>
      <c r="AE9" s="16"/>
      <c r="AF9" s="13"/>
      <c r="AG9" s="13"/>
      <c r="AH9" s="13"/>
    </row>
    <row r="10" ht="24.75" customHeight="1">
      <c r="A10" s="17"/>
      <c r="B10" s="17"/>
      <c r="C10" s="17"/>
      <c r="D10" s="17"/>
      <c r="E10" s="18" t="s">
        <v>21</v>
      </c>
      <c r="F10" s="18" t="s">
        <v>22</v>
      </c>
      <c r="G10" s="18" t="s">
        <v>23</v>
      </c>
      <c r="H10" s="19" t="s">
        <v>24</v>
      </c>
      <c r="I10" s="18" t="s">
        <v>21</v>
      </c>
      <c r="J10" s="18" t="s">
        <v>22</v>
      </c>
      <c r="K10" s="18" t="s">
        <v>23</v>
      </c>
      <c r="L10" s="19" t="s">
        <v>24</v>
      </c>
      <c r="M10" s="18" t="s">
        <v>21</v>
      </c>
      <c r="N10" s="18" t="s">
        <v>22</v>
      </c>
      <c r="O10" s="18" t="s">
        <v>23</v>
      </c>
      <c r="P10" s="20" t="s">
        <v>24</v>
      </c>
      <c r="Q10" s="18" t="s">
        <v>21</v>
      </c>
      <c r="R10" s="18" t="s">
        <v>22</v>
      </c>
      <c r="S10" s="18" t="s">
        <v>23</v>
      </c>
      <c r="T10" s="20" t="s">
        <v>24</v>
      </c>
      <c r="U10" s="18" t="s">
        <v>21</v>
      </c>
      <c r="V10" s="18" t="s">
        <v>22</v>
      </c>
      <c r="W10" s="18" t="s">
        <v>23</v>
      </c>
      <c r="X10" s="20" t="s">
        <v>24</v>
      </c>
      <c r="Y10" s="18" t="s">
        <v>21</v>
      </c>
      <c r="Z10" s="18" t="s">
        <v>22</v>
      </c>
      <c r="AA10" s="18" t="s">
        <v>23</v>
      </c>
      <c r="AB10" s="20" t="s">
        <v>24</v>
      </c>
      <c r="AC10" s="18" t="s">
        <v>21</v>
      </c>
      <c r="AD10" s="18" t="s">
        <v>22</v>
      </c>
      <c r="AE10" s="18" t="s">
        <v>23</v>
      </c>
      <c r="AF10" s="17"/>
      <c r="AG10" s="17"/>
      <c r="AH10" s="17"/>
    </row>
    <row r="11">
      <c r="A11" s="21">
        <v>1.0</v>
      </c>
      <c r="B11" s="28" t="s">
        <v>38</v>
      </c>
      <c r="C11" s="28" t="s">
        <v>39</v>
      </c>
      <c r="D11" s="28" t="s">
        <v>40</v>
      </c>
      <c r="E11" s="21"/>
      <c r="F11" s="21"/>
      <c r="G11" s="21"/>
      <c r="H11" s="20">
        <f t="shared" ref="H11:H46" si="2">SUM(E11:G11)</f>
        <v>0</v>
      </c>
      <c r="I11" s="21"/>
      <c r="J11" s="21"/>
      <c r="K11" s="21"/>
      <c r="L11" s="20">
        <f t="shared" ref="L11:L46" si="3">SUM(I11:K11)</f>
        <v>0</v>
      </c>
      <c r="M11" s="21"/>
      <c r="N11" s="21"/>
      <c r="O11" s="21"/>
      <c r="P11" s="23">
        <f t="shared" ref="P11:P46" si="4">SUM(M11:O11)</f>
        <v>0</v>
      </c>
      <c r="Q11" s="21"/>
      <c r="R11" s="21"/>
      <c r="S11" s="21"/>
      <c r="T11" s="23">
        <f t="shared" ref="T11:T46" si="5">SUM(Q11:S11)</f>
        <v>0</v>
      </c>
      <c r="U11" s="21"/>
      <c r="V11" s="21"/>
      <c r="W11" s="21"/>
      <c r="X11" s="23">
        <f t="shared" ref="X11:X46" si="6">SUM(U11:W11)</f>
        <v>0</v>
      </c>
      <c r="Y11" s="21"/>
      <c r="Z11" s="21"/>
      <c r="AA11" s="21"/>
      <c r="AB11" s="23">
        <f t="shared" ref="AB11:AB46" si="7">SUM(Y11:AA11)</f>
        <v>0</v>
      </c>
      <c r="AC11" s="21">
        <f t="shared" ref="AC11:AE11" si="1">SUM(E11,I11,M11,Q11,U11,Y11)</f>
        <v>0</v>
      </c>
      <c r="AD11" s="21">
        <f t="shared" si="1"/>
        <v>0</v>
      </c>
      <c r="AE11" s="21">
        <f t="shared" si="1"/>
        <v>0</v>
      </c>
      <c r="AF11" s="21">
        <f t="shared" ref="AF11:AF46" si="9">SUM(AC11:AE11)</f>
        <v>0</v>
      </c>
      <c r="AG11" s="24">
        <f>(AF11/95)*100</f>
        <v>0</v>
      </c>
      <c r="AH11" s="24">
        <f t="shared" ref="AH11:AH46" si="10">100-AG11</f>
        <v>100</v>
      </c>
    </row>
    <row r="12">
      <c r="A12" s="21">
        <v>2.0</v>
      </c>
      <c r="B12" s="28" t="s">
        <v>41</v>
      </c>
      <c r="C12" s="28" t="s">
        <v>42</v>
      </c>
      <c r="D12" s="28" t="s">
        <v>40</v>
      </c>
      <c r="E12" s="21"/>
      <c r="F12" s="29">
        <v>2.0</v>
      </c>
      <c r="G12" s="21"/>
      <c r="H12" s="20">
        <f t="shared" si="2"/>
        <v>2</v>
      </c>
      <c r="I12" s="21"/>
      <c r="J12" s="21"/>
      <c r="K12" s="21"/>
      <c r="L12" s="20">
        <f t="shared" si="3"/>
        <v>0</v>
      </c>
      <c r="M12" s="21"/>
      <c r="N12" s="21"/>
      <c r="O12" s="21"/>
      <c r="P12" s="23">
        <f t="shared" si="4"/>
        <v>0</v>
      </c>
      <c r="Q12" s="21"/>
      <c r="R12" s="21"/>
      <c r="S12" s="21"/>
      <c r="T12" s="23">
        <f t="shared" si="5"/>
        <v>0</v>
      </c>
      <c r="U12" s="21"/>
      <c r="V12" s="21"/>
      <c r="W12" s="21"/>
      <c r="X12" s="23">
        <f t="shared" si="6"/>
        <v>0</v>
      </c>
      <c r="Y12" s="21"/>
      <c r="Z12" s="21"/>
      <c r="AA12" s="21"/>
      <c r="AB12" s="23">
        <f t="shared" si="7"/>
        <v>0</v>
      </c>
      <c r="AC12" s="21">
        <f t="shared" ref="AC12:AE12" si="8">SUM(E12,I12,M12,Q12,U12,Y12)</f>
        <v>0</v>
      </c>
      <c r="AD12" s="21">
        <f t="shared" si="8"/>
        <v>2</v>
      </c>
      <c r="AE12" s="21">
        <f t="shared" si="8"/>
        <v>0</v>
      </c>
      <c r="AF12" s="21">
        <f t="shared" si="9"/>
        <v>2</v>
      </c>
      <c r="AG12" s="24">
        <f t="shared" ref="AG12:AG46" si="12">(AF12/95)*100%</f>
        <v>0.02105263158</v>
      </c>
      <c r="AH12" s="24">
        <f t="shared" si="10"/>
        <v>99.97894737</v>
      </c>
    </row>
    <row r="13">
      <c r="A13" s="21">
        <v>3.0</v>
      </c>
      <c r="B13" s="28" t="s">
        <v>43</v>
      </c>
      <c r="C13" s="28" t="s">
        <v>44</v>
      </c>
      <c r="D13" s="28" t="s">
        <v>45</v>
      </c>
      <c r="E13" s="21"/>
      <c r="F13" s="21"/>
      <c r="G13" s="21"/>
      <c r="H13" s="20">
        <f t="shared" si="2"/>
        <v>0</v>
      </c>
      <c r="I13" s="21"/>
      <c r="J13" s="21"/>
      <c r="K13" s="21"/>
      <c r="L13" s="20">
        <f t="shared" si="3"/>
        <v>0</v>
      </c>
      <c r="M13" s="21"/>
      <c r="N13" s="21"/>
      <c r="O13" s="21"/>
      <c r="P13" s="23">
        <f t="shared" si="4"/>
        <v>0</v>
      </c>
      <c r="Q13" s="21"/>
      <c r="R13" s="21"/>
      <c r="S13" s="21"/>
      <c r="T13" s="23">
        <f t="shared" si="5"/>
        <v>0</v>
      </c>
      <c r="U13" s="21"/>
      <c r="V13" s="21"/>
      <c r="W13" s="21"/>
      <c r="X13" s="23">
        <f t="shared" si="6"/>
        <v>0</v>
      </c>
      <c r="Y13" s="21"/>
      <c r="Z13" s="21"/>
      <c r="AA13" s="21"/>
      <c r="AB13" s="23">
        <f t="shared" si="7"/>
        <v>0</v>
      </c>
      <c r="AC13" s="21">
        <f t="shared" ref="AC13:AE13" si="11">SUM(E13,I13,M13,Q13,U13,Y13)</f>
        <v>0</v>
      </c>
      <c r="AD13" s="21">
        <f t="shared" si="11"/>
        <v>0</v>
      </c>
      <c r="AE13" s="21">
        <f t="shared" si="11"/>
        <v>0</v>
      </c>
      <c r="AF13" s="21">
        <f t="shared" si="9"/>
        <v>0</v>
      </c>
      <c r="AG13" s="24">
        <f t="shared" si="12"/>
        <v>0</v>
      </c>
      <c r="AH13" s="24">
        <f t="shared" si="10"/>
        <v>100</v>
      </c>
    </row>
    <row r="14">
      <c r="A14" s="21">
        <v>4.0</v>
      </c>
      <c r="B14" s="28" t="s">
        <v>46</v>
      </c>
      <c r="C14" s="28" t="s">
        <v>47</v>
      </c>
      <c r="D14" s="28" t="s">
        <v>40</v>
      </c>
      <c r="E14" s="21"/>
      <c r="F14" s="21"/>
      <c r="G14" s="21"/>
      <c r="H14" s="20">
        <f t="shared" si="2"/>
        <v>0</v>
      </c>
      <c r="I14" s="21"/>
      <c r="J14" s="21"/>
      <c r="K14" s="21"/>
      <c r="L14" s="20">
        <f t="shared" si="3"/>
        <v>0</v>
      </c>
      <c r="M14" s="21"/>
      <c r="N14" s="21"/>
      <c r="O14" s="21"/>
      <c r="P14" s="23">
        <f t="shared" si="4"/>
        <v>0</v>
      </c>
      <c r="Q14" s="21"/>
      <c r="R14" s="21"/>
      <c r="S14" s="21"/>
      <c r="T14" s="23">
        <f t="shared" si="5"/>
        <v>0</v>
      </c>
      <c r="U14" s="21"/>
      <c r="V14" s="21"/>
      <c r="W14" s="21"/>
      <c r="X14" s="23">
        <f t="shared" si="6"/>
        <v>0</v>
      </c>
      <c r="Y14" s="21"/>
      <c r="Z14" s="21"/>
      <c r="AA14" s="21"/>
      <c r="AB14" s="23">
        <f t="shared" si="7"/>
        <v>0</v>
      </c>
      <c r="AC14" s="21">
        <f t="shared" ref="AC14:AE14" si="13">SUM(E14,I14,M14,Q14,U14,Y14)</f>
        <v>0</v>
      </c>
      <c r="AD14" s="21">
        <f t="shared" si="13"/>
        <v>0</v>
      </c>
      <c r="AE14" s="21">
        <f t="shared" si="13"/>
        <v>0</v>
      </c>
      <c r="AF14" s="21">
        <f t="shared" si="9"/>
        <v>0</v>
      </c>
      <c r="AG14" s="24">
        <f t="shared" si="12"/>
        <v>0</v>
      </c>
      <c r="AH14" s="24">
        <f t="shared" si="10"/>
        <v>100</v>
      </c>
    </row>
    <row r="15">
      <c r="A15" s="21">
        <v>5.0</v>
      </c>
      <c r="B15" s="28" t="s">
        <v>48</v>
      </c>
      <c r="C15" s="28" t="s">
        <v>49</v>
      </c>
      <c r="D15" s="28" t="s">
        <v>40</v>
      </c>
      <c r="E15" s="21"/>
      <c r="F15" s="21"/>
      <c r="G15" s="21"/>
      <c r="H15" s="20">
        <f t="shared" si="2"/>
        <v>0</v>
      </c>
      <c r="I15" s="21"/>
      <c r="J15" s="21"/>
      <c r="K15" s="21"/>
      <c r="L15" s="20">
        <f t="shared" si="3"/>
        <v>0</v>
      </c>
      <c r="M15" s="21"/>
      <c r="N15" s="21"/>
      <c r="O15" s="21"/>
      <c r="P15" s="23">
        <f t="shared" si="4"/>
        <v>0</v>
      </c>
      <c r="Q15" s="21"/>
      <c r="R15" s="21"/>
      <c r="S15" s="21"/>
      <c r="T15" s="23">
        <f t="shared" si="5"/>
        <v>0</v>
      </c>
      <c r="U15" s="21"/>
      <c r="V15" s="21"/>
      <c r="W15" s="21"/>
      <c r="X15" s="23">
        <f t="shared" si="6"/>
        <v>0</v>
      </c>
      <c r="Y15" s="21"/>
      <c r="Z15" s="21"/>
      <c r="AA15" s="21"/>
      <c r="AB15" s="23">
        <f t="shared" si="7"/>
        <v>0</v>
      </c>
      <c r="AC15" s="21">
        <f t="shared" ref="AC15:AE15" si="14">SUM(E15,I15,M15,Q15,U15,Y15)</f>
        <v>0</v>
      </c>
      <c r="AD15" s="21">
        <f t="shared" si="14"/>
        <v>0</v>
      </c>
      <c r="AE15" s="21">
        <f t="shared" si="14"/>
        <v>0</v>
      </c>
      <c r="AF15" s="21">
        <f t="shared" si="9"/>
        <v>0</v>
      </c>
      <c r="AG15" s="24">
        <f t="shared" si="12"/>
        <v>0</v>
      </c>
      <c r="AH15" s="24">
        <f t="shared" si="10"/>
        <v>100</v>
      </c>
    </row>
    <row r="16">
      <c r="A16" s="21">
        <v>6.0</v>
      </c>
      <c r="B16" s="28" t="s">
        <v>50</v>
      </c>
      <c r="C16" s="28" t="s">
        <v>51</v>
      </c>
      <c r="D16" s="28" t="s">
        <v>45</v>
      </c>
      <c r="E16" s="21"/>
      <c r="F16" s="21"/>
      <c r="G16" s="21"/>
      <c r="H16" s="20">
        <f t="shared" si="2"/>
        <v>0</v>
      </c>
      <c r="I16" s="21"/>
      <c r="J16" s="21"/>
      <c r="K16" s="21"/>
      <c r="L16" s="20">
        <f t="shared" si="3"/>
        <v>0</v>
      </c>
      <c r="M16" s="21"/>
      <c r="N16" s="21"/>
      <c r="O16" s="21"/>
      <c r="P16" s="23">
        <f t="shared" si="4"/>
        <v>0</v>
      </c>
      <c r="Q16" s="21"/>
      <c r="R16" s="21"/>
      <c r="S16" s="21"/>
      <c r="T16" s="23">
        <f t="shared" si="5"/>
        <v>0</v>
      </c>
      <c r="U16" s="21"/>
      <c r="V16" s="21"/>
      <c r="W16" s="21"/>
      <c r="X16" s="23">
        <f t="shared" si="6"/>
        <v>0</v>
      </c>
      <c r="Y16" s="21"/>
      <c r="Z16" s="21"/>
      <c r="AA16" s="21"/>
      <c r="AB16" s="23">
        <f t="shared" si="7"/>
        <v>0</v>
      </c>
      <c r="AC16" s="21">
        <f t="shared" ref="AC16:AE16" si="15">SUM(E16,I16,M16,Q16,U16,Y16)</f>
        <v>0</v>
      </c>
      <c r="AD16" s="21">
        <f t="shared" si="15"/>
        <v>0</v>
      </c>
      <c r="AE16" s="21">
        <f t="shared" si="15"/>
        <v>0</v>
      </c>
      <c r="AF16" s="21">
        <f t="shared" si="9"/>
        <v>0</v>
      </c>
      <c r="AG16" s="24">
        <f t="shared" si="12"/>
        <v>0</v>
      </c>
      <c r="AH16" s="24">
        <f t="shared" si="10"/>
        <v>100</v>
      </c>
    </row>
    <row r="17">
      <c r="A17" s="21">
        <v>7.0</v>
      </c>
      <c r="B17" s="28" t="s">
        <v>52</v>
      </c>
      <c r="C17" s="28" t="s">
        <v>53</v>
      </c>
      <c r="D17" s="28" t="s">
        <v>40</v>
      </c>
      <c r="E17" s="21"/>
      <c r="F17" s="21"/>
      <c r="G17" s="21"/>
      <c r="H17" s="20">
        <f t="shared" si="2"/>
        <v>0</v>
      </c>
      <c r="I17" s="21"/>
      <c r="J17" s="21"/>
      <c r="K17" s="21"/>
      <c r="L17" s="20">
        <f t="shared" si="3"/>
        <v>0</v>
      </c>
      <c r="M17" s="21"/>
      <c r="N17" s="21"/>
      <c r="O17" s="21"/>
      <c r="P17" s="23">
        <f t="shared" si="4"/>
        <v>0</v>
      </c>
      <c r="Q17" s="21"/>
      <c r="R17" s="21"/>
      <c r="S17" s="21"/>
      <c r="T17" s="23">
        <f t="shared" si="5"/>
        <v>0</v>
      </c>
      <c r="U17" s="21"/>
      <c r="V17" s="21"/>
      <c r="W17" s="21"/>
      <c r="X17" s="23">
        <f t="shared" si="6"/>
        <v>0</v>
      </c>
      <c r="Y17" s="21"/>
      <c r="Z17" s="21"/>
      <c r="AA17" s="21"/>
      <c r="AB17" s="23">
        <f t="shared" si="7"/>
        <v>0</v>
      </c>
      <c r="AC17" s="21">
        <f t="shared" ref="AC17:AE17" si="16">SUM(E17,I17,M17,Q17,U17,Y17)</f>
        <v>0</v>
      </c>
      <c r="AD17" s="21">
        <f t="shared" si="16"/>
        <v>0</v>
      </c>
      <c r="AE17" s="21">
        <f t="shared" si="16"/>
        <v>0</v>
      </c>
      <c r="AF17" s="21">
        <f t="shared" si="9"/>
        <v>0</v>
      </c>
      <c r="AG17" s="24">
        <f t="shared" si="12"/>
        <v>0</v>
      </c>
      <c r="AH17" s="24">
        <f t="shared" si="10"/>
        <v>100</v>
      </c>
    </row>
    <row r="18">
      <c r="A18" s="21">
        <v>8.0</v>
      </c>
      <c r="B18" s="28" t="s">
        <v>54</v>
      </c>
      <c r="C18" s="28" t="s">
        <v>55</v>
      </c>
      <c r="D18" s="28" t="s">
        <v>40</v>
      </c>
      <c r="E18" s="21"/>
      <c r="F18" s="21"/>
      <c r="G18" s="21"/>
      <c r="H18" s="20">
        <f t="shared" si="2"/>
        <v>0</v>
      </c>
      <c r="I18" s="21"/>
      <c r="J18" s="21"/>
      <c r="K18" s="21"/>
      <c r="L18" s="20">
        <f t="shared" si="3"/>
        <v>0</v>
      </c>
      <c r="M18" s="21"/>
      <c r="N18" s="21"/>
      <c r="O18" s="21"/>
      <c r="P18" s="23">
        <f t="shared" si="4"/>
        <v>0</v>
      </c>
      <c r="Q18" s="21"/>
      <c r="R18" s="21"/>
      <c r="S18" s="21"/>
      <c r="T18" s="23">
        <f t="shared" si="5"/>
        <v>0</v>
      </c>
      <c r="U18" s="21"/>
      <c r="V18" s="21"/>
      <c r="W18" s="21"/>
      <c r="X18" s="23">
        <f t="shared" si="6"/>
        <v>0</v>
      </c>
      <c r="Y18" s="21"/>
      <c r="Z18" s="21"/>
      <c r="AA18" s="21"/>
      <c r="AB18" s="23">
        <f t="shared" si="7"/>
        <v>0</v>
      </c>
      <c r="AC18" s="21">
        <f t="shared" ref="AC18:AE18" si="17">SUM(E18,I18,M18,Q18,U18,Y18)</f>
        <v>0</v>
      </c>
      <c r="AD18" s="21">
        <f t="shared" si="17"/>
        <v>0</v>
      </c>
      <c r="AE18" s="21">
        <f t="shared" si="17"/>
        <v>0</v>
      </c>
      <c r="AF18" s="21">
        <f t="shared" si="9"/>
        <v>0</v>
      </c>
      <c r="AG18" s="24">
        <f t="shared" si="12"/>
        <v>0</v>
      </c>
      <c r="AH18" s="24">
        <f t="shared" si="10"/>
        <v>100</v>
      </c>
    </row>
    <row r="19">
      <c r="A19" s="21">
        <v>9.0</v>
      </c>
      <c r="B19" s="28" t="s">
        <v>56</v>
      </c>
      <c r="C19" s="28" t="s">
        <v>57</v>
      </c>
      <c r="D19" s="28" t="s">
        <v>40</v>
      </c>
      <c r="E19" s="21"/>
      <c r="F19" s="21"/>
      <c r="G19" s="21"/>
      <c r="H19" s="20">
        <f t="shared" si="2"/>
        <v>0</v>
      </c>
      <c r="I19" s="21"/>
      <c r="J19" s="21"/>
      <c r="K19" s="21"/>
      <c r="L19" s="20">
        <f t="shared" si="3"/>
        <v>0</v>
      </c>
      <c r="M19" s="21"/>
      <c r="N19" s="21"/>
      <c r="O19" s="21"/>
      <c r="P19" s="23">
        <f t="shared" si="4"/>
        <v>0</v>
      </c>
      <c r="Q19" s="21"/>
      <c r="R19" s="21"/>
      <c r="S19" s="21"/>
      <c r="T19" s="23">
        <f t="shared" si="5"/>
        <v>0</v>
      </c>
      <c r="U19" s="21"/>
      <c r="V19" s="21"/>
      <c r="W19" s="21"/>
      <c r="X19" s="23">
        <f t="shared" si="6"/>
        <v>0</v>
      </c>
      <c r="Y19" s="21"/>
      <c r="Z19" s="21"/>
      <c r="AA19" s="21"/>
      <c r="AB19" s="23">
        <f t="shared" si="7"/>
        <v>0</v>
      </c>
      <c r="AC19" s="21">
        <f t="shared" ref="AC19:AE19" si="18">SUM(E19,I19,M19,Q19,U19,Y19)</f>
        <v>0</v>
      </c>
      <c r="AD19" s="21">
        <f t="shared" si="18"/>
        <v>0</v>
      </c>
      <c r="AE19" s="21">
        <f t="shared" si="18"/>
        <v>0</v>
      </c>
      <c r="AF19" s="21">
        <f t="shared" si="9"/>
        <v>0</v>
      </c>
      <c r="AG19" s="24">
        <f t="shared" si="12"/>
        <v>0</v>
      </c>
      <c r="AH19" s="24">
        <f t="shared" si="10"/>
        <v>100</v>
      </c>
    </row>
    <row r="20">
      <c r="A20" s="21">
        <v>10.0</v>
      </c>
      <c r="B20" s="28" t="s">
        <v>58</v>
      </c>
      <c r="C20" s="28" t="s">
        <v>59</v>
      </c>
      <c r="D20" s="28" t="s">
        <v>40</v>
      </c>
      <c r="E20" s="21"/>
      <c r="F20" s="21"/>
      <c r="G20" s="29">
        <v>1.0</v>
      </c>
      <c r="H20" s="20">
        <f t="shared" si="2"/>
        <v>1</v>
      </c>
      <c r="I20" s="21"/>
      <c r="J20" s="21"/>
      <c r="K20" s="21"/>
      <c r="L20" s="20">
        <f t="shared" si="3"/>
        <v>0</v>
      </c>
      <c r="M20" s="21"/>
      <c r="N20" s="21"/>
      <c r="O20" s="21"/>
      <c r="P20" s="23">
        <f t="shared" si="4"/>
        <v>0</v>
      </c>
      <c r="Q20" s="21"/>
      <c r="R20" s="21"/>
      <c r="S20" s="21"/>
      <c r="T20" s="23">
        <f t="shared" si="5"/>
        <v>0</v>
      </c>
      <c r="U20" s="21"/>
      <c r="V20" s="21"/>
      <c r="W20" s="21"/>
      <c r="X20" s="23">
        <f t="shared" si="6"/>
        <v>0</v>
      </c>
      <c r="Y20" s="21"/>
      <c r="Z20" s="21"/>
      <c r="AA20" s="21"/>
      <c r="AB20" s="23">
        <f t="shared" si="7"/>
        <v>0</v>
      </c>
      <c r="AC20" s="21">
        <f t="shared" ref="AC20:AE20" si="19">SUM(E20,I20,M20,Q20,U20,Y20)</f>
        <v>0</v>
      </c>
      <c r="AD20" s="21">
        <f t="shared" si="19"/>
        <v>0</v>
      </c>
      <c r="AE20" s="21">
        <f t="shared" si="19"/>
        <v>1</v>
      </c>
      <c r="AF20" s="21">
        <f t="shared" si="9"/>
        <v>1</v>
      </c>
      <c r="AG20" s="24">
        <f t="shared" si="12"/>
        <v>0.01052631579</v>
      </c>
      <c r="AH20" s="24">
        <f t="shared" si="10"/>
        <v>99.98947368</v>
      </c>
    </row>
    <row r="21" ht="15.75" customHeight="1">
      <c r="A21" s="21">
        <v>11.0</v>
      </c>
      <c r="B21" s="28" t="s">
        <v>60</v>
      </c>
      <c r="C21" s="28" t="s">
        <v>61</v>
      </c>
      <c r="D21" s="28" t="s">
        <v>45</v>
      </c>
      <c r="E21" s="21"/>
      <c r="F21" s="21"/>
      <c r="G21" s="21"/>
      <c r="H21" s="20">
        <f t="shared" si="2"/>
        <v>0</v>
      </c>
      <c r="I21" s="21"/>
      <c r="J21" s="21"/>
      <c r="K21" s="21"/>
      <c r="L21" s="20">
        <f t="shared" si="3"/>
        <v>0</v>
      </c>
      <c r="M21" s="21"/>
      <c r="N21" s="21"/>
      <c r="O21" s="21"/>
      <c r="P21" s="23">
        <f t="shared" si="4"/>
        <v>0</v>
      </c>
      <c r="Q21" s="21"/>
      <c r="R21" s="21"/>
      <c r="S21" s="21"/>
      <c r="T21" s="23">
        <f t="shared" si="5"/>
        <v>0</v>
      </c>
      <c r="U21" s="21"/>
      <c r="V21" s="21"/>
      <c r="W21" s="21"/>
      <c r="X21" s="23">
        <f t="shared" si="6"/>
        <v>0</v>
      </c>
      <c r="Y21" s="21"/>
      <c r="Z21" s="21"/>
      <c r="AA21" s="21"/>
      <c r="AB21" s="23">
        <f t="shared" si="7"/>
        <v>0</v>
      </c>
      <c r="AC21" s="21">
        <f t="shared" ref="AC21:AE21" si="20">SUM(E21,I21,M21,Q21,U21,Y21)</f>
        <v>0</v>
      </c>
      <c r="AD21" s="21">
        <f t="shared" si="20"/>
        <v>0</v>
      </c>
      <c r="AE21" s="21">
        <f t="shared" si="20"/>
        <v>0</v>
      </c>
      <c r="AF21" s="21">
        <f t="shared" si="9"/>
        <v>0</v>
      </c>
      <c r="AG21" s="24">
        <f t="shared" si="12"/>
        <v>0</v>
      </c>
      <c r="AH21" s="24">
        <f t="shared" si="10"/>
        <v>100</v>
      </c>
    </row>
    <row r="22" ht="15.75" customHeight="1">
      <c r="A22" s="21">
        <v>12.0</v>
      </c>
      <c r="B22" s="28" t="s">
        <v>62</v>
      </c>
      <c r="C22" s="28" t="s">
        <v>63</v>
      </c>
      <c r="D22" s="28" t="s">
        <v>45</v>
      </c>
      <c r="E22" s="21"/>
      <c r="F22" s="21"/>
      <c r="G22" s="21"/>
      <c r="H22" s="20">
        <f t="shared" si="2"/>
        <v>0</v>
      </c>
      <c r="I22" s="21"/>
      <c r="J22" s="21"/>
      <c r="K22" s="21"/>
      <c r="L22" s="20">
        <f t="shared" si="3"/>
        <v>0</v>
      </c>
      <c r="M22" s="21"/>
      <c r="N22" s="21"/>
      <c r="O22" s="21"/>
      <c r="P22" s="23">
        <f t="shared" si="4"/>
        <v>0</v>
      </c>
      <c r="Q22" s="21"/>
      <c r="R22" s="21"/>
      <c r="S22" s="21"/>
      <c r="T22" s="23">
        <f t="shared" si="5"/>
        <v>0</v>
      </c>
      <c r="U22" s="21"/>
      <c r="V22" s="21"/>
      <c r="W22" s="21"/>
      <c r="X22" s="23">
        <f t="shared" si="6"/>
        <v>0</v>
      </c>
      <c r="Y22" s="21"/>
      <c r="Z22" s="21"/>
      <c r="AA22" s="21"/>
      <c r="AB22" s="23">
        <f t="shared" si="7"/>
        <v>0</v>
      </c>
      <c r="AC22" s="21">
        <f t="shared" ref="AC22:AE22" si="21">SUM(E22,I22,M22,Q22,U22,Y22)</f>
        <v>0</v>
      </c>
      <c r="AD22" s="21">
        <f t="shared" si="21"/>
        <v>0</v>
      </c>
      <c r="AE22" s="21">
        <f t="shared" si="21"/>
        <v>0</v>
      </c>
      <c r="AF22" s="21">
        <f t="shared" si="9"/>
        <v>0</v>
      </c>
      <c r="AG22" s="24">
        <f t="shared" si="12"/>
        <v>0</v>
      </c>
      <c r="AH22" s="24">
        <f t="shared" si="10"/>
        <v>100</v>
      </c>
    </row>
    <row r="23" ht="15.75" customHeight="1">
      <c r="A23" s="21">
        <v>13.0</v>
      </c>
      <c r="B23" s="28" t="s">
        <v>64</v>
      </c>
      <c r="C23" s="28" t="s">
        <v>65</v>
      </c>
      <c r="D23" s="28" t="s">
        <v>45</v>
      </c>
      <c r="E23" s="21"/>
      <c r="F23" s="29">
        <v>2.0</v>
      </c>
      <c r="G23" s="21"/>
      <c r="H23" s="20">
        <f t="shared" si="2"/>
        <v>2</v>
      </c>
      <c r="I23" s="21"/>
      <c r="J23" s="21"/>
      <c r="K23" s="21"/>
      <c r="L23" s="20">
        <f t="shared" si="3"/>
        <v>0</v>
      </c>
      <c r="M23" s="21"/>
      <c r="N23" s="21"/>
      <c r="O23" s="21"/>
      <c r="P23" s="23">
        <f t="shared" si="4"/>
        <v>0</v>
      </c>
      <c r="Q23" s="21"/>
      <c r="R23" s="21"/>
      <c r="S23" s="21"/>
      <c r="T23" s="23">
        <f t="shared" si="5"/>
        <v>0</v>
      </c>
      <c r="U23" s="21"/>
      <c r="V23" s="21"/>
      <c r="W23" s="21"/>
      <c r="X23" s="23">
        <f t="shared" si="6"/>
        <v>0</v>
      </c>
      <c r="Y23" s="21"/>
      <c r="Z23" s="21"/>
      <c r="AA23" s="21"/>
      <c r="AB23" s="23">
        <f t="shared" si="7"/>
        <v>0</v>
      </c>
      <c r="AC23" s="21">
        <f t="shared" ref="AC23:AE23" si="22">SUM(E23,I23,M23,Q23,U23,Y23)</f>
        <v>0</v>
      </c>
      <c r="AD23" s="21">
        <f t="shared" si="22"/>
        <v>2</v>
      </c>
      <c r="AE23" s="21">
        <f t="shared" si="22"/>
        <v>0</v>
      </c>
      <c r="AF23" s="21">
        <f t="shared" si="9"/>
        <v>2</v>
      </c>
      <c r="AG23" s="24">
        <f t="shared" si="12"/>
        <v>0.02105263158</v>
      </c>
      <c r="AH23" s="24">
        <f t="shared" si="10"/>
        <v>99.97894737</v>
      </c>
    </row>
    <row r="24" ht="15.75" customHeight="1">
      <c r="A24" s="21">
        <v>14.0</v>
      </c>
      <c r="B24" s="28" t="s">
        <v>66</v>
      </c>
      <c r="C24" s="28" t="s">
        <v>67</v>
      </c>
      <c r="D24" s="28" t="s">
        <v>45</v>
      </c>
      <c r="E24" s="21"/>
      <c r="F24" s="21"/>
      <c r="G24" s="21"/>
      <c r="H24" s="20">
        <f t="shared" si="2"/>
        <v>0</v>
      </c>
      <c r="I24" s="21"/>
      <c r="J24" s="21"/>
      <c r="K24" s="21"/>
      <c r="L24" s="20">
        <f t="shared" si="3"/>
        <v>0</v>
      </c>
      <c r="M24" s="21"/>
      <c r="N24" s="21"/>
      <c r="O24" s="21"/>
      <c r="P24" s="23">
        <f t="shared" si="4"/>
        <v>0</v>
      </c>
      <c r="Q24" s="21"/>
      <c r="R24" s="21"/>
      <c r="S24" s="21"/>
      <c r="T24" s="23">
        <f t="shared" si="5"/>
        <v>0</v>
      </c>
      <c r="U24" s="21"/>
      <c r="V24" s="21"/>
      <c r="W24" s="21"/>
      <c r="X24" s="23">
        <f t="shared" si="6"/>
        <v>0</v>
      </c>
      <c r="Y24" s="21"/>
      <c r="Z24" s="21"/>
      <c r="AA24" s="21"/>
      <c r="AB24" s="23">
        <f t="shared" si="7"/>
        <v>0</v>
      </c>
      <c r="AC24" s="21">
        <f t="shared" ref="AC24:AE24" si="23">SUM(E24,I24,M24,Q24,U24,Y24)</f>
        <v>0</v>
      </c>
      <c r="AD24" s="21">
        <f t="shared" si="23"/>
        <v>0</v>
      </c>
      <c r="AE24" s="21">
        <f t="shared" si="23"/>
        <v>0</v>
      </c>
      <c r="AF24" s="21">
        <f t="shared" si="9"/>
        <v>0</v>
      </c>
      <c r="AG24" s="24">
        <f t="shared" si="12"/>
        <v>0</v>
      </c>
      <c r="AH24" s="24">
        <f t="shared" si="10"/>
        <v>100</v>
      </c>
    </row>
    <row r="25" ht="15.75" customHeight="1">
      <c r="A25" s="21">
        <v>15.0</v>
      </c>
      <c r="B25" s="28" t="s">
        <v>68</v>
      </c>
      <c r="C25" s="28" t="s">
        <v>69</v>
      </c>
      <c r="D25" s="28" t="s">
        <v>40</v>
      </c>
      <c r="E25" s="21"/>
      <c r="F25" s="21"/>
      <c r="G25" s="21"/>
      <c r="H25" s="20">
        <f t="shared" si="2"/>
        <v>0</v>
      </c>
      <c r="I25" s="21"/>
      <c r="J25" s="21"/>
      <c r="K25" s="21"/>
      <c r="L25" s="20">
        <f t="shared" si="3"/>
        <v>0</v>
      </c>
      <c r="M25" s="21"/>
      <c r="N25" s="21"/>
      <c r="O25" s="21"/>
      <c r="P25" s="23">
        <f t="shared" si="4"/>
        <v>0</v>
      </c>
      <c r="Q25" s="21"/>
      <c r="R25" s="21"/>
      <c r="S25" s="21"/>
      <c r="T25" s="23">
        <f t="shared" si="5"/>
        <v>0</v>
      </c>
      <c r="U25" s="21"/>
      <c r="V25" s="21"/>
      <c r="W25" s="21"/>
      <c r="X25" s="23">
        <f t="shared" si="6"/>
        <v>0</v>
      </c>
      <c r="Y25" s="21"/>
      <c r="Z25" s="21"/>
      <c r="AA25" s="21"/>
      <c r="AB25" s="23">
        <f t="shared" si="7"/>
        <v>0</v>
      </c>
      <c r="AC25" s="21">
        <f t="shared" ref="AC25:AE25" si="24">SUM(E25,I25,M25,Q25,U25,Y25)</f>
        <v>0</v>
      </c>
      <c r="AD25" s="21">
        <f t="shared" si="24"/>
        <v>0</v>
      </c>
      <c r="AE25" s="21">
        <f t="shared" si="24"/>
        <v>0</v>
      </c>
      <c r="AF25" s="21">
        <f t="shared" si="9"/>
        <v>0</v>
      </c>
      <c r="AG25" s="24">
        <f t="shared" si="12"/>
        <v>0</v>
      </c>
      <c r="AH25" s="24">
        <f t="shared" si="10"/>
        <v>100</v>
      </c>
    </row>
    <row r="26" ht="15.75" customHeight="1">
      <c r="A26" s="21">
        <v>16.0</v>
      </c>
      <c r="B26" s="28" t="s">
        <v>70</v>
      </c>
      <c r="C26" s="28" t="s">
        <v>71</v>
      </c>
      <c r="D26" s="28" t="s">
        <v>40</v>
      </c>
      <c r="E26" s="21"/>
      <c r="F26" s="21"/>
      <c r="G26" s="29">
        <v>1.0</v>
      </c>
      <c r="H26" s="20">
        <f t="shared" si="2"/>
        <v>1</v>
      </c>
      <c r="I26" s="21"/>
      <c r="J26" s="21"/>
      <c r="K26" s="21"/>
      <c r="L26" s="20">
        <f t="shared" si="3"/>
        <v>0</v>
      </c>
      <c r="M26" s="21"/>
      <c r="N26" s="21"/>
      <c r="O26" s="21"/>
      <c r="P26" s="23">
        <f t="shared" si="4"/>
        <v>0</v>
      </c>
      <c r="Q26" s="21"/>
      <c r="R26" s="21"/>
      <c r="S26" s="21"/>
      <c r="T26" s="23">
        <f t="shared" si="5"/>
        <v>0</v>
      </c>
      <c r="U26" s="21"/>
      <c r="V26" s="21"/>
      <c r="W26" s="21"/>
      <c r="X26" s="23">
        <f t="shared" si="6"/>
        <v>0</v>
      </c>
      <c r="Y26" s="21"/>
      <c r="Z26" s="21"/>
      <c r="AA26" s="21"/>
      <c r="AB26" s="23">
        <f t="shared" si="7"/>
        <v>0</v>
      </c>
      <c r="AC26" s="21">
        <f t="shared" ref="AC26:AE26" si="25">SUM(E26,I26,M26,Q26,U26,Y26)</f>
        <v>0</v>
      </c>
      <c r="AD26" s="21">
        <f t="shared" si="25"/>
        <v>0</v>
      </c>
      <c r="AE26" s="21">
        <f t="shared" si="25"/>
        <v>1</v>
      </c>
      <c r="AF26" s="21">
        <f t="shared" si="9"/>
        <v>1</v>
      </c>
      <c r="AG26" s="24">
        <f t="shared" si="12"/>
        <v>0.01052631579</v>
      </c>
      <c r="AH26" s="24">
        <f t="shared" si="10"/>
        <v>99.98947368</v>
      </c>
    </row>
    <row r="27" ht="15.75" customHeight="1">
      <c r="A27" s="21">
        <v>17.0</v>
      </c>
      <c r="B27" s="28" t="s">
        <v>72</v>
      </c>
      <c r="C27" s="28" t="s">
        <v>73</v>
      </c>
      <c r="D27" s="28" t="s">
        <v>40</v>
      </c>
      <c r="E27" s="21"/>
      <c r="F27" s="21"/>
      <c r="G27" s="21"/>
      <c r="H27" s="20">
        <f t="shared" si="2"/>
        <v>0</v>
      </c>
      <c r="I27" s="21"/>
      <c r="J27" s="21"/>
      <c r="K27" s="21"/>
      <c r="L27" s="20">
        <f t="shared" si="3"/>
        <v>0</v>
      </c>
      <c r="M27" s="21"/>
      <c r="N27" s="21"/>
      <c r="O27" s="21"/>
      <c r="P27" s="23">
        <f t="shared" si="4"/>
        <v>0</v>
      </c>
      <c r="Q27" s="21"/>
      <c r="R27" s="21"/>
      <c r="S27" s="21"/>
      <c r="T27" s="23">
        <f t="shared" si="5"/>
        <v>0</v>
      </c>
      <c r="U27" s="21"/>
      <c r="V27" s="21"/>
      <c r="W27" s="21"/>
      <c r="X27" s="23">
        <f t="shared" si="6"/>
        <v>0</v>
      </c>
      <c r="Y27" s="21"/>
      <c r="Z27" s="21"/>
      <c r="AA27" s="21"/>
      <c r="AB27" s="23">
        <f t="shared" si="7"/>
        <v>0</v>
      </c>
      <c r="AC27" s="21">
        <f t="shared" ref="AC27:AE27" si="26">SUM(E27,I27,M27,Q27,U27,Y27)</f>
        <v>0</v>
      </c>
      <c r="AD27" s="21">
        <f t="shared" si="26"/>
        <v>0</v>
      </c>
      <c r="AE27" s="21">
        <f t="shared" si="26"/>
        <v>0</v>
      </c>
      <c r="AF27" s="21">
        <f t="shared" si="9"/>
        <v>0</v>
      </c>
      <c r="AG27" s="24">
        <f t="shared" si="12"/>
        <v>0</v>
      </c>
      <c r="AH27" s="24">
        <f t="shared" si="10"/>
        <v>100</v>
      </c>
    </row>
    <row r="28" ht="15.75" customHeight="1">
      <c r="A28" s="21">
        <v>18.0</v>
      </c>
      <c r="B28" s="28" t="s">
        <v>74</v>
      </c>
      <c r="C28" s="28" t="s">
        <v>75</v>
      </c>
      <c r="D28" s="28" t="s">
        <v>40</v>
      </c>
      <c r="E28" s="21"/>
      <c r="F28" s="21"/>
      <c r="G28" s="21"/>
      <c r="H28" s="20">
        <f t="shared" si="2"/>
        <v>0</v>
      </c>
      <c r="I28" s="21"/>
      <c r="J28" s="21"/>
      <c r="K28" s="21"/>
      <c r="L28" s="20">
        <f t="shared" si="3"/>
        <v>0</v>
      </c>
      <c r="M28" s="21"/>
      <c r="N28" s="21"/>
      <c r="O28" s="21"/>
      <c r="P28" s="23">
        <f t="shared" si="4"/>
        <v>0</v>
      </c>
      <c r="Q28" s="21"/>
      <c r="R28" s="21"/>
      <c r="S28" s="21"/>
      <c r="T28" s="23">
        <f t="shared" si="5"/>
        <v>0</v>
      </c>
      <c r="U28" s="21"/>
      <c r="V28" s="21"/>
      <c r="W28" s="21"/>
      <c r="X28" s="23">
        <f t="shared" si="6"/>
        <v>0</v>
      </c>
      <c r="Y28" s="21"/>
      <c r="Z28" s="21"/>
      <c r="AA28" s="21"/>
      <c r="AB28" s="23">
        <f t="shared" si="7"/>
        <v>0</v>
      </c>
      <c r="AC28" s="21">
        <f t="shared" ref="AC28:AE28" si="27">SUM(E28,I28,M28,Q28,U28,Y28)</f>
        <v>0</v>
      </c>
      <c r="AD28" s="21">
        <f t="shared" si="27"/>
        <v>0</v>
      </c>
      <c r="AE28" s="21">
        <f t="shared" si="27"/>
        <v>0</v>
      </c>
      <c r="AF28" s="21">
        <f t="shared" si="9"/>
        <v>0</v>
      </c>
      <c r="AG28" s="24">
        <f t="shared" si="12"/>
        <v>0</v>
      </c>
      <c r="AH28" s="24">
        <f t="shared" si="10"/>
        <v>100</v>
      </c>
    </row>
    <row r="29" ht="15.75" customHeight="1">
      <c r="A29" s="21">
        <v>19.0</v>
      </c>
      <c r="B29" s="28" t="s">
        <v>76</v>
      </c>
      <c r="C29" s="28" t="s">
        <v>77</v>
      </c>
      <c r="D29" s="28" t="s">
        <v>40</v>
      </c>
      <c r="E29" s="21"/>
      <c r="F29" s="21"/>
      <c r="G29" s="21"/>
      <c r="H29" s="20">
        <f t="shared" si="2"/>
        <v>0</v>
      </c>
      <c r="I29" s="21"/>
      <c r="J29" s="21"/>
      <c r="K29" s="21"/>
      <c r="L29" s="20">
        <f t="shared" si="3"/>
        <v>0</v>
      </c>
      <c r="M29" s="21"/>
      <c r="N29" s="21"/>
      <c r="O29" s="21"/>
      <c r="P29" s="23">
        <f t="shared" si="4"/>
        <v>0</v>
      </c>
      <c r="Q29" s="21"/>
      <c r="R29" s="21"/>
      <c r="S29" s="21"/>
      <c r="T29" s="23">
        <f t="shared" si="5"/>
        <v>0</v>
      </c>
      <c r="U29" s="21"/>
      <c r="V29" s="21"/>
      <c r="W29" s="21"/>
      <c r="X29" s="23">
        <f t="shared" si="6"/>
        <v>0</v>
      </c>
      <c r="Y29" s="21"/>
      <c r="Z29" s="21"/>
      <c r="AA29" s="21"/>
      <c r="AB29" s="23">
        <f t="shared" si="7"/>
        <v>0</v>
      </c>
      <c r="AC29" s="21">
        <f t="shared" ref="AC29:AE29" si="28">SUM(E29,I29,M29,Q29,U29,Y29)</f>
        <v>0</v>
      </c>
      <c r="AD29" s="21">
        <f t="shared" si="28"/>
        <v>0</v>
      </c>
      <c r="AE29" s="21">
        <f t="shared" si="28"/>
        <v>0</v>
      </c>
      <c r="AF29" s="21">
        <f t="shared" si="9"/>
        <v>0</v>
      </c>
      <c r="AG29" s="24">
        <f t="shared" si="12"/>
        <v>0</v>
      </c>
      <c r="AH29" s="24">
        <f t="shared" si="10"/>
        <v>100</v>
      </c>
    </row>
    <row r="30" ht="15.75" customHeight="1">
      <c r="A30" s="21">
        <v>20.0</v>
      </c>
      <c r="B30" s="28" t="s">
        <v>78</v>
      </c>
      <c r="C30" s="28" t="s">
        <v>79</v>
      </c>
      <c r="D30" s="28" t="s">
        <v>40</v>
      </c>
      <c r="E30" s="21"/>
      <c r="F30" s="21"/>
      <c r="G30" s="21"/>
      <c r="H30" s="20">
        <f t="shared" si="2"/>
        <v>0</v>
      </c>
      <c r="I30" s="21"/>
      <c r="J30" s="21"/>
      <c r="K30" s="21"/>
      <c r="L30" s="20">
        <f t="shared" si="3"/>
        <v>0</v>
      </c>
      <c r="M30" s="21"/>
      <c r="N30" s="21"/>
      <c r="O30" s="21"/>
      <c r="P30" s="23">
        <f t="shared" si="4"/>
        <v>0</v>
      </c>
      <c r="Q30" s="21"/>
      <c r="R30" s="21"/>
      <c r="S30" s="21"/>
      <c r="T30" s="23">
        <f t="shared" si="5"/>
        <v>0</v>
      </c>
      <c r="U30" s="21"/>
      <c r="V30" s="21"/>
      <c r="W30" s="21"/>
      <c r="X30" s="23">
        <f t="shared" si="6"/>
        <v>0</v>
      </c>
      <c r="Y30" s="21"/>
      <c r="Z30" s="21"/>
      <c r="AA30" s="21"/>
      <c r="AB30" s="23">
        <f t="shared" si="7"/>
        <v>0</v>
      </c>
      <c r="AC30" s="21">
        <f t="shared" ref="AC30:AE30" si="29">SUM(E30,I30,M30,Q30,U30,Y30)</f>
        <v>0</v>
      </c>
      <c r="AD30" s="21">
        <f t="shared" si="29"/>
        <v>0</v>
      </c>
      <c r="AE30" s="21">
        <f t="shared" si="29"/>
        <v>0</v>
      </c>
      <c r="AF30" s="21">
        <f t="shared" si="9"/>
        <v>0</v>
      </c>
      <c r="AG30" s="24">
        <f t="shared" si="12"/>
        <v>0</v>
      </c>
      <c r="AH30" s="24">
        <f t="shared" si="10"/>
        <v>100</v>
      </c>
    </row>
    <row r="31" ht="15.75" customHeight="1">
      <c r="A31" s="21">
        <v>21.0</v>
      </c>
      <c r="B31" s="28" t="s">
        <v>80</v>
      </c>
      <c r="C31" s="28" t="s">
        <v>81</v>
      </c>
      <c r="D31" s="28" t="s">
        <v>40</v>
      </c>
      <c r="E31" s="21"/>
      <c r="F31" s="21"/>
      <c r="G31" s="29">
        <v>1.0</v>
      </c>
      <c r="H31" s="20">
        <f t="shared" si="2"/>
        <v>1</v>
      </c>
      <c r="I31" s="21"/>
      <c r="J31" s="21"/>
      <c r="K31" s="21"/>
      <c r="L31" s="20">
        <f t="shared" si="3"/>
        <v>0</v>
      </c>
      <c r="M31" s="21"/>
      <c r="N31" s="21"/>
      <c r="O31" s="21"/>
      <c r="P31" s="23">
        <f t="shared" si="4"/>
        <v>0</v>
      </c>
      <c r="Q31" s="21"/>
      <c r="R31" s="21"/>
      <c r="S31" s="21"/>
      <c r="T31" s="23">
        <f t="shared" si="5"/>
        <v>0</v>
      </c>
      <c r="U31" s="21"/>
      <c r="V31" s="21"/>
      <c r="W31" s="21"/>
      <c r="X31" s="23">
        <f t="shared" si="6"/>
        <v>0</v>
      </c>
      <c r="Y31" s="21"/>
      <c r="Z31" s="21"/>
      <c r="AA31" s="21"/>
      <c r="AB31" s="23">
        <f t="shared" si="7"/>
        <v>0</v>
      </c>
      <c r="AC31" s="21">
        <f t="shared" ref="AC31:AE31" si="30">SUM(E31,I31,M31,Q31,U31,Y31)</f>
        <v>0</v>
      </c>
      <c r="AD31" s="21">
        <f t="shared" si="30"/>
        <v>0</v>
      </c>
      <c r="AE31" s="21">
        <f t="shared" si="30"/>
        <v>1</v>
      </c>
      <c r="AF31" s="21">
        <f t="shared" si="9"/>
        <v>1</v>
      </c>
      <c r="AG31" s="24">
        <f t="shared" si="12"/>
        <v>0.01052631579</v>
      </c>
      <c r="AH31" s="24">
        <f t="shared" si="10"/>
        <v>99.98947368</v>
      </c>
    </row>
    <row r="32" ht="15.75" customHeight="1">
      <c r="A32" s="21">
        <v>22.0</v>
      </c>
      <c r="B32" s="28" t="s">
        <v>82</v>
      </c>
      <c r="C32" s="28" t="s">
        <v>83</v>
      </c>
      <c r="D32" s="28" t="s">
        <v>40</v>
      </c>
      <c r="E32" s="21"/>
      <c r="F32" s="21"/>
      <c r="G32" s="21"/>
      <c r="H32" s="20">
        <f t="shared" si="2"/>
        <v>0</v>
      </c>
      <c r="I32" s="21"/>
      <c r="J32" s="21"/>
      <c r="K32" s="21"/>
      <c r="L32" s="20">
        <f t="shared" si="3"/>
        <v>0</v>
      </c>
      <c r="M32" s="21"/>
      <c r="N32" s="21"/>
      <c r="O32" s="21"/>
      <c r="P32" s="23">
        <f t="shared" si="4"/>
        <v>0</v>
      </c>
      <c r="Q32" s="21"/>
      <c r="R32" s="21"/>
      <c r="S32" s="21"/>
      <c r="T32" s="23">
        <f t="shared" si="5"/>
        <v>0</v>
      </c>
      <c r="U32" s="21"/>
      <c r="V32" s="21"/>
      <c r="W32" s="21"/>
      <c r="X32" s="23">
        <f t="shared" si="6"/>
        <v>0</v>
      </c>
      <c r="Y32" s="21"/>
      <c r="Z32" s="21"/>
      <c r="AA32" s="21"/>
      <c r="AB32" s="23">
        <f t="shared" si="7"/>
        <v>0</v>
      </c>
      <c r="AC32" s="21">
        <f t="shared" ref="AC32:AE32" si="31">SUM(E32,I32,M32,Q32,U32,Y32)</f>
        <v>0</v>
      </c>
      <c r="AD32" s="21">
        <f t="shared" si="31"/>
        <v>0</v>
      </c>
      <c r="AE32" s="21">
        <f t="shared" si="31"/>
        <v>0</v>
      </c>
      <c r="AF32" s="21">
        <f t="shared" si="9"/>
        <v>0</v>
      </c>
      <c r="AG32" s="24">
        <f t="shared" si="12"/>
        <v>0</v>
      </c>
      <c r="AH32" s="24">
        <f t="shared" si="10"/>
        <v>100</v>
      </c>
    </row>
    <row r="33" ht="15.75" customHeight="1">
      <c r="A33" s="21">
        <v>23.0</v>
      </c>
      <c r="B33" s="28" t="s">
        <v>84</v>
      </c>
      <c r="C33" s="28" t="s">
        <v>85</v>
      </c>
      <c r="D33" s="28" t="s">
        <v>45</v>
      </c>
      <c r="E33" s="21"/>
      <c r="F33" s="21"/>
      <c r="G33" s="21"/>
      <c r="H33" s="20">
        <f t="shared" si="2"/>
        <v>0</v>
      </c>
      <c r="I33" s="21"/>
      <c r="J33" s="21"/>
      <c r="K33" s="21"/>
      <c r="L33" s="20">
        <f t="shared" si="3"/>
        <v>0</v>
      </c>
      <c r="M33" s="21"/>
      <c r="N33" s="21"/>
      <c r="O33" s="21"/>
      <c r="P33" s="23">
        <f t="shared" si="4"/>
        <v>0</v>
      </c>
      <c r="Q33" s="21"/>
      <c r="R33" s="21"/>
      <c r="S33" s="21"/>
      <c r="T33" s="23">
        <f t="shared" si="5"/>
        <v>0</v>
      </c>
      <c r="U33" s="21"/>
      <c r="V33" s="21"/>
      <c r="W33" s="21"/>
      <c r="X33" s="23">
        <f t="shared" si="6"/>
        <v>0</v>
      </c>
      <c r="Y33" s="21"/>
      <c r="Z33" s="21"/>
      <c r="AA33" s="21"/>
      <c r="AB33" s="23">
        <f t="shared" si="7"/>
        <v>0</v>
      </c>
      <c r="AC33" s="21">
        <f t="shared" ref="AC33:AE33" si="32">SUM(E33,I33,M33,Q33,U33,Y33)</f>
        <v>0</v>
      </c>
      <c r="AD33" s="21">
        <f t="shared" si="32"/>
        <v>0</v>
      </c>
      <c r="AE33" s="21">
        <f t="shared" si="32"/>
        <v>0</v>
      </c>
      <c r="AF33" s="21">
        <f t="shared" si="9"/>
        <v>0</v>
      </c>
      <c r="AG33" s="24">
        <f t="shared" si="12"/>
        <v>0</v>
      </c>
      <c r="AH33" s="24">
        <f t="shared" si="10"/>
        <v>100</v>
      </c>
    </row>
    <row r="34" ht="15.75" customHeight="1">
      <c r="A34" s="21">
        <v>24.0</v>
      </c>
      <c r="B34" s="28" t="s">
        <v>86</v>
      </c>
      <c r="C34" s="28" t="s">
        <v>87</v>
      </c>
      <c r="D34" s="28" t="s">
        <v>45</v>
      </c>
      <c r="E34" s="21"/>
      <c r="F34" s="21"/>
      <c r="G34" s="21"/>
      <c r="H34" s="20">
        <f t="shared" si="2"/>
        <v>0</v>
      </c>
      <c r="I34" s="21"/>
      <c r="J34" s="21"/>
      <c r="K34" s="21"/>
      <c r="L34" s="20">
        <f t="shared" si="3"/>
        <v>0</v>
      </c>
      <c r="M34" s="21"/>
      <c r="N34" s="21"/>
      <c r="O34" s="21"/>
      <c r="P34" s="23">
        <f t="shared" si="4"/>
        <v>0</v>
      </c>
      <c r="Q34" s="21"/>
      <c r="R34" s="21"/>
      <c r="S34" s="21"/>
      <c r="T34" s="23">
        <f t="shared" si="5"/>
        <v>0</v>
      </c>
      <c r="U34" s="21"/>
      <c r="V34" s="21"/>
      <c r="W34" s="21"/>
      <c r="X34" s="23">
        <f t="shared" si="6"/>
        <v>0</v>
      </c>
      <c r="Y34" s="21"/>
      <c r="Z34" s="21"/>
      <c r="AA34" s="21"/>
      <c r="AB34" s="23">
        <f t="shared" si="7"/>
        <v>0</v>
      </c>
      <c r="AC34" s="21">
        <f t="shared" ref="AC34:AE34" si="33">SUM(E34,I34,M34,Q34,U34,Y34)</f>
        <v>0</v>
      </c>
      <c r="AD34" s="21">
        <f t="shared" si="33"/>
        <v>0</v>
      </c>
      <c r="AE34" s="21">
        <f t="shared" si="33"/>
        <v>0</v>
      </c>
      <c r="AF34" s="21">
        <f t="shared" si="9"/>
        <v>0</v>
      </c>
      <c r="AG34" s="24">
        <f t="shared" si="12"/>
        <v>0</v>
      </c>
      <c r="AH34" s="24">
        <f t="shared" si="10"/>
        <v>100</v>
      </c>
    </row>
    <row r="35" ht="15.75" customHeight="1">
      <c r="A35" s="21">
        <v>25.0</v>
      </c>
      <c r="B35" s="28" t="s">
        <v>88</v>
      </c>
      <c r="C35" s="28" t="s">
        <v>89</v>
      </c>
      <c r="D35" s="28" t="s">
        <v>40</v>
      </c>
      <c r="E35" s="21"/>
      <c r="F35" s="21"/>
      <c r="G35" s="21"/>
      <c r="H35" s="20">
        <f t="shared" si="2"/>
        <v>0</v>
      </c>
      <c r="I35" s="21"/>
      <c r="J35" s="21"/>
      <c r="K35" s="21"/>
      <c r="L35" s="20">
        <f t="shared" si="3"/>
        <v>0</v>
      </c>
      <c r="M35" s="21"/>
      <c r="N35" s="21"/>
      <c r="O35" s="21"/>
      <c r="P35" s="23">
        <f t="shared" si="4"/>
        <v>0</v>
      </c>
      <c r="Q35" s="21"/>
      <c r="R35" s="21"/>
      <c r="S35" s="21"/>
      <c r="T35" s="23">
        <f t="shared" si="5"/>
        <v>0</v>
      </c>
      <c r="U35" s="21"/>
      <c r="V35" s="21"/>
      <c r="W35" s="21"/>
      <c r="X35" s="23">
        <f t="shared" si="6"/>
        <v>0</v>
      </c>
      <c r="Y35" s="21"/>
      <c r="Z35" s="21"/>
      <c r="AA35" s="21"/>
      <c r="AB35" s="23">
        <f t="shared" si="7"/>
        <v>0</v>
      </c>
      <c r="AC35" s="21">
        <f t="shared" ref="AC35:AE35" si="34">SUM(E35,I35,M35,Q35,U35,Y35)</f>
        <v>0</v>
      </c>
      <c r="AD35" s="21">
        <f t="shared" si="34"/>
        <v>0</v>
      </c>
      <c r="AE35" s="21">
        <f t="shared" si="34"/>
        <v>0</v>
      </c>
      <c r="AF35" s="21">
        <f t="shared" si="9"/>
        <v>0</v>
      </c>
      <c r="AG35" s="24">
        <f t="shared" si="12"/>
        <v>0</v>
      </c>
      <c r="AH35" s="24">
        <f t="shared" si="10"/>
        <v>100</v>
      </c>
    </row>
    <row r="36" ht="15.75" customHeight="1">
      <c r="A36" s="21">
        <v>26.0</v>
      </c>
      <c r="B36" s="28" t="s">
        <v>90</v>
      </c>
      <c r="C36" s="28" t="s">
        <v>91</v>
      </c>
      <c r="D36" s="28" t="s">
        <v>40</v>
      </c>
      <c r="E36" s="21"/>
      <c r="F36" s="21"/>
      <c r="G36" s="21"/>
      <c r="H36" s="20">
        <f t="shared" si="2"/>
        <v>0</v>
      </c>
      <c r="I36" s="21"/>
      <c r="J36" s="21"/>
      <c r="K36" s="21"/>
      <c r="L36" s="20">
        <f t="shared" si="3"/>
        <v>0</v>
      </c>
      <c r="M36" s="21"/>
      <c r="N36" s="21"/>
      <c r="O36" s="21"/>
      <c r="P36" s="23">
        <f t="shared" si="4"/>
        <v>0</v>
      </c>
      <c r="Q36" s="21"/>
      <c r="R36" s="21"/>
      <c r="S36" s="21"/>
      <c r="T36" s="23">
        <f t="shared" si="5"/>
        <v>0</v>
      </c>
      <c r="U36" s="21"/>
      <c r="V36" s="21"/>
      <c r="W36" s="21"/>
      <c r="X36" s="23">
        <f t="shared" si="6"/>
        <v>0</v>
      </c>
      <c r="Y36" s="21"/>
      <c r="Z36" s="21"/>
      <c r="AA36" s="21"/>
      <c r="AB36" s="23">
        <f t="shared" si="7"/>
        <v>0</v>
      </c>
      <c r="AC36" s="21">
        <f t="shared" ref="AC36:AE36" si="35">SUM(E36,I36,M36,Q36,U36,Y36)</f>
        <v>0</v>
      </c>
      <c r="AD36" s="21">
        <f t="shared" si="35"/>
        <v>0</v>
      </c>
      <c r="AE36" s="21">
        <f t="shared" si="35"/>
        <v>0</v>
      </c>
      <c r="AF36" s="21">
        <f t="shared" si="9"/>
        <v>0</v>
      </c>
      <c r="AG36" s="24">
        <f t="shared" si="12"/>
        <v>0</v>
      </c>
      <c r="AH36" s="24">
        <f t="shared" si="10"/>
        <v>100</v>
      </c>
    </row>
    <row r="37" ht="15.75" customHeight="1">
      <c r="A37" s="21">
        <v>27.0</v>
      </c>
      <c r="B37" s="28" t="s">
        <v>92</v>
      </c>
      <c r="C37" s="28" t="s">
        <v>93</v>
      </c>
      <c r="D37" s="28" t="s">
        <v>45</v>
      </c>
      <c r="E37" s="29">
        <v>2.0</v>
      </c>
      <c r="F37" s="21"/>
      <c r="G37" s="21"/>
      <c r="H37" s="20">
        <f t="shared" si="2"/>
        <v>2</v>
      </c>
      <c r="I37" s="21"/>
      <c r="J37" s="21"/>
      <c r="K37" s="21"/>
      <c r="L37" s="20">
        <f t="shared" si="3"/>
        <v>0</v>
      </c>
      <c r="M37" s="21"/>
      <c r="N37" s="21"/>
      <c r="O37" s="21"/>
      <c r="P37" s="23">
        <f t="shared" si="4"/>
        <v>0</v>
      </c>
      <c r="Q37" s="21"/>
      <c r="R37" s="21"/>
      <c r="S37" s="21"/>
      <c r="T37" s="23">
        <f t="shared" si="5"/>
        <v>0</v>
      </c>
      <c r="U37" s="21"/>
      <c r="V37" s="21"/>
      <c r="W37" s="21"/>
      <c r="X37" s="23">
        <f t="shared" si="6"/>
        <v>0</v>
      </c>
      <c r="Y37" s="21"/>
      <c r="Z37" s="21"/>
      <c r="AA37" s="21"/>
      <c r="AB37" s="23">
        <f t="shared" si="7"/>
        <v>0</v>
      </c>
      <c r="AC37" s="21">
        <f t="shared" ref="AC37:AE37" si="36">SUM(E37,I37,M37,Q37,U37,Y37)</f>
        <v>2</v>
      </c>
      <c r="AD37" s="21">
        <f t="shared" si="36"/>
        <v>0</v>
      </c>
      <c r="AE37" s="21">
        <f t="shared" si="36"/>
        <v>0</v>
      </c>
      <c r="AF37" s="21">
        <f t="shared" si="9"/>
        <v>2</v>
      </c>
      <c r="AG37" s="24">
        <f t="shared" si="12"/>
        <v>0.02105263158</v>
      </c>
      <c r="AH37" s="24">
        <f t="shared" si="10"/>
        <v>99.97894737</v>
      </c>
    </row>
    <row r="38" ht="15.75" customHeight="1">
      <c r="A38" s="21">
        <v>28.0</v>
      </c>
      <c r="B38" s="28" t="s">
        <v>94</v>
      </c>
      <c r="C38" s="28" t="s">
        <v>95</v>
      </c>
      <c r="D38" s="28" t="s">
        <v>45</v>
      </c>
      <c r="E38" s="29">
        <v>1.0</v>
      </c>
      <c r="F38" s="21"/>
      <c r="G38" s="21"/>
      <c r="H38" s="20">
        <f t="shared" si="2"/>
        <v>1</v>
      </c>
      <c r="I38" s="21"/>
      <c r="J38" s="21"/>
      <c r="K38" s="21"/>
      <c r="L38" s="20">
        <f t="shared" si="3"/>
        <v>0</v>
      </c>
      <c r="M38" s="21"/>
      <c r="N38" s="21"/>
      <c r="O38" s="21"/>
      <c r="P38" s="23">
        <f t="shared" si="4"/>
        <v>0</v>
      </c>
      <c r="Q38" s="21"/>
      <c r="R38" s="21"/>
      <c r="S38" s="21"/>
      <c r="T38" s="23">
        <f t="shared" si="5"/>
        <v>0</v>
      </c>
      <c r="U38" s="21"/>
      <c r="V38" s="21"/>
      <c r="W38" s="21"/>
      <c r="X38" s="23">
        <f t="shared" si="6"/>
        <v>0</v>
      </c>
      <c r="Y38" s="21"/>
      <c r="Z38" s="21"/>
      <c r="AA38" s="21"/>
      <c r="AB38" s="23">
        <f t="shared" si="7"/>
        <v>0</v>
      </c>
      <c r="AC38" s="21">
        <f t="shared" ref="AC38:AE38" si="37">SUM(E38,I38,M38,Q38,U38,Y38)</f>
        <v>1</v>
      </c>
      <c r="AD38" s="21">
        <f t="shared" si="37"/>
        <v>0</v>
      </c>
      <c r="AE38" s="21">
        <f t="shared" si="37"/>
        <v>0</v>
      </c>
      <c r="AF38" s="21">
        <f t="shared" si="9"/>
        <v>1</v>
      </c>
      <c r="AG38" s="24">
        <f t="shared" si="12"/>
        <v>0.01052631579</v>
      </c>
      <c r="AH38" s="24">
        <f t="shared" si="10"/>
        <v>99.98947368</v>
      </c>
    </row>
    <row r="39" ht="15.75" customHeight="1">
      <c r="A39" s="21">
        <v>29.0</v>
      </c>
      <c r="B39" s="28" t="s">
        <v>96</v>
      </c>
      <c r="C39" s="28" t="s">
        <v>97</v>
      </c>
      <c r="D39" s="28" t="s">
        <v>40</v>
      </c>
      <c r="E39" s="21"/>
      <c r="F39" s="21"/>
      <c r="G39" s="21"/>
      <c r="H39" s="20">
        <f t="shared" si="2"/>
        <v>0</v>
      </c>
      <c r="I39" s="21"/>
      <c r="J39" s="21"/>
      <c r="K39" s="21"/>
      <c r="L39" s="20">
        <f t="shared" si="3"/>
        <v>0</v>
      </c>
      <c r="M39" s="21"/>
      <c r="N39" s="21"/>
      <c r="O39" s="21"/>
      <c r="P39" s="23">
        <f t="shared" si="4"/>
        <v>0</v>
      </c>
      <c r="Q39" s="21"/>
      <c r="R39" s="21"/>
      <c r="S39" s="21"/>
      <c r="T39" s="23">
        <f t="shared" si="5"/>
        <v>0</v>
      </c>
      <c r="U39" s="21"/>
      <c r="V39" s="21"/>
      <c r="W39" s="21"/>
      <c r="X39" s="23">
        <f t="shared" si="6"/>
        <v>0</v>
      </c>
      <c r="Y39" s="21"/>
      <c r="Z39" s="21"/>
      <c r="AA39" s="21"/>
      <c r="AB39" s="23">
        <f t="shared" si="7"/>
        <v>0</v>
      </c>
      <c r="AC39" s="21">
        <f t="shared" ref="AC39:AE39" si="38">SUM(E39,I39,M39,Q39,U39,Y39)</f>
        <v>0</v>
      </c>
      <c r="AD39" s="21">
        <f t="shared" si="38"/>
        <v>0</v>
      </c>
      <c r="AE39" s="21">
        <f t="shared" si="38"/>
        <v>0</v>
      </c>
      <c r="AF39" s="21">
        <f t="shared" si="9"/>
        <v>0</v>
      </c>
      <c r="AG39" s="24">
        <f t="shared" si="12"/>
        <v>0</v>
      </c>
      <c r="AH39" s="24">
        <f t="shared" si="10"/>
        <v>100</v>
      </c>
    </row>
    <row r="40" ht="15.75" customHeight="1">
      <c r="A40" s="21">
        <v>30.0</v>
      </c>
      <c r="B40" s="28" t="s">
        <v>98</v>
      </c>
      <c r="C40" s="28" t="s">
        <v>99</v>
      </c>
      <c r="D40" s="28" t="s">
        <v>45</v>
      </c>
      <c r="E40" s="21"/>
      <c r="F40" s="21"/>
      <c r="G40" s="21"/>
      <c r="H40" s="20">
        <f t="shared" si="2"/>
        <v>0</v>
      </c>
      <c r="I40" s="21"/>
      <c r="J40" s="21"/>
      <c r="K40" s="21"/>
      <c r="L40" s="20">
        <f t="shared" si="3"/>
        <v>0</v>
      </c>
      <c r="M40" s="21"/>
      <c r="N40" s="21"/>
      <c r="O40" s="21"/>
      <c r="P40" s="23">
        <f t="shared" si="4"/>
        <v>0</v>
      </c>
      <c r="Q40" s="21"/>
      <c r="R40" s="21"/>
      <c r="S40" s="21"/>
      <c r="T40" s="23">
        <f t="shared" si="5"/>
        <v>0</v>
      </c>
      <c r="U40" s="21"/>
      <c r="V40" s="21"/>
      <c r="W40" s="21"/>
      <c r="X40" s="23">
        <f t="shared" si="6"/>
        <v>0</v>
      </c>
      <c r="Y40" s="21"/>
      <c r="Z40" s="21"/>
      <c r="AA40" s="21"/>
      <c r="AB40" s="23">
        <f t="shared" si="7"/>
        <v>0</v>
      </c>
      <c r="AC40" s="21">
        <f t="shared" ref="AC40:AE40" si="39">SUM(E40,I40,M40,Q40,U40,Y40)</f>
        <v>0</v>
      </c>
      <c r="AD40" s="21">
        <f t="shared" si="39"/>
        <v>0</v>
      </c>
      <c r="AE40" s="21">
        <f t="shared" si="39"/>
        <v>0</v>
      </c>
      <c r="AF40" s="21">
        <f t="shared" si="9"/>
        <v>0</v>
      </c>
      <c r="AG40" s="24">
        <f t="shared" si="12"/>
        <v>0</v>
      </c>
      <c r="AH40" s="24">
        <f t="shared" si="10"/>
        <v>100</v>
      </c>
    </row>
    <row r="41" ht="15.75" customHeight="1">
      <c r="A41" s="21">
        <v>31.0</v>
      </c>
      <c r="B41" s="28" t="s">
        <v>100</v>
      </c>
      <c r="C41" s="28" t="s">
        <v>101</v>
      </c>
      <c r="D41" s="28" t="s">
        <v>40</v>
      </c>
      <c r="E41" s="21"/>
      <c r="F41" s="21"/>
      <c r="G41" s="21"/>
      <c r="H41" s="20">
        <f t="shared" si="2"/>
        <v>0</v>
      </c>
      <c r="I41" s="21"/>
      <c r="J41" s="21"/>
      <c r="K41" s="21"/>
      <c r="L41" s="20">
        <f t="shared" si="3"/>
        <v>0</v>
      </c>
      <c r="M41" s="21"/>
      <c r="N41" s="21"/>
      <c r="O41" s="21"/>
      <c r="P41" s="23">
        <f t="shared" si="4"/>
        <v>0</v>
      </c>
      <c r="Q41" s="21"/>
      <c r="R41" s="21"/>
      <c r="S41" s="21"/>
      <c r="T41" s="23">
        <f t="shared" si="5"/>
        <v>0</v>
      </c>
      <c r="U41" s="21"/>
      <c r="V41" s="21"/>
      <c r="W41" s="21"/>
      <c r="X41" s="23">
        <f t="shared" si="6"/>
        <v>0</v>
      </c>
      <c r="Y41" s="21"/>
      <c r="Z41" s="21"/>
      <c r="AA41" s="21"/>
      <c r="AB41" s="23">
        <f t="shared" si="7"/>
        <v>0</v>
      </c>
      <c r="AC41" s="21">
        <f t="shared" ref="AC41:AE41" si="40">SUM(E41,I41,M41,Q41,U41,Y41)</f>
        <v>0</v>
      </c>
      <c r="AD41" s="21">
        <f t="shared" si="40"/>
        <v>0</v>
      </c>
      <c r="AE41" s="21">
        <f t="shared" si="40"/>
        <v>0</v>
      </c>
      <c r="AF41" s="21">
        <f t="shared" si="9"/>
        <v>0</v>
      </c>
      <c r="AG41" s="24">
        <f t="shared" si="12"/>
        <v>0</v>
      </c>
      <c r="AH41" s="24">
        <f t="shared" si="10"/>
        <v>100</v>
      </c>
    </row>
    <row r="42" ht="15.75" customHeight="1">
      <c r="A42" s="21">
        <v>32.0</v>
      </c>
      <c r="B42" s="28" t="s">
        <v>102</v>
      </c>
      <c r="C42" s="28" t="s">
        <v>103</v>
      </c>
      <c r="D42" s="28" t="s">
        <v>40</v>
      </c>
      <c r="E42" s="21"/>
      <c r="F42" s="21"/>
      <c r="G42" s="21"/>
      <c r="H42" s="20">
        <f t="shared" si="2"/>
        <v>0</v>
      </c>
      <c r="I42" s="21"/>
      <c r="J42" s="21"/>
      <c r="K42" s="21"/>
      <c r="L42" s="20">
        <f t="shared" si="3"/>
        <v>0</v>
      </c>
      <c r="M42" s="21"/>
      <c r="N42" s="21"/>
      <c r="O42" s="21"/>
      <c r="P42" s="23">
        <f t="shared" si="4"/>
        <v>0</v>
      </c>
      <c r="Q42" s="21"/>
      <c r="R42" s="21"/>
      <c r="S42" s="21"/>
      <c r="T42" s="23">
        <f t="shared" si="5"/>
        <v>0</v>
      </c>
      <c r="U42" s="21"/>
      <c r="V42" s="21"/>
      <c r="W42" s="21"/>
      <c r="X42" s="23">
        <f t="shared" si="6"/>
        <v>0</v>
      </c>
      <c r="Y42" s="21"/>
      <c r="Z42" s="21"/>
      <c r="AA42" s="21"/>
      <c r="AB42" s="23">
        <f t="shared" si="7"/>
        <v>0</v>
      </c>
      <c r="AC42" s="21">
        <f t="shared" ref="AC42:AE42" si="41">SUM(E42,I42,M42,Q42,U42,Y42)</f>
        <v>0</v>
      </c>
      <c r="AD42" s="21">
        <f t="shared" si="41"/>
        <v>0</v>
      </c>
      <c r="AE42" s="21">
        <f t="shared" si="41"/>
        <v>0</v>
      </c>
      <c r="AF42" s="21">
        <f t="shared" si="9"/>
        <v>0</v>
      </c>
      <c r="AG42" s="24">
        <f t="shared" si="12"/>
        <v>0</v>
      </c>
      <c r="AH42" s="24">
        <f t="shared" si="10"/>
        <v>100</v>
      </c>
    </row>
    <row r="43" ht="15.75" customHeight="1">
      <c r="A43" s="21">
        <v>33.0</v>
      </c>
      <c r="B43" s="28" t="s">
        <v>104</v>
      </c>
      <c r="C43" s="28" t="s">
        <v>105</v>
      </c>
      <c r="D43" s="28" t="s">
        <v>40</v>
      </c>
      <c r="E43" s="21"/>
      <c r="F43" s="21"/>
      <c r="G43" s="21"/>
      <c r="H43" s="20">
        <f t="shared" si="2"/>
        <v>0</v>
      </c>
      <c r="I43" s="21"/>
      <c r="J43" s="21"/>
      <c r="K43" s="21"/>
      <c r="L43" s="20">
        <f t="shared" si="3"/>
        <v>0</v>
      </c>
      <c r="M43" s="21"/>
      <c r="N43" s="21"/>
      <c r="O43" s="21"/>
      <c r="P43" s="23">
        <f t="shared" si="4"/>
        <v>0</v>
      </c>
      <c r="Q43" s="21"/>
      <c r="R43" s="21"/>
      <c r="S43" s="21"/>
      <c r="T43" s="23">
        <f t="shared" si="5"/>
        <v>0</v>
      </c>
      <c r="U43" s="21"/>
      <c r="V43" s="21"/>
      <c r="W43" s="21"/>
      <c r="X43" s="23">
        <f t="shared" si="6"/>
        <v>0</v>
      </c>
      <c r="Y43" s="21"/>
      <c r="Z43" s="21"/>
      <c r="AA43" s="21"/>
      <c r="AB43" s="23">
        <f t="shared" si="7"/>
        <v>0</v>
      </c>
      <c r="AC43" s="21">
        <f t="shared" ref="AC43:AE43" si="42">SUM(E43,I43,M43,Q43,U43,Y43)</f>
        <v>0</v>
      </c>
      <c r="AD43" s="21">
        <f t="shared" si="42"/>
        <v>0</v>
      </c>
      <c r="AE43" s="21">
        <f t="shared" si="42"/>
        <v>0</v>
      </c>
      <c r="AF43" s="21">
        <f t="shared" si="9"/>
        <v>0</v>
      </c>
      <c r="AG43" s="24">
        <f t="shared" si="12"/>
        <v>0</v>
      </c>
      <c r="AH43" s="24">
        <f t="shared" si="10"/>
        <v>100</v>
      </c>
    </row>
    <row r="44" ht="15.75" customHeight="1">
      <c r="A44" s="21">
        <v>34.0</v>
      </c>
      <c r="B44" s="22"/>
      <c r="C44" s="22"/>
      <c r="D44" s="22"/>
      <c r="E44" s="21"/>
      <c r="F44" s="21"/>
      <c r="G44" s="21"/>
      <c r="H44" s="20">
        <f t="shared" si="2"/>
        <v>0</v>
      </c>
      <c r="I44" s="21"/>
      <c r="J44" s="21"/>
      <c r="K44" s="21"/>
      <c r="L44" s="20">
        <f t="shared" si="3"/>
        <v>0</v>
      </c>
      <c r="M44" s="21"/>
      <c r="N44" s="21"/>
      <c r="O44" s="21"/>
      <c r="P44" s="23">
        <f t="shared" si="4"/>
        <v>0</v>
      </c>
      <c r="Q44" s="21"/>
      <c r="R44" s="21"/>
      <c r="S44" s="21"/>
      <c r="T44" s="23">
        <f t="shared" si="5"/>
        <v>0</v>
      </c>
      <c r="U44" s="21"/>
      <c r="V44" s="21"/>
      <c r="W44" s="21"/>
      <c r="X44" s="23">
        <f t="shared" si="6"/>
        <v>0</v>
      </c>
      <c r="Y44" s="21"/>
      <c r="Z44" s="21"/>
      <c r="AA44" s="21"/>
      <c r="AB44" s="23">
        <f t="shared" si="7"/>
        <v>0</v>
      </c>
      <c r="AC44" s="21">
        <f t="shared" ref="AC44:AE44" si="43">SUM(E44,I44,M44,Q44,U44,Y44)</f>
        <v>0</v>
      </c>
      <c r="AD44" s="21">
        <f t="shared" si="43"/>
        <v>0</v>
      </c>
      <c r="AE44" s="21">
        <f t="shared" si="43"/>
        <v>0</v>
      </c>
      <c r="AF44" s="21">
        <f t="shared" si="9"/>
        <v>0</v>
      </c>
      <c r="AG44" s="24">
        <f t="shared" si="12"/>
        <v>0</v>
      </c>
      <c r="AH44" s="24">
        <f t="shared" si="10"/>
        <v>100</v>
      </c>
    </row>
    <row r="45" ht="15.75" customHeight="1">
      <c r="A45" s="21">
        <v>35.0</v>
      </c>
      <c r="B45" s="22"/>
      <c r="C45" s="22"/>
      <c r="D45" s="22"/>
      <c r="E45" s="21"/>
      <c r="F45" s="21"/>
      <c r="G45" s="21"/>
      <c r="H45" s="20">
        <f t="shared" si="2"/>
        <v>0</v>
      </c>
      <c r="I45" s="21"/>
      <c r="J45" s="21"/>
      <c r="K45" s="21"/>
      <c r="L45" s="20">
        <f t="shared" si="3"/>
        <v>0</v>
      </c>
      <c r="M45" s="21"/>
      <c r="N45" s="21"/>
      <c r="O45" s="21"/>
      <c r="P45" s="23">
        <f t="shared" si="4"/>
        <v>0</v>
      </c>
      <c r="Q45" s="21"/>
      <c r="R45" s="21"/>
      <c r="S45" s="21"/>
      <c r="T45" s="23">
        <f t="shared" si="5"/>
        <v>0</v>
      </c>
      <c r="U45" s="21"/>
      <c r="V45" s="21"/>
      <c r="W45" s="21"/>
      <c r="X45" s="23">
        <f t="shared" si="6"/>
        <v>0</v>
      </c>
      <c r="Y45" s="21"/>
      <c r="Z45" s="21"/>
      <c r="AA45" s="21"/>
      <c r="AB45" s="23">
        <f t="shared" si="7"/>
        <v>0</v>
      </c>
      <c r="AC45" s="21">
        <f t="shared" ref="AC45:AE45" si="44">SUM(E45,I45,M45,Q45,U45,Y45)</f>
        <v>0</v>
      </c>
      <c r="AD45" s="21">
        <f t="shared" si="44"/>
        <v>0</v>
      </c>
      <c r="AE45" s="21">
        <f t="shared" si="44"/>
        <v>0</v>
      </c>
      <c r="AF45" s="21">
        <f t="shared" si="9"/>
        <v>0</v>
      </c>
      <c r="AG45" s="24">
        <f t="shared" si="12"/>
        <v>0</v>
      </c>
      <c r="AH45" s="24">
        <f t="shared" si="10"/>
        <v>100</v>
      </c>
    </row>
    <row r="46" ht="15.75" customHeight="1">
      <c r="A46" s="21">
        <v>36.0</v>
      </c>
      <c r="B46" s="22"/>
      <c r="C46" s="22"/>
      <c r="D46" s="22"/>
      <c r="E46" s="21"/>
      <c r="F46" s="21"/>
      <c r="G46" s="21"/>
      <c r="H46" s="20">
        <f t="shared" si="2"/>
        <v>0</v>
      </c>
      <c r="I46" s="21"/>
      <c r="J46" s="21"/>
      <c r="K46" s="21"/>
      <c r="L46" s="20">
        <f t="shared" si="3"/>
        <v>0</v>
      </c>
      <c r="M46" s="21"/>
      <c r="N46" s="21"/>
      <c r="O46" s="21"/>
      <c r="P46" s="23">
        <f t="shared" si="4"/>
        <v>0</v>
      </c>
      <c r="Q46" s="21"/>
      <c r="R46" s="21"/>
      <c r="S46" s="21"/>
      <c r="T46" s="23">
        <f t="shared" si="5"/>
        <v>0</v>
      </c>
      <c r="U46" s="21"/>
      <c r="V46" s="21"/>
      <c r="W46" s="21"/>
      <c r="X46" s="23">
        <f t="shared" si="6"/>
        <v>0</v>
      </c>
      <c r="Y46" s="21"/>
      <c r="Z46" s="21"/>
      <c r="AA46" s="21"/>
      <c r="AB46" s="23">
        <f t="shared" si="7"/>
        <v>0</v>
      </c>
      <c r="AC46" s="21">
        <f t="shared" ref="AC46:AE46" si="45">SUM(E46,I46,M46,Q46,U46,Y46)</f>
        <v>0</v>
      </c>
      <c r="AD46" s="21">
        <f t="shared" si="45"/>
        <v>0</v>
      </c>
      <c r="AE46" s="21">
        <f t="shared" si="45"/>
        <v>0</v>
      </c>
      <c r="AF46" s="21">
        <f t="shared" si="9"/>
        <v>0</v>
      </c>
      <c r="AG46" s="24">
        <f t="shared" si="12"/>
        <v>0</v>
      </c>
      <c r="AH46" s="24">
        <f t="shared" si="10"/>
        <v>100</v>
      </c>
    </row>
    <row r="47" ht="15.75" customHeight="1">
      <c r="A47" s="25" t="s">
        <v>25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26"/>
      <c r="AG47" s="26"/>
      <c r="AH47" s="27">
        <f>AVERAGE(AH11:AH46)</f>
        <v>99.99707602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F8:AF10"/>
    <mergeCell ref="AG8:AG10"/>
    <mergeCell ref="A1:AH1"/>
    <mergeCell ref="A2:AH2"/>
    <mergeCell ref="A3:AH3"/>
    <mergeCell ref="A8:A10"/>
    <mergeCell ref="B8:B10"/>
    <mergeCell ref="C8:C10"/>
    <mergeCell ref="D8:D10"/>
    <mergeCell ref="AH8:AH10"/>
    <mergeCell ref="Y9:AB9"/>
    <mergeCell ref="A47:AE47"/>
    <mergeCell ref="E8:AB8"/>
    <mergeCell ref="AC8:AE9"/>
    <mergeCell ref="E9:H9"/>
    <mergeCell ref="I9:L9"/>
    <mergeCell ref="M9:P9"/>
    <mergeCell ref="Q9:T9"/>
    <mergeCell ref="U9:X9"/>
  </mergeCells>
  <conditionalFormatting sqref="AH11:AH46">
    <cfRule type="cellIs" dxfId="0" priority="1" operator="lessThanOrEqual">
      <formula>90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2025-07-10T14:33:11Z</dcterms:created>
  <dc:creator>Dena Handriana, S. Pd., M. Pd.</dc:creator>
</cp:coreProperties>
</file>